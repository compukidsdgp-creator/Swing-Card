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Closes" sheetId="2" state="visible" r:id="rId2"/>
    <sheet xmlns:r="http://schemas.openxmlformats.org/officeDocument/2006/relationships" name="Returns %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ortfolio Path" sheetId="5" state="visible" r:id="rId5"/>
    <sheet xmlns:r="http://schemas.openxmlformats.org/officeDocument/2006/relationships" name="Batch Info" sheetId="6" state="visible" r:id="rId6"/>
    <sheet xmlns:r="http://schemas.openxmlformats.org/officeDocument/2006/relationships" name="Research" sheetId="7" state="visible" r:id="rId7"/>
    <sheet xmlns:r="http://schemas.openxmlformats.org/officeDocument/2006/relationships" name="News &amp; Sentiment" sheetId="8" state="visible" r:id="rId8"/>
    <sheet xmlns:r="http://schemas.openxmlformats.org/officeDocument/2006/relationships" name="_state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[Red]-0.00%;0.00%"/>
    <numFmt numFmtId="165" formatCode="₹#,##,##0;[Red]-₹#,##,##0"/>
    <numFmt numFmtId="166" formatCode="0.0%"/>
    <numFmt numFmtId="167" formatCode="+0.00;-0.00;0.00"/>
    <numFmt numFmtId="168" formatCode="+0.00;-0.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C9D3E6"/>
      <sz val="10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475569"/>
      <sz val="9"/>
    </font>
    <font>
      <name val="Calibri"/>
      <color rgb="00171A1F"/>
      <sz val="10"/>
    </font>
    <font>
      <name val="Calibri"/>
      <b val="1"/>
      <color rgb="00171A1F"/>
      <sz val="10"/>
    </font>
    <font>
      <name val="Calibri"/>
      <color rgb="006B7280"/>
      <sz val="9"/>
    </font>
    <font>
      <name val="Calibri"/>
      <b val="1"/>
      <color rgb="0064748B"/>
      <sz val="9"/>
    </font>
    <font>
      <name val="Calibri"/>
      <b val="1"/>
      <color rgb="000B1F3A"/>
      <sz val="16"/>
    </font>
    <font>
      <name val="Calibri"/>
      <i val="1"/>
      <color rgb="0094A3B8"/>
      <sz val="8"/>
    </font>
    <font>
      <name val="Calibri"/>
      <b val="1"/>
      <color rgb="000B1F3A"/>
      <sz val="11"/>
    </font>
    <font>
      <name val="Calibri"/>
      <b val="1"/>
      <color rgb="00ffffff"/>
      <sz val="10"/>
    </font>
    <font>
      <name val="Calibri"/>
      <b val="1"/>
      <color rgb="000f5132"/>
      <sz val="10"/>
    </font>
    <font>
      <name val="Calibri"/>
      <b val="1"/>
      <color rgb="007a4a00"/>
      <sz val="10"/>
    </font>
    <font>
      <name val="Calibri"/>
      <b val="1"/>
      <color rgb="00374151"/>
      <sz val="10"/>
    </font>
    <font>
      <name val="Calibri"/>
      <b val="1"/>
      <color rgb="009b1c1c"/>
      <sz val="10"/>
    </font>
    <font>
      <name val="Calibri"/>
      <b val="1"/>
      <color rgb="000B1F3A"/>
      <sz val="12"/>
    </font>
    <font>
      <name val="Calibri"/>
      <b val="1"/>
      <color rgb="001F9D63"/>
      <sz val="10"/>
    </font>
    <font>
      <name val="Calibri"/>
      <b val="1"/>
      <color rgb="00D64545"/>
      <sz val="10"/>
    </font>
    <font>
      <name val="Calibri"/>
      <b val="1"/>
      <color rgb="0064748B"/>
      <sz val="10"/>
    </font>
    <font>
      <name val="Calibri"/>
      <color rgb="002F4BD8"/>
      <sz val="10"/>
      <u val="single"/>
    </font>
    <font>
      <name val="Calibri"/>
      <color rgb="002F4BD8"/>
      <u val="single"/>
    </font>
  </fonts>
  <fills count="1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E3A66"/>
      </patternFill>
    </fill>
    <fill>
      <patternFill patternType="solid">
        <fgColor rgb="000E7C86"/>
      </patternFill>
    </fill>
    <fill>
      <patternFill patternType="solid">
        <fgColor rgb="00334E7E"/>
      </patternFill>
    </fill>
    <fill>
      <patternFill patternType="solid">
        <fgColor rgb="00C9860A"/>
      </patternFill>
    </fill>
    <fill>
      <patternFill patternType="solid">
        <fgColor rgb="00D9DEE7"/>
      </patternFill>
    </fill>
    <fill>
      <patternFill patternType="solid">
        <fgColor rgb="00FFF4D6"/>
      </patternFill>
    </fill>
    <fill>
      <patternFill patternType="solid">
        <fgColor rgb="00FAFAFB"/>
      </patternFill>
    </fill>
    <fill>
      <patternFill patternType="solid">
        <fgColor rgb="00F3F5F8"/>
      </patternFill>
    </fill>
    <fill>
      <patternFill patternType="solid">
        <fgColor rgb="000f7a4a"/>
      </patternFill>
    </fill>
    <fill>
      <patternFill patternType="solid">
        <fgColor rgb="001f9d63"/>
      </patternFill>
    </fill>
    <fill>
      <patternFill patternType="solid">
        <fgColor rgb="00d7f2e3"/>
      </patternFill>
    </fill>
    <fill>
      <patternFill patternType="solid">
        <fgColor rgb="00fdecc8"/>
      </patternFill>
    </fill>
    <fill>
      <patternFill patternType="solid">
        <fgColor rgb="00e5e7eb"/>
      </patternFill>
    </fill>
    <fill>
      <patternFill patternType="solid">
        <fgColor rgb="00fde2e2"/>
      </patternFill>
    </fill>
    <fill>
      <patternFill patternType="solid">
        <fgColor rgb="00d64545"/>
      </patternFill>
    </fill>
  </fills>
  <borders count="11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/>
      <top/>
      <bottom/>
      <diagonal/>
    </border>
    <border>
      <left style="thin">
        <color rgb="00D9DEE7"/>
      </left>
      <right style="thin">
        <color rgb="00D9DEE7"/>
      </right>
      <top/>
      <bottom/>
      <diagonal/>
    </border>
    <border>
      <left style="thin">
        <color rgb="00D9DEE7"/>
      </left>
      <right style="thin">
        <color rgb="00D9DEE7"/>
      </right>
      <top/>
      <bottom style="thin">
        <color rgb="00D9DEE7"/>
      </bottom>
      <diagonal/>
    </border>
    <border>
      <left style="thin">
        <color rgb="00FFFFFF"/>
      </left>
      <right style="thin">
        <color rgb="00FFFFFF"/>
      </right>
    </border>
    <border>
      <top style="thick">
        <color rgb="002F4BD8"/>
      </top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0" fillId="7" borderId="5" pivotButton="0" quotePrefix="0" xfId="0"/>
    <xf numFmtId="0" fontId="10" fillId="10" borderId="6" applyAlignment="1" pivotButton="0" quotePrefix="0" xfId="0">
      <alignment horizontal="left" vertical="center" indent="1"/>
    </xf>
    <xf numFmtId="0" fontId="0" fillId="10" borderId="6" applyAlignment="1" pivotButton="0" quotePrefix="0" xfId="0">
      <alignment horizontal="left" vertical="center" indent="1"/>
    </xf>
    <xf numFmtId="0" fontId="11" fillId="10" borderId="0" applyAlignment="1" pivotButton="0" quotePrefix="0" xfId="0">
      <alignment horizontal="left" vertical="center" indent="1"/>
    </xf>
    <xf numFmtId="0" fontId="0" fillId="10" borderId="0" applyAlignment="1" pivotButton="0" quotePrefix="0" xfId="0">
      <alignment horizontal="left" vertical="center" indent="1"/>
    </xf>
    <xf numFmtId="165" fontId="11" fillId="10" borderId="0" applyAlignment="1" pivotButton="0" quotePrefix="0" xfId="0">
      <alignment horizontal="left" vertical="center" indent="1"/>
    </xf>
    <xf numFmtId="0" fontId="12" fillId="10" borderId="0" applyAlignment="1" pivotButton="0" quotePrefix="0" xfId="0">
      <alignment horizontal="left" vertical="center" indent="1"/>
    </xf>
    <xf numFmtId="164" fontId="11" fillId="10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1" fontId="7" fillId="10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5" fontId="7" fillId="10" borderId="1" applyAlignment="1" pivotButton="0" quotePrefix="0" xfId="0">
      <alignment horizontal="right" vertical="center"/>
    </xf>
    <xf numFmtId="166" fontId="7" fillId="1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4" fontId="8" fillId="1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center" vertical="center" wrapText="1"/>
    </xf>
    <xf numFmtId="1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7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4" fillId="11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14" fillId="12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/>
    </xf>
    <xf numFmtId="0" fontId="17" fillId="15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name val="Calibri"/>
        <b val="1"/>
        <color rgb="001F9D63"/>
        <sz val="16"/>
      </font>
    </dxf>
    <dxf>
      <font>
        <name val="Calibri"/>
        <b val="1"/>
        <color rgb="00D64545"/>
        <sz val="16"/>
      </font>
    </dxf>
    <dxf>
      <font>
        <name val="Calibri"/>
        <b val="1"/>
        <color rgb="001F9D63"/>
      </font>
    </dxf>
    <dxf>
      <font>
        <name val="Calibri"/>
        <b val="1"/>
        <color rgb="00D64545"/>
      </font>
    </dxf>
    <dxf>
      <font>
        <name val="Calibri"/>
        <color rgb="001F9D63"/>
      </font>
    </dxf>
    <dxf>
      <font>
        <name val="Calibri"/>
        <color rgb="00D6454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by stock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'Dashboard'!F20</f>
            </strRef>
          </tx>
          <spPr>
            <a:solidFill xmlns:a="http://schemas.openxmlformats.org/drawingml/2006/main">
              <a:srgbClr val="2F4BD8"/>
            </a:solidFill>
            <a:ln xmlns:a="http://schemas.openxmlformats.org/drawingml/2006/main">
              <a:prstDash val="solid"/>
            </a:ln>
          </spPr>
          <cat>
            <numRef>
              <f>'Dashboard'!$B$21:$B$30</f>
            </numRef>
          </cat>
          <val>
            <numRef>
              <f>'Dashboard'!$F$21:$F$30</f>
            </numRef>
          </val>
        </ser>
        <dLbls>
          <numFmt formatCode="+0.0%;-0.0%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(₹)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Path'!D4</f>
            </strRef>
          </tx>
          <spPr>
            <a:ln xmlns:a="http://schemas.openxmlformats.org/drawingml/2006/main" w="28000">
              <a:solidFill>
                <a:srgbClr val="0E7C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Path'!$A$5:$A$6</f>
            </numRef>
          </cat>
          <val>
            <numRef>
              <f>'Portfolio Path'!$D$5:$D$6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return vs Nifty 50 (%)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Path'!F4</f>
            </strRef>
          </tx>
          <spPr>
            <a:ln xmlns:a="http://schemas.openxmlformats.org/drawingml/2006/main" w="28000">
              <a:solidFill>
                <a:srgbClr val="2F4B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Path'!$A$5:$A$26</f>
            </numRef>
          </cat>
          <val>
            <numRef>
              <f>'Portfolio Path'!$F$5:$F$26</f>
            </numRef>
          </val>
          <smooth val="0"/>
        </ser>
        <ser>
          <idx val="1"/>
          <order val="1"/>
          <tx>
            <strRef>
              <f>'Portfolio Path'!I4</f>
            </strRef>
          </tx>
          <spPr>
            <a:ln xmlns:a="http://schemas.openxmlformats.org/drawingml/2006/main">
              <a:solidFill>
                <a:srgbClr val="9AA2A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Path'!$A$5:$A$26</f>
            </numRef>
          </cat>
          <val>
            <numRef>
              <f>'Portfolio Path'!$I$5:$I$26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1gFBVV95cUxOT0FlR3g5MTluX3phZ0tWLW1iVHAzbUh0dGFBRjcyLTBFQTl5bXkweTNIYlAtYjFSYlhBUFJYQ05VOVUzUFRLaDhwcmg0b2xZSE1JMV9rNlpuMFFDYTljQnpjdE5rMDJ2YWxGaDJZMFpCWFd5RDBuYjFvbE8xS085dmc0aktudXE5MDc5UlhCUVlQSVBtRnFwbUtwNG1lNkFVM2tWYzNLeDdHTGlhUjBXNEVMZ011Q0RJVkVoM24tWTNHWERXbHZ5U1hhOTRDQ0RmSlBFWDdn?oc=5" TargetMode="External" Id="rId1"/><Relationship Type="http://schemas.openxmlformats.org/officeDocument/2006/relationships/hyperlink" Target="https://news.google.com/rss/articles/CBMirAFBVV95cUxQWWVNajdfcWthd1FGS3dENzdIeWltVzdfWTRueHBPYlFWSEs4MHNnOW9HQnVWODIxTENyb21PblA5Y3d2Ym4zeVkza29VZ0VQSENCb3dhUVQyN1N4WFlGWnNTaUt1czBRWl9NTy01UmU0bExnQXZKMUhpeW8yUU9GT0tPbDFpeHh6em5GZzNZNzZTYUFuSkR6RlFwS0Fwcy1SQjZLSHdDdTRFaTZm0gGsAUFVX3lxTFBZZU1qN19xa2F3UUZLd0Q3N0h5aW1XN19ZNG54cE9iUVZISzgwc2c5b0dCdVY4MjFMQ3JvbU9uUDljd3ZibjN5WTNrb1VnRVBIQ0Jvd2FRVDI3U3hYWUZac1NpS3VzMFFaX01PLTVSZTRsTGdBdkoxSGl5bzJRT0ZPS09sMWl4eHp6bkZnM1k3NlNhQW5KRHpGUXBLQXBzLVJCNktId0N1NEVpNmY?oc=5" TargetMode="External" Id="rId2"/><Relationship Type="http://schemas.openxmlformats.org/officeDocument/2006/relationships/hyperlink" Target="https://news.google.com/rss/articles/CBMi3AFBVV95cUxNanpjQUFtMlRJTE9VYkRiZHVsdDd4bzhuRTd4MlpDd2RvRzZYTDN0UzdQaDJwcEQwaWc4cktjUzRPVUFBN2RRY2czNlhDRVJ5WnlDMHdyTmpUb2J1ekgtZ3RwcHVJYnptZVV2dWJxX0xuRWU1UkVVVjBmOU5Pd2FBMWl2ZkV6TFlodUt1MUNwb2dRNG9aaTRrenRrU3g3ZnE2TXFWU2NHUjYxUVJVOWpYRG5RdUNRMUdvSC16ZGtQb25uZnVNd1BPZHBpOE80MFNMYy04SS1TaGVSNWtl?oc=5" TargetMode="External" Id="rId3"/><Relationship Type="http://schemas.openxmlformats.org/officeDocument/2006/relationships/hyperlink" Target="https://news.google.com/rss/articles/CBMi0gFBVV95cUxPWm03Y2s2TzZiU2ZxV1l5QTBwZTlLVXkzOFd2WlYyZ1ZiU2dEWUFneElwRG1HMUNaNTFCX1p2V3otUVhCZU5SOTlyRUNIdjZaTTh4cUVmWDRHMlg3ZDNCX0VQaEtITUpRNVBvbHRFMnJ0NjV4YjhOUHZNUFJhZ1IwRGt3UXJDeE16ck5zb3ZSN0ozNVVMc2xjM05NRGVrUjVfWlVEZGJpWGNicFNnb0NvSDYxMFZyS0FoRkFhZTU2T2lienVEZzV5WWxkeFF4bjFsMHfSAdcBQVVfeXFMTkpxQ2JGc2tYb1NXcGpqQzBib1gxRXpKNUpTcmZ0a3lkcm1oMVpBcTN5M3piTUludmVTZWN2ekRHUnpDTThqRVd5TFloZ0h2UkpScFBiWkJ1ZlhxMUtqaXdNaTU0bGhlZVFPX2wyOG9fRDhZYWRPVWxkUzRTTmZabnFpSnA4b0FnM0VDbTY1R3U0ZmJueThIU180bWtiSTV6NHhzbzd4blZsVDdSaHQwWlo3RTdDSk9iTFdqSkZKbEJhSHhzWFJhR3NkVnVzdUVXbTNUTXM5c00?oc=5" TargetMode="External" Id="rId4"/><Relationship Type="http://schemas.openxmlformats.org/officeDocument/2006/relationships/hyperlink" Target="https://news.google.com/rss/articles/CBMi2wFBVV95cUxNbVVVa0lsV1JvNU1BWnlRVFJSNDQ2Y3l5Z0xwZWdFS2JSTkJPbkxlN2ZfNE1ZZ2hVa0EwMVZ3enhwOGNTQ2VFRC0waFdOckhEaGJ5RDctUGg4UUEyNE9La1BweFVkeWNya2h0SFZ4WVZhZlVLTjl2cXhLaURoTkxSMXd6MHVVTmtYZk90SUx1NmsycU1KMHZKZVItNWRuR29pYy1KWTVEMWdPdGVQcHRQMXFadHJ2TFc0UEFjVGpKM2s1WTJER1RJV3Y4eU1GMmItSDNpR2hBZlRNdkk?oc=5" TargetMode="External" Id="rId5"/><Relationship Type="http://schemas.openxmlformats.org/officeDocument/2006/relationships/hyperlink" Target="https://news.google.com/rss/articles/CBMi8AFBVV95cUxNZWQxVFZva3o0cms1Y2N2ZmRJMnk0TmZzTTdLUWVuZE8taXVteEgyeDhHQi1wYUIyU0RGb3J5QWFxd2pLSTJILUVSOEZVZTBDbExkVkMtT0tiNjhGOGpubU1KQ25LQ1ZFUXkyUDZmY0FIdWZBSm96cm1vZ3R3VEtQUHFKLTBZM18tZmx4NDhNRWM2OURvX2xQQXJncWtod1ZoR3ZoV3A4bldUSkxXMU8xNlEzU2tMeWYxeHMwYk5LeVlYQ3hJeGVqMkdNYlRIQTZnUXpxTk5xZzA0aGZqNGVId0pnbTRLd3RJNWZZcWQ3azQ?oc=5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0AFBVV95cUxOdXZHZEdOTVJWWHBOLXZXb2NuTDlvY1RUMk5Ld2ozdTZ5UnRubVkyTk11YlQ2WkVZMmhncnBsQ0prdHlQbHUtQjlDMlNlVGdwSmVyMFdjWWNqc3lLalpvek9Bd2d5MnFHZTJRM0p5TlMwdmRicFVmMzcwb2NYZkpFRXM5czY3S2hMSnhyb2lMX2hQeFZ3ODNZckk3Nkk0MlM4d2s1U1hBVGxhOVdHYS1oamhGMFVCYWtuUm95WjM1M2N4MG92M3lhcXBJYjVlM0920gHWAUFVX3lxTE03MVNYWWtyQjllRDNNR2VtWHZrNVl3aHYyTnBWeS1tc1Y4Z2pzRWU2c0EyNUprd3ZVM0tEalJnUi15SUVsYm5kNzNOZzloRlZ5Mld6NWwzNVhObUR5WC1GUnFZTmdoWjlTY2M3M3J0YXhDR1hfbXFMM3UtRVZVcWtad1RxaWlEY0FWVFRLTVdXZlduWkNzN3lVMTU3akYyZUlUUmduVEZHU2NROGg1TFBLYlkycVY1M01iSG1qR3ZOaWZMR2ZDdlBFdWNETWVfU19jNTY2TWc?oc=5" TargetMode="External" Id="rId1"/><Relationship Type="http://schemas.openxmlformats.org/officeDocument/2006/relationships/hyperlink" Target="https://news.google.com/rss/articles/CBMi4wFBVV95cUxOX1lzeEswS005dk5yZEl6Z0pvX1VQbnp2RzBnR3JvdFVwanI5V2lFdHlTcE02Tm14Mzg5MFN0blpUcm54YnNjY3dsSVJSSEpLaXQ3ZHlocnpLYVpIVVo2NkNxRVVEZTFmT29UOHFIbmNxS1VlUnN0SW1oMXl3NzZyUGpBU29HVWd3c2dNVGFhNWtxNjMyeHlsTEc3NmxmY3Q5LUF3TE9GRkpoZFByd2ZEeG1fb2liWkJaRUMwUTFiZWptOWFXZXJIeUxKQzg1ckpoY0NIUzhtVXNqMHZvS1VJRWtnUdIB6AFBVV95cUxQNWpYOU5EY3MweXZaRE53azhMcEpJRG8wNzlVcm1DY0xiZjhNa2JQaGF5bFlad19ZNGpQcGZiR3RQSk1hNnZkdEllZWdKRVdJZnZhb3dwZzgtY1dfVklxc0k3NzVPQ1h1VElTQkxSbGNMZThoNDJaNG5DQV9kbGY2U0ctaTVBZXc1cTM2dkVzaWc1NzVLYXo5WWJVcWhVdUpXS2pzRS1LT3VDT3B5Ym5SNjNlbk5CcHJaaWdiOUNZWGxNOHExX0lLLWo4S2c0eF9DOGotTkZPdzR4R1lYN0otRURMdXBRRi1N?oc=5" TargetMode="External" Id="rId2"/><Relationship Type="http://schemas.openxmlformats.org/officeDocument/2006/relationships/hyperlink" Target="https://news.google.com/rss/articles/CBMirwFBVV95cUxPNlo0QnpXclVoY0VJMFg4c2FMUlRzOGpTcElSVzNscEh2Q18zdXpwZXIyVjh3bzAzZVNoNk1pSlNweFJ3TW1BMDVidmJLZzV0cU9KQnZYcjhjZ2VHQmtjUGlnRllmT3QydWdneklFSVQzdWlVdG5leVZCdEZ4NHdMOTZUX0ZCQ3daaXhSQWV4RGphRnJKMkJ2X0VSNlB2XzJIaTk5TE1PejdrOTZzX2N3?oc=5" TargetMode="External" Id="rId3"/><Relationship Type="http://schemas.openxmlformats.org/officeDocument/2006/relationships/hyperlink" Target="https://news.google.com/rss/articles/CBMizAFBVV95cUxOWWxJcWJZM0t1RFdIV0ZTRkVWZzVHZkluTlB1aFZmVC1KeUhaSS15eDN6QnFHb2hBYy1HdHRQV3Rjb0xOOUpPMlBZRUpEcGtUaFA4YjNISVpLN0NHZVVqNElaXzFvTV9KUTJWVHJiaFlkbXpLTEpiNDdLd2VkNEU5bWQxdnVZUThmVkNseGVEa1VpQnhhUEN4X1hYY2ZGcGNWb25LdzFOVzhNU0xvVWNITjNnRHJYekQxNm10ODVTTFVtRVhGSEFxdEluLWQ?oc=5" TargetMode="External" Id="rId4"/><Relationship Type="http://schemas.openxmlformats.org/officeDocument/2006/relationships/hyperlink" Target="https://news.google.com/rss/articles/CBMisgFBVV95cUxPWndrT0xmdkJxeDluWUM1cjJYX2Z2VUZyQXlqMVZzZkMyUzFXQTJsQ2JlMzU2MUJzejJfLU0yZzNlRUFELTN2dWozZGRJcXVlUzlyZ3RwSlctcUJGSkpmcGRxUDhWRGxuRUt1V1cyY1A5SG1GWnBHb0s0VDE5Vk1FcGtDczFsSDNqR29vTENzTjRkemV6M1AtcnY3aXdGdW9qUGZBb2NSd2dZTTh2UW1VcFdn?oc=5" TargetMode="External" Id="rId5"/><Relationship Type="http://schemas.openxmlformats.org/officeDocument/2006/relationships/hyperlink" Target="https://news.google.com/rss/articles/CBMirAFBVV95cUxQWWVNajdfcWthd1FGS3dENzdIeWltVzdfWTRueHBPYlFWSEs4MHNnOW9HQnVWODIxTENyb21PblA5Y3d2Ym4zeVkza29VZ0VQSENCb3dhUVQyN1N4WFlGWnNTaUt1czBRWl9NTy01UmU0bExnQXZKMUhpeW8yUU9GT0tPbDFpeHh6em5GZzNZNzZTYUFuSkR6RlFwS0Fwcy1SQjZLSHdDdTRFaTZm0gGsAUFVX3lxTFBZZU1qN19xa2F3UUZLd0Q3N0h5aW1XN19ZNG54cE9iUVZISzgwc2c5b0dCdVY4MjFMQ3JvbU9uUDljd3ZibjN5WTNrb1VnRVBIQ0Jvd2FRVDI3U3hYWUZac1NpS3VzMFFaX01PLTVSZTRsTGdBdkoxSGl5bzJRT0ZPS09sMWl4eHp6bkZnM1k3NlNhQW5KRHpGUXBLQXBzLVJCNktId0N1NEVpNmY?oc=5" TargetMode="External" Id="rId6"/><Relationship Type="http://schemas.openxmlformats.org/officeDocument/2006/relationships/hyperlink" Target="https://news.google.com/rss/articles/CBMixgFBVV95cUxNb3lGcXBYMGhGTkhHcVNBUFRETjZsYWl5eDRicWZEU0hTLVo1bHB1UDFFNHRPa3NsaGM1MzlmU0ptWnUtNzJwTWVCTDB2RXU3cWVvblI1UjZhVkZEb3pxVXJnUVlvamRDaTRUcVh5S05ubGhydDhkU1hNR2hOLVZldzhfbktjM0VJU3V4TTBKaS1ycUtvX2pQem4ycUNuN1NmUHU5cTlwLTctT3RQR0ZmZlVaSTNKcW9veHUyQVh2Nmx1dlFPRWc?oc=5" TargetMode="External" Id="rId7"/><Relationship Type="http://schemas.openxmlformats.org/officeDocument/2006/relationships/hyperlink" Target="https://news.google.com/rss/articles/CBMiwwFBVV95cUxNNHNJTGVrRmdOU1FVSGlwTFhRazBPeXZpUW1pc0MxOWxtc0FHT1pLZ2NiUF9XdTRnOV9vQlE1bGttMll3cndvLUVVTU5keHBhd09TNDJRSTRFNnBOUXVmaHFMYlhKZDUxYVpyanlsRDJWM2Jnc1EybzhJUU4xOV9LbWRPRHF4M2N0clRqeTY3dVQzMXdtcFQydkVyYjR5RkJYUEN6Z3lGLVNKSURzSmkxXzNrSjRXLThsSTNWQjE2aVY1R0HSAccBQVVfeXFMUEhJTURkQzA5dm1saFZIZjBlOTFFRUQ3dXZuaFd5MndSSUhNUGc2R2VBXzJHRWVObnBJdDVlY3FKVmRnbGlla25hSFhjb09fYktLRWY1Vm83TExtQkJlLVNvTkRzM0xfR1NxdTZUMUpMNHdCakZoX29GZ2hiUk1VNE9vMEdtTzZNXzU5ZWltdDZnSFFVY0R1aHRFeDRxR3Q1bEJhcEFTX2VSOFE1TzZiOVNpRjZyODdQMUN3aV9NSkxocDlWbU1zQQ?oc=5" TargetMode="External" Id="rId8"/><Relationship Type="http://schemas.openxmlformats.org/officeDocument/2006/relationships/hyperlink" Target="https://news.google.com/rss/articles/CBMi5wFBVV95cUxPbU9TVlhwU0RfZ2RaSWlHVzZ6aGIwa2RlSjR3OWpJOV9hNUdpQzh2R05ueGxaVVBMR1RtTlVqMU1Cd0Vwd0FJOVpDRGVZOWRlQzRtWEM5NUVOX2J6MjdlNTNfSUtzSnlQek1VQjRQZm1ocVVZVzdpTmJTb2tKajBzeWlSbjF1dzBwN0xMT2swckJfUlAwM3NqM21uN2ZSTU01bUl4S0M1YjZ6RFNTY0xPZDB5ZmxhRzVVTURZV1dmLWg1S1d4ZGRCQVF6RWV3MUh1a0lFd1VaMjdBMlk1aFdva1NnWHFLNE3SAewBQVVfeXFMUFpQa1Boc2xFMXp6VExQenhIdVBMb2poRHpCTk0xbWRuSmJxQWJIb0VGcFd4cHJuUDRUY0pTZTk0ZnBSOG1uNEhHRWM1a0lQek5RQ0RYVzR1WURocFg0eHJRQTdXOGpEWjJaSWczYnNVTlljUDZTYzVPakppc1g5azNhVmtRaGRrT29hcHFmczBVVE1BSzZiaVpocUppYmgyenJ5UnEyclBMN045ajFDQ1lkZ0dyNlRlLUo1UklSVHJIdEF6Qzg5Z21uS05DdVRIUmtFSFB1ajJkMHVaeWxMdUVCakdQTEFSU0toeUg?oc=5" TargetMode="External" Id="rId9"/><Relationship Type="http://schemas.openxmlformats.org/officeDocument/2006/relationships/hyperlink" Target="https://news.google.com/rss/articles/CBMiyAFBVV95cUxQOXFXLU9kY2FWQXc3dUJDdmZmZk9MYm9LNzFrclM5QWZNdklOSW42ZmwxMl9CVkdWYmJSZ3liYktscXZWeE8tc2NGNVVVSjNKdTVZRXkzSWlRWXpkcGhSQnlsRTYtZnI1Q2tvZkk5a1dxV0J2WmdwLVIybDg3MndlOFlwcmpXQzF1YjlCTHdWRnRBTktCbzVNMUFVODk4VFRRWmZYUGNOWE1QZmRGakZYUVFMaUJ4Zmxjc2pMM3JONDJKeDIyVHNUVg?oc=5" TargetMode="External" Id="rId10"/><Relationship Type="http://schemas.openxmlformats.org/officeDocument/2006/relationships/hyperlink" Target="https://news.google.com/rss/articles/CBMivgFBVV95cUxPY25ELUgtdk81RlJKeUYxeUE5TGpwQnVBcFJzVHZydWE4UmN2cmhTMDVONnhUeEg5ejBNd21IcU5nTWxtRmstMjl6Yks2TE1ZcHhMQVo0NVMwUGZrbkd0UFltSkE0bWdxMzlnV3NCZkhrelhfbTlVT0NadjJOZjYxejFobXhuT0dnNHlFYTduRXZNSlRJRFRrRVR3N0pBRFRaMlIxYVRZUmdIZDJHUmhFbjBScGdwMG5GNEdaS093?oc=5" TargetMode="External" Id="rId11"/><Relationship Type="http://schemas.openxmlformats.org/officeDocument/2006/relationships/hyperlink" Target="https://news.google.com/rss/articles/CBMitwFBVV95cUxNR3JxNnMzYkh6T2dLQjV3cEN0VzV3NGxfS3F6a0FWOTlFd0RYOS1Da200aWNibW1hbnFWTG0yOVBjMEZfSWU0bDZlUldYZEl5YW5pZFdoVi03U1Z0VUdQajh1eHhQcTlMV0FzVzBzNjg5Z3BvOUhKcG1nZ2FkeXVKbEZWVk5oa2U2bmhSUjZsOHVacGJxejlYdmtEOGhNbi1fT2pKeWZtaEttVkltR0lfYVZjeDc1N0E?oc=5" TargetMode="External" Id="rId12"/><Relationship Type="http://schemas.openxmlformats.org/officeDocument/2006/relationships/hyperlink" Target="https://news.google.com/rss/articles/CBMiqAFBVV95cUxQRmduc0NPQlNZdUdVRXMzR1R0WV91RjJCTzZvSTRWMHRxcW1MdXc2UF9nZnlSbnhkOTg4NXljdkNrYXE3UDV2WldYQ3lkS1pzV1duNVBkMm80SE5BRVh1MkdabzhfQ1lDZlROc3EzRHdEeV9GdG1UWkFEUGdTOXFsTklGLXFOTmlwSExzMnZSM3NxUVdydzg5Q2w3U29DUHNjRHNCRVRBNTc?oc=5" TargetMode="External" Id="rId13"/><Relationship Type="http://schemas.openxmlformats.org/officeDocument/2006/relationships/hyperlink" Target="https://news.google.com/rss/articles/CBMirgFBVV95cUxQMXVXZngtY2JfMzFTOVlMdVdLMmIyckJEZ28xbGI3djF0cXE3YVItSDk3WFRFRWx1QnJCRjR2NGdWLTAwNlJYZ0kyaFZ1VGd6STA2bVFRRVRWRjRla0VTZk1uR21XdlVLYUltMW1tSEV3TUdiR0dheXh4clR1a0Rhd25UbFlrNV9DVVdIc1QyRVJIVlR0OXdOaW0wUHNVOEFyOG1Vd1BNVUdVZ1NBM0HSAa4BQVVfeXFMUDF1V2Z4LWNiXzMxUzlZTHVXSzJiMnJCRGdvMWxiN3YxdHFxN2FSLUg5N1hURUVsdUJyQkY0djRnVi0wMDZSWGdJMmhWdVRnekkwNm1RUUVUVkY0ZWtFU2ZNbkdtV3ZVS2FJbTFtbUhFd01HYkdHYXl4eHJUdWtEYXduVGxZazVfQ1VXSHNUMkVSSFZUdDl3TmltMFBzVThBcjhtVXdQTVVHVWdTQTNB?oc=5" TargetMode="External" Id="rId14"/><Relationship Type="http://schemas.openxmlformats.org/officeDocument/2006/relationships/hyperlink" Target="https://news.google.com/rss/articles/CBMikwJBVV95cUxOejZuNVZHYUg3QlloRzQzYXBzbjR3OFdESEFXaU1ZaGg4ZU1YMkExbUpVNHZ0S1JCUEZQNmRKVXVraTVxNjAxcnc2MWhPamFkclpDVGNEZDlILWhBdmtzQy16RHVJaW1wQjdtbmN1TUVUZDBudlMtNnNfcXdWMEV1ZWphaElvTUdTeTBsNDFYbEs3UEFHMVMySzZCVEIzeUYwR3Y3bWdPQmVfcHBlOG84Zkg0aGxLMmtLVDhzQms1MUNnWDRXYmFjbnZWQzU0SC1Oci1JXzBjbnQ0UTBJU1l1MWJ4MTd4TV9NM0FVSC1LRV80c1Q4QllyS01NOWFHVUZpMXdkdEpSNmt0aEg4WVl4V2Fwc9IBmAJBVV95cUxPQjJxY1ZBR21RVFNpWE1vR0pkOVA5Z0RUUmFZRDZ4dS16TWpjdzFzcjM0QmQ3bVkxWV9fWmdIdXIzdzA3MFZHUXNIZm9sdjUtd3cyUl82V1RKRTlZVHBMQjVNeFdXWmp6U293TS1WYnpiVzJhZlV0UVZGbTJ6WldTVC03bmhmYlhobTJJNlRUd2VucW1vRlpPRElMelZneGJGdzZLWmRVMWxSd3MwbXpKVXBEQkdMVEdsNWR5c0NXT3dGRVlUSEFGZ3licnVTbllGbnZ6VFBCNGxmZk01cWJjcVpqQW1TZGlmNkE4RUlwdDVyRDhoZUJmaTNLNVpBQ3JRTklFX2dkM2lIcnUxNXlxZnBCemtMMThQ?oc=5" TargetMode="External" Id="rId15"/><Relationship Type="http://schemas.openxmlformats.org/officeDocument/2006/relationships/hyperlink" Target="https://news.google.com/rss/articles/CBMivgFBVV95cUxNUjdNY3FGSXVhZWNuMFI2cTU0Tk1HbjdRNHZ0NEJoOFBQTWNCNFU5S3ZfZzlKYlJYOHpid0twc3ZkUzRyMmE4VnJjUGJybldSTWlYRUl0QkNJRVVGSFdNNWRYWWtjYVVyNG94cVc0bGJhVGo0bmhqbFd3MklsSEh1b3h3YzhQY05QLWhzUTlzaUpsSUZyRFZiUG1KNVBIVEI0SUhneTZDRTJ2Nm5pUGJGR2J1cC1VRWhmVlEtQUx30gHAAUFVX3lxTFB3aVc1Wlo2ZUlnQkk5akNVSHU4ZmNjTlFEdEtOekpRYzFTZnFKZVlNRHAxSm5WUGlWMmhySGs4bzRnbGRpempPWU9WdG1FbXpKUlpzajNIVV9xYlZSYURwcFEtYS1yVWMzRkxOdmZnRTJjNU43ZnJNZFZpR0hMenJTU3hPZDVCa19FbGxaWUU5Z01kbklXaGZDSHVyYjVKQzRyamxydExyM1RkN0kwR2NRVnFIdFJOSkZ3ek1pZElYcA?oc=5" TargetMode="External" Id="rId16"/><Relationship Type="http://schemas.openxmlformats.org/officeDocument/2006/relationships/hyperlink" Target="https://news.google.com/rss/articles/CBMi8wFBVV95cUxNMFMwbG5wbEljemRIR3lwN192YnVpZm5OZkdZSV9ORzV1S014VXNwZ05lV2hEY0tlUXhfUW9mbmVxeWpsNU9ia2UyMlJRaGJkM2NrQ0pxYzVSbjQwLThkME5jRG5rb1FHTXQ5ZVNKUTB3Tnk4eTdYVXFiS2J3NENxM0lDTEhTZXNPSnlHVzBrLWhXUnh1MVROWkpXMFpSLUpBNkx4djUtck1RYk5PSER3cGR3UTd0d0lhWmNxRk40c1l0TGs1ckVsSGZTRHdjRVFCa0FIM1hlaVVuV1FzV1lhRHJHYVB4N3BQRmZ3T1JTbndoRjjSAfgBQVVfeXFMT0R4SzdXUXU1WldnR2dzSVpmTGdKdG9aNkhhemNHRTA1MVVfMmM0SVJoU3V0VWFIamw5ZDFibG5UR01RNlFjMHVvVXdjNUxwOGlGOUNXXy1tUmhSUjl5aFc1VmN5Mm8wRUlhNnBVTzhHbjZWUFA1QkJKX2xPV0pwV0NYRmVuNVM2Um1tSW9sSl8tVHZBZTI3WXNvNFlzT2M3dzRUTjE4d2F3RmhLUlZlZV9PenZFYW9kOW9xbjFJa0N5UkgzQ1pLRUk0bkR6dXA2UEFVS21mcFRWeWpVVGtwT01xYjVRd1duOGhHbW0ycm0yVXB4R0hHVWk?oc=5" TargetMode="External" Id="rId17"/><Relationship Type="http://schemas.openxmlformats.org/officeDocument/2006/relationships/hyperlink" Target="https://news.google.com/rss/articles/CBMi1gFBVV95cUxNN0pVM1RiS0dxNkFVVTdVaUQxbTFOaHp2Z2x0N014TTRPcFpjZWs4YzhLb0RENWZ0RkcySVFza3JZU2hlWDRSNzhlajBLUlQzZVJQUWxpUy03RzkxSGFCZHZqMU0zaG1vOWVTYTdfNlNDaGpQR0VHemlDd2EzbFNQclNneTZUTjhpcC1JQXJJN0tNYzl0WjNHUC1SeHN3Vk4yOHJXSWVRaFdYVDZRWGRrU3hkX05LQUlha0p0RnlrblpfRjZ4Z0ZlMjR4VHB3ZmY4U1QwUnJR?oc=5" TargetMode="External" Id="rId18"/><Relationship Type="http://schemas.openxmlformats.org/officeDocument/2006/relationships/hyperlink" Target="https://news.google.com/rss/articles/CBMikgJBVV95cUxPOWtiUzAzVWw5Mk40VlV4WkZoSUJoOW5NNmZndTFSOEVMdHFkaGk3WHNRTFFlSzl1OHJ0VmVyalI5YkxsTGRWRVNoc0JPSXZ6RnpSMGxWcFhFNHFPdG9RWUJYYk1ULWlTV282cE5ES0YxWmVqNmUyaXE0d3RjQVA4UVFySzNreEZ3WWNmS0Nldi1RUDFSNDBMNWhYWE8zbW9uUEFaYTZlZTVUTHpwSVBWeTRpQjRBUmRmdjVSMXFCbE9kVy1tU3FtazFJaE0wUVJYVlNVYVJHSDEzTGpqU2FxZFdOQjY5ZFlxOHNEUnFKNnd5SC03ZDE2ZmR3YjdkS2U2cEFMSEw0dVkteHo2N29PMHZB0gGXAkFVX3lxTE96bkJGNFNzdEVsbWxGQzJDYjkwbkRtNjVjZnR5MV9TQlB5cHR4a2o2eVBhVW83T09YTUZ3dkdYTnVRVmlPaG9aNXVCbE9tZ0hFalhVamZoN2VGc3VNU01FZGVxSWtELWZhaXEwYTRjdUlhQzR5OGw5WW9ZWjhzNXVRYzViYV9oZ3NuUVlGbFNfQ3lHQkE1ci10OTBjRkNqR1hhZXk0WVAxZUVYSGhwUFpIcDhiQmZxYWZuODM2eEhFUXQ3ZEFsME8wdVZ0OVB3NVJoWU1iV25tVWdJT1FINklXT2JhTXM2NDFsT1JFVXphUUZLOTZ2OHVLejdOTzRsdkc0TkxVeGctbkwtVVlxUDRhb1pJVDJWMA?oc=5" TargetMode="External" Id="rId19"/><Relationship Type="http://schemas.openxmlformats.org/officeDocument/2006/relationships/hyperlink" Target="https://news.google.com/rss/articles/CBMisgFBVV95cUxOajFHdFZlZGo5cUk0dWJ3V1E4c2dCUFlBVFVMZV8wYklSQzVtUEJKRDZVSFhIdHRIUDUyZGlHc1ZWVC12bGwzMTFtSEpqdWdpYmowZmRqQ2ttVWVuaDRVOTh4b05lUVBQR2JYeUNjWDRjcjRMWExJSEFhV2lKRFRoUUVmaWFtSDBYdjBldjI2NWdYUlBHZXpUX1FRVXpwaXZucGpuQWlRLWxrdkJoWmRRblNR?oc=5" TargetMode="External" Id="rId20"/><Relationship Type="http://schemas.openxmlformats.org/officeDocument/2006/relationships/hyperlink" Target="https://news.google.com/rss/articles/CBMi0wFBVV95cUxNWmRkUkxrWFBGcW9fcUVPUnhZSWpZNUhEUXI2ZXljYkVWSTM3ZWJmdl9EeTZwOEktUlF1a0tod0VsR1pLOUlrODNydzdCTXhxU3ZsNzBXTUkydlkteG9uQVp5dmxNM2lfcG04ZUREZV9GQTg3NWxKd0F5cUFxX0Vzd2hZV2RqSnA2VndFWnV2NUEzSGxwdVZVVS00YjVGQmlVVzRnZDgtRTVUTXBNRG9zano2dTFvWkpSRVY3OFRkVVplbjRmTXQtZ01SeXZhWHh6ZW5B?oc=5" TargetMode="External" Id="rId21"/><Relationship Type="http://schemas.openxmlformats.org/officeDocument/2006/relationships/hyperlink" Target="https://news.google.com/rss/articles/CBMipwJBVV95cUxPTXhsRWN1cm45ckpDbWUxY21qclNKLTVCeDlaUlJweGFFUS1qSG40b09sNVlzTFBKQVNPZzU4R3VSSGZuNF96dHFPVVFDQmFOTy1YZU43YjJaRWpCczlrZkViZ0tTSS1lN1VzSUdrbHFoS01uMW9vRjl3MWRzSnZiSkd2T3REMjBBUTYwY29vOS1xSDNndVhFT0RNdjVtN1lFUkljSlE0cjR3ZjJqRDZodXBuMlpmSGJhYklpRnAxYktzS0hhYWJoRUJUWWUyeWlScXlTVk05VkMtazRESVQ1STE0TU1Cd0Q5Z2NHcXdZWm5XeFpaMHFJUm9CalNmMGdYZEpTS2ttUnFvaDFjVEc1YzhEb3NLSWlMRHYxUXVwaUFWQTZXZ0lR0gGgAkFVX3lxTE55RHpQVXVLRUxDYkNVYmFlZ2FlbU9vdnZVNTBvUXhZSFJBaHpKOXJ6dnE1aVpGSXlZeGdGaUtmMGN5TVdHX21JYkhuVXgyWmE5eW9UcEhMdmg0cGlJaGFRdEttaktQTlphMEs3Vml4cW1MMXY1eTU5S1dtbDRfRXREd2hmM3FRMGdBMVFjUmpqSlJZMUtOVjUzbTdaVTVUT3I1NDE5cWljc0NGaHFnZ1RVM0RWQUxBU0swOE1Ydk1HVDlvRU9GM0htOVdxeWZRRXRNWjVRbF96MVVZQzBsX2JfNlNLTDlaYk5HWm9fS2xQeExiWFNBMmh5UHlBdGUwYlozX0ZCU2ZxUzBjcmNQUG5PSzdkQW91cEppOWNsM1ZIWQ?oc=5" TargetMode="External" Id="rId22"/><Relationship Type="http://schemas.openxmlformats.org/officeDocument/2006/relationships/hyperlink" Target="https://news.google.com/rss/articles/CBMiwAFBVV95cUxNUzFDYmRlTTRKR1BhNDQxb3lJc1ZER3FjUXB6ZFVQV1o5MHZVVk12ZS01ME1iVHZ1NkNWOGNHS2N2YTBWZzFRS0luNkRwUllwcDNYNktWWXNwaTFQdWk0aDlsQmUyQzNhMXowZnFkbzg1UGI2NHlkc2tldzhPYy0zc2tIVmw3VUhXMVRtbUxnd2pTdEdsME12eDM5VlBGWEZXNzFHY08zTl81am9jQkJTZFVzSVdMX0IzaTVZcUNGb1Q?oc=5" TargetMode="External" Id="rId23"/><Relationship Type="http://schemas.openxmlformats.org/officeDocument/2006/relationships/hyperlink" Target="https://news.google.com/rss/articles/CBMilAFBVV95cUxORUxpb0U0WlRwTF81LXhEQklDb1lULTAyRHhKbzE2MDkyblBpNzg3QVJ3YlVTTG5zZ1RMSjlpaG1TUk1JUXhhZUVKTTE5bHJqMm1KRmpLUm91SGtibV81VURxNXZnd3c5YmRNcnpVWDFqNGJvaXBYXzdKd0NWSVlzMTMzVnV2Q1lIQWFPRTM0OEgxTDFl?oc=5" TargetMode="External" Id="rId24"/><Relationship Type="http://schemas.openxmlformats.org/officeDocument/2006/relationships/hyperlink" Target="https://news.google.com/rss/articles/CBMiuAFBVV95cUxNdW5ud3NiVkJObS1vS3V4YWtacEFfYjNtX05KeWhyb2VacUlHZFc0UmF1Z0pBalhfRVNwampJb0VodkJ1czJJaV9INE8xUWVVRlkydGdDYS1zUU1lRWFmRjFUUktwa0U0a2d3VVU4VmJTaDBFRnVhUFZBSG9vVnpYV2NaSGRJZUFva1B6U296UzREYmlqcDF3RjhTU0lzLWh0cXFSazdFX3hHY040aXNjd2E5cTJZSWVk0gG4AUFVX3lxTE11bm53c2JWQk5tLW9LdXhha1pwQV9iM21fTkp5aHJvZVpxSUdkVzRSYXVnSkFqWF9FU3BqaklvRWh2QnVzMklpX0g0TzFRZVVGWTJ0Z0NhLXNRTWVFYWZGMVRSS3BrRTRrZ3dVVThWYlNoMEVGdWFQVkFIb29WelhXY1pIZEllQW9rUHpTb3pTNERiaWpwMXdGOFNTSXMtaHRxcVJrN0VfeEdjTjRpc2N3YTlxMllJZWQ?oc=5" TargetMode="External" Id="rId25"/><Relationship Type="http://schemas.openxmlformats.org/officeDocument/2006/relationships/hyperlink" Target="https://news.google.com/rss/articles/CBMi2AFBVV95cUxOaVVsSnlXUHFmTWxXVlZSNnRHcy1zRW1wbUdOZmZRWG1DQmlBbVVSWmJIdF83V0VObkV0NVh0T3kwQ0Z3U2VuV01NSUxTU1drMldDTnpjVXF5a0d1ZldaU2liWHNaRlMzazdiOHpiaDdFeVBrbGJORWN5MmtUTk44UVVGZVFmaDJZNXdmekEwS05XQzNDbGxPeDZsWFd1amQ1YUxQd2w3VGVZUGtaTHdGUGdoemFLVUlqcU1aZkhJMUFKQmlqU1pmcXdfMEc4ZHM5U25iX3NjOVY?oc=5" TargetMode="External" Id="rId26"/><Relationship Type="http://schemas.openxmlformats.org/officeDocument/2006/relationships/hyperlink" Target="https://news.google.com/rss/articles/CBMivwFBVV95cUxPZW9rV0NJRXU2T002TkpGY3BBMWpjYWJMLXNYOUZ4bUQwZkw4UU1ZMmJLblFRZWhpdmZUc0VPYVp5WHVDMTRFZnRsNkZzQjFlMUdlMGgyQy05bVpVa0lhaU9PSTlXU2ZTYWdIUVF3ZEV2MFB1SGVtbk9LUWhPWWRQbVlCbHNTbVRZZW40QW45R1hVVkcwc3VWemxkRUdieTA1YmhHZVMybTBWNW5OTnJzcTgzOHVkbVlGbzBxSlpxUQ?oc=5" TargetMode="External" Id="rId27"/><Relationship Type="http://schemas.openxmlformats.org/officeDocument/2006/relationships/hyperlink" Target="https://news.google.com/rss/articles/CBMi4AFBVV95cUxOOVBXVDRvbFRPVGZUMlYxdWZuVVJKMUxjOWw1blFmUW5JQWFvYzFmd1pGVldOaWhSd2NySVF0NUs3V25BNlFKMnhrM0dRVmtRMU1IYmhtbVlPamRBejdHYXZ5XzFnd1JJdkk0Z0dGV2NYZ1JmNkhBVTNvV2xnc3BSb2FFaFdNUXdCWkJQU2V4V2JDMG8weXVyYmJBUHZZdndmVE5lNXNGdmtxeTlGVXl3ek1BN1k1bzJ0WGV2VmFYQ2h6SjVLUEQyT2JUeV9PZWRaUGFBTFNmSnUwSEZCOWFIV9IB5gFBVV95cUxPSU5LVTJRUC1YUEVNeHNUemEyUmRkd0JaT1hqbFlvZVBCWk8yMWtZY19sR3dnekgxT2FCT3pKaUZfWkMwZjdKYWtCUUlSZm1GaUcxbzdUSmN2M0RudFF1dHJHVFQ4UlVldnc3UE5JWFJ6T19OU0E0X2JvZXF5NTM3RGFmYWlTam1xTnE1bTYtMlFtcmdTYVBlOWtFbGxvQ2xNUThNTzZMei1obURvZ0s4VGFnazd5WUVHRXZFR0pERExITkhhc0VFM0VVbG9sWEtPb0xrd1F4TlUtYkc5bTY2M2M5ZVZ4Zw?oc=5" TargetMode="External" Id="rId28"/><Relationship Type="http://schemas.openxmlformats.org/officeDocument/2006/relationships/hyperlink" Target="https://news.google.com/rss/articles/CBMi9wFBVV95cUxQc3JkY25Iamc5akJlYWgxSHNJMGJqQm9iSWtwWThPZWhnczU4YnJJOC1sdGZMOERMeWluV0FkVmV0QlNxQy1mVG5xMkRWSUVEdE0xYk81QjcxdXdra1kyTk1lZlc5MFV2RnQ5d0hOUGdXQWNBSUIxUWRTc1pMcmNfakNUOG5HcTVaNlBFblI3R1FUX21PbDNJY3I2Q2o3Rnc1OTZDVzI1TG10VUpUS0pLdWJMS2dLY1ZSSzVTdU80MTZlUFFPSEdKN3V1VklZZm93RmtzcF9nNTBsM0FFdVhfY01UamRYRkpWVlYxcDJmVkxMUEpJdmkw?oc=5" TargetMode="External" Id="rId29"/><Relationship Type="http://schemas.openxmlformats.org/officeDocument/2006/relationships/hyperlink" Target="https://news.google.com/rss/articles/CBMi1wFBVV95cUxQMlVJODZONnhDZU1vT2d0Wl9ZMEFmZkN6RGFrVU95R2RqanBoZEpCSTRZckxNcjVOTDFoY1FyaGE0RF9hS3UwVlptODRfMHFoY0Rvd0l0R3JJTUUzTExBeVc0RVFNUElyaGkybHdwZHByWjF6Nld4VWVCRHFEQ3l1UkQtSHB0M1VrZXB4MTBEWENzUnowS1I2c1BOeGIycEJWSmRScUlFQnc2N1VwVmlGd3BSX19iNEp4SWxNMWJiV0hXZHZ3NDIyQlg2NnQ0N09XWWZTdHU1UdIB3AFBVV95cUxQSTJkN2R1WXNmVVFmNE5GX1M4RHhod3daU2k0emQ5N0lWdmZxcXI1VDFCWDBkcDg2eGZ0TWV4R2ZCOVdtTC1leTBaOGRnaFd6UHRhbWhUNVBpRzhib0F4RWNybFlUTlBMamtLUXN4VXlOcUZTT0FBZ21Wa1hUZ2FYZUgwSDVPVGFjQ2R5ZXh6OGtMWGlzMUI1SjJQR2NaelFXTm5nZU9jVnBSLUtjTzhqZVlMWHNTc3FjSm1pekpVRFd2TTdLci03cGozMjhoczAtQ3pENXNoZ056d3dM?oc=5" TargetMode="External" Id="rId30"/><Relationship Type="http://schemas.openxmlformats.org/officeDocument/2006/relationships/hyperlink" Target="https://news.google.com/rss/articles/CBMiiAJBVV95cUxQZTFyMk9sdFl3QmJnUDd2OGhhdDNIZ3FwcDQwclFmNE1Ba3ZsakV0RzN0RHlKUkRYZnJST19SVDlqZmp5UGV0OGdOYzlLTkNNMTFqaEhNZGQ5cmctT2JzTEtZNzk4N1lfb2lyc2NuVU1ETHNWU0ZBZWpxX29hVWxxNUp4VE5pNndCVFVDeWtmZWNPQkh4U2xFeFp6NEd0am1jV2FBSWZIb215bUxTVnc2LTdhQ0lmM21KSHUtQjVSVlVpajhPdkZYdHQwTEgyc01tMFdxLXZBZkUwSUdGdXNkUjl4NGVMeHNWNzVROXhhSDUxT1BJSXo1enlzR3VVNXpyeWRaeTc4YmLSAZACQVVfeXFMTUltcFpOMzllTWlGSzAweENGY0Nob0tmTk96eV9wOVB1cGlDeTRuN1hRRFI4RS1KTVoyUW5xdWxpU24ySVIzWk9JV2F6bks2bVJ4TlZidVFqQk1LU3pOYlNEV2Qyc1JVSGlhVDhyb19xQlpQbWFmUmdXakhsUDZtSUEzSXlnQVA1SEhXV1BzZURDVnJablhfSk1FUzVCSmEwQmpZczltQVRON3otMzV4MnUzVGxsTlNJMGt3ZU5fWlhrcU53YzdHTE92UGx0QjdBTkdfOUVobGVib3VCcDR2MGZ4Ulk4R1haZkJZdEQxalExRDZqT01DMjlQbEE4RVJ4b0Z0UGh1c05kX1A3bnNOWFQ?oc=5" TargetMode="External" Id="rId31"/><Relationship Type="http://schemas.openxmlformats.org/officeDocument/2006/relationships/hyperlink" Target="https://news.google.com/rss/articles/CBMiuwFBVV95cUxNTkdfNHBGVl9UeTFzNGUtdzRHMk5xb3Y4N0VvTGkxWUZ1WGJuNm9FLUtBRWxuZUE4QUVQT2VYOFpSTXpDOHJ6b1VrUXZia3E5TzdCdTlOUnhXVkNVMW5GVEJmQmZuWDlieDl2VndJTWYzRF9rZ3I5LVVfb0ZpbDBya2JrdHBIdFQzZUROemVYUU5LSjAwMFVaellUbWVnMkYyMUFTam9WY25YUWd3NFNRUHE5MkRGTW82TTJN?oc=5" TargetMode="External" Id="rId32"/><Relationship Type="http://schemas.openxmlformats.org/officeDocument/2006/relationships/hyperlink" Target="https://news.google.com/rss/articles/CBMiwAFBVV95cUxOUHlaMl84Z2E4T0RVUE5PMW5FZjVuQW1RcjFVTXd2ZUdMdmE3dXpNTURraTVmWHJYd2lQbG5fQVh2ZE1WVDlob2NDR2I2YWRQMVRLR0t2YVRaSVlYWXBsVXJoS2YwUENlLXducG1jaUtKbXNlUEVHQy1RT0JXdXhLZV81UklYZzFuMmFMUFFuRS1sMkRaZGgzRHNyMk9Yek5sdi1oNVZXbmdxTDhyZzlhODVKX1pmS1pYODc3MHBBT3Y?oc=5" TargetMode="External" Id="rId33"/><Relationship Type="http://schemas.openxmlformats.org/officeDocument/2006/relationships/hyperlink" Target="https://news.google.com/rss/articles/CBMizwFBVV95cUxQaXBiV3ZRODczRjJseWRyYjk2WlFLdHd1ek5tSHNjR0NGRGVIV09hM29yRHZLUjRxaTMxeU9fMmN0bFE4d3k5a0hMWk42TXVVR0NZMV90Zmcyc1p2NHJNRzRnT2NMN0szWFRTcm80TU96MTlGdXZ4UEs2U2VYaGZmUUdGdGdtNE5YVVRTdVNOSXpsYUpQTEdVMXU2NVNBbHR4RUNNQ09WaHIwSVdtRjM2Qm5RNjV0cGk0ZThLblZOLW1UbGwxYjg4RFN3QW1kOE0?oc=5" TargetMode="External" Id="rId34"/><Relationship Type="http://schemas.openxmlformats.org/officeDocument/2006/relationships/hyperlink" Target="https://news.google.com/rss/articles/CBMi1AFBVV95cUxOTDJ1dFlKVkRQMEhPdHhUbGlyTHk4ams1Y0EySG9zRlhkcWpORm1FUzdwWDdtVmZRT2s1YWJJYUpDU3h6UUt6Y29DaFJsMFpmZkwxMnk1dnNGQ3kzSlNfNlZoOTVURThySncwaUZ1cDJzeGU5NlN2NV9aeWROd3RuWTItcmtlNUE5WkZVbi1wUUtobnJzRGp4SE1PcUtPaTQxbnVDRUdTWFpQTGZjMzh6dTJ0TzJtRVNMbUJMVmlBTlFPTXQxX19QWktWUEhWM3ZkNm51VtIB2gFBVV95cUxQcjQ4VkQzSUZjUnlJeGk3b3ZFQk5QYVM1ejM2X3dZanFHNFhOWTFJME0teEVXZFRQZDgzMzktem9uMWc3ZXphVVJJUGwzUG1KVnpKVi1Xamd4cy1qM0hTYUR6OTVSa2ZUQ1E2S3dwWHV3MTByUGtFQS1seXl0SWNUXzhxeFZ3UEZIQVd2V0w5NlNNeHgzeUVHYTV4ak1iYW5IY0IycU4xYnJ5dGxxMm1QSFdQTGpQYWE3Y2dUekVadEVSeHZYc3c1UDdmMDVJd3hXbjlMRjItUlhBUQ?oc=5" TargetMode="External" Id="rId35"/><Relationship Type="http://schemas.openxmlformats.org/officeDocument/2006/relationships/hyperlink" Target="https://news.google.com/rss/articles/CBMi8gFBVV95cUxQVWhkWWtVc0VYNGNZNEZwLWxOVklBeHdGYnpsM3NiVnRtUlYtNGlwWHVzNWpZUkdnRjJmUVhiT2g2MFEwN2o4SXNwM1ZSOGV4cnEzb3lOUHJDbVdYcnJiMDBVbFB4cHo4Und1XzdMRF9uWEo4ZDRpSks0SE1GUTlFX251ZGNfWVZ2dEw0QklyVmZZR3g4X2dSNWRNOFcxXzJUbnY4WXFqeXVSRUdfVFBNUm9ZVVp5UGRCNG1PaHFsUW5BOVJsTHFPSHJvTlBxd0VIZW9NWkhfUkJGbEFKOXRER0ZBdkE1VDdoNWhyVlloQWlOZw?oc=5" TargetMode="External" Id="rId36"/><Relationship Type="http://schemas.openxmlformats.org/officeDocument/2006/relationships/hyperlink" Target="https://news.google.com/rss/articles/CBMi1gFBVV95cUxNT3ppT2hyUUlUTExXYmkwSWM5TTRRSGd3d1ZzTk5rU1kxU2pRQkZQX2RybGhkWE80aUFRc2gwZ3MyczV4Mzh1emRfd0h5QjlOOWN3S21ZbFkwODVqOUs0b0tnbzNNd2Y2ZENQXzM0WFNxUTZLS3VMUFFidXR1SjdFb19hLVZIY2JxVHZPVW9CMVc1S0cyb0FCOW5ydENoQ1ZSYUVuaGJBY1l6U1RjQXF0c3FYU0VXbGpnLVhkTEtyc01yM1hZTjRvbnpPMEpVNE9JMkRqaVRn0gHeAUFVX3lxTE1JUmRUNjZycl9ZN1RHazZuU2VHLUxzRzMtZWF6Mzg0X2dvOHNhMXYzeUpzc212SU5wdEN6SGhLd1g5ZTNER3pCalNkWnp1NnN4MnNYNi00cVdwZUdyUFRrZnFDdHllaUxYVGFnZy12WEJtMHNGSUxrbkJ2YTZ4djlYWFZ5czdKUW80aFV0YXVjTThZc0tFNmJ1MENSRzZkV1FyMTZQMTc4LXZSWHYyNC1UeFhHWTJaUFM3U2RuZ29HUWVLa3JudW9rb1EyQU9iS3dKN0dxSnNTR1ZHNVRqdw?oc=5" TargetMode="External" Id="rId37"/><Relationship Type="http://schemas.openxmlformats.org/officeDocument/2006/relationships/hyperlink" Target="https://news.google.com/rss/articles/CBMi6AFBVV95cUxPQml6RHdZS2FTeE1nN05IMHpUTVYwR3BxdXhNRVViWjlzSExMb2ZsRFBGZmc3bXZRbDR0Z2ZZVkNhclFpRS1tYWtfN3RpM18waHFDdkRzR3FWeDllUFhvb2JlaVQ0RkozVWt6b0dwS1VWRk5zcjVaM09RUjE4ME1rNmZ1WkxqVl9FVm40ZmVoeEp0X25uTWN0Vm5PLVV2OGpLaTF6X1VuNW5kNUVwU1FtclNGdU94LXQxdUozUTNwQnVDQzR1OEhCcVhpNWpOakxseUIySzRrdWMycFR2TWRRSUtjQWdCZUxh0gHuAUFVX3lxTFBvVWFETnc5Y1BDWk1YWmhPdFNTbTZESnpWaHNVSTRoTWJHVlBONW1yVldTVThqckJyTURkTXotaVRCX3lOZ3o0QlRINTZJcnY2SmI0R0JuMkdjV21jVVJrcG55Y1lrM0F5N0NUS1pnODZNTmRIbVRLYU5nbXE3UmZyb0hERFNBdTJ1SEdTLUluV3FldFF2VVd1d2lucXpUcUlxNVlnODdqdkN2UjE1WmNfWlU2NWJLelpwSXptX3hKMGpjQ2xaOVFDdW5hd21UMktsODRIaVdmY0ZoZkdhQnZvaC1Ha01SN1JlVV9TR2c?oc=5" TargetMode="External" Id="rId38"/><Relationship Type="http://schemas.openxmlformats.org/officeDocument/2006/relationships/hyperlink" Target="https://news.google.com/rss/articles/CBMiXkFVX3lxTE5YVWFUSmNPUGtKRF9jY2EtNTNkS1lUVHJYOFgzZWJkY3NrY1lucDJqajdnSjhJTFZuSkZMSjhwSUp3UEs2cDZtNTYzd0YzbEs5NE9IRy1VQzgyWm5YTVE?oc=5" TargetMode="External" Id="rId39"/><Relationship Type="http://schemas.openxmlformats.org/officeDocument/2006/relationships/hyperlink" Target="https://news.google.com/rss/articles/CBMi2wFBVV95cUxNbVVVa0lsV1JvNU1BWnlRVFJSNDQ2Y3l5Z0xwZWdFS2JSTkJPbkxlN2ZfNE1ZZ2hVa0EwMVZ3enhwOGNTQ2VFRC0waFdOckhEaGJ5RDctUGg4UUEyNE9La1BweFVkeWNya2h0SFZ4WVZhZlVLTjl2cXhLaURoTkxSMXd6MHVVTmtYZk90SUx1NmsycU1KMHZKZVItNWRuR29pYy1KWTVEMWdPdGVQcHRQMXFadHJ2TFc0UEFjVGpKM2s1WTJER1RJV3Y4eU1GMmItSDNpR2hBZlRNdkk?oc=5" TargetMode="External" Id="rId40"/><Relationship Type="http://schemas.openxmlformats.org/officeDocument/2006/relationships/hyperlink" Target="https://news.google.com/rss/articles/CBMiwwFBVV95cUxNLTdIWDMtbG5YaEVpMVZSemJTMzFndWU5OVVkcDJXdHpCeU9ON2JtcGRmNmJESXByQ3ZWYlh0bDZuWExfOXhtQXVhc2U2eThtZ2psXzFKS2NKS1VXU3lPNG1uNmlfWUE0aUlWVERSdS1RTXpGZkVzZlRfWXhhcDN3dGktb2JwdjJHQUM5YTdTZU43RkZGM3Q4RTZKc09HTzFHTlNmNlZpcWtKSi1Ia0hyMWNUZEUtUy1GWXdFMlVPRWNVQ1E?oc=5" TargetMode="External" Id="rId41"/><Relationship Type="http://schemas.openxmlformats.org/officeDocument/2006/relationships/hyperlink" Target="https://news.google.com/rss/articles/CBMizAFBVV95cUxOcXdkRkl0dlpWcXlSb1U1T3BxdXhIb0x3Mi1PUUE4QXh6WWNkREVUTWV0djV4MFBUSVlLZk54SDlsbnFsNGg2b0dnZjh4b193bXpzRndMZHZpUjAxb3VTam5mc0J2dEdWOVNNLUtCR2VuX2lDWlF4NDhWSTFNVVVyVE9VbHJrSUwzZnJPdG9FVE1NNHVIcWlnMEpiWWZfVjJrZ1hmbE5zTXJXdVptRS05V1ZqM0VpVENxV1gyaDZCT2t4c1Y3d1lQTk5zUEHSAdIBQVVfeXFMTVNfZHAtb3RQNmU4T09SV0dBZFdLSkZJUUdRV2VZSjRUaUtVR05CRVNpR2EwVy1GR3NtdHlrYndwZmZ0T2d5NkNCeDAyS0M2Y1ZkX0oyUks1LXpkTkFqUnNvWHYwYWw1MTJDQno1NWZxT3pDS3F4Z1B2a3ZKTTlkNFM4ZGZicWlSYVV3WTFqbHBWNW05ZmpZZXk1akFpQTl0YWJ3V1FIdGFKOHB4VXVNdkgyanNmdTFYRUczZ2NleW5xaVNiRkNmXzh4dXQ1b2YtM3hB?oc=5" TargetMode="External" Id="rId42"/><Relationship Type="http://schemas.openxmlformats.org/officeDocument/2006/relationships/hyperlink" Target="https://news.google.com/rss/articles/CBMiogFBVV95cUxNMzlJdG1RZmREVmFLalpRMGpfR2k0a010SjVMTk0za3NnazZxdlE1MlZ6TTczdW9aM2s0ZGZsVmlBcTJvSnJ4ZlhTZ0JubW5kTDR6aE9FR0p3ekxHeU9fOHptZVRBNVdHd3lNSVJVZ1F1NzNFcURBRTQ4WjRBNEFqZE1Gamx2VFY2NHJaZkxYRHdiNUhzcDdCck5lZk1WTlhnQWc?oc=5" TargetMode="External" Id="rId43"/><Relationship Type="http://schemas.openxmlformats.org/officeDocument/2006/relationships/hyperlink" Target="https://news.google.com/rss/articles/CBMi1wFBVV95cUxNNlZWX3NYV0RDNkQxcXNfZ3Z3VEZwVDY3ejdUOElORUN2YXd3eFNBODctaDV5a3ZrT29fNnY3VzRtTjJOSVdwVVNCRW9LZU5kOWhJZFE1UHlLaGk2VHcyVGZMWGhJUE1KNlR0SkdRN1hpVkhvOG16Y1dSZm5oWEpNYU9oeW11QjEzV3FzbVVDcldGTXJWNng1bHdNbHQtaFlRUGpqWHpUbTVESzVBQnBrT3NoYWVpdS0tYlQzaVRveWhLZG8tN2NQSy00V29SWWdJUEJBTTBHY9IB3AFBVV95cUxQNzFWYUNDdTRJdVR5ZEw4N0RDYXdwaEFTM21GTTZoQ3hLbjNQOGZHTTFjSWk1VXpuY0lmMGZJZlk5ZFdCZkhoX3U2ek5wZU5LbDBnczctRmJxaWFxNVl2TjZWaktwTDBSWjVMTEhBZGh0ZGNoSXN5TEdvYzVqaUtHQ2pCQmZYTXppVmJrdzN0N0hCVTZSRzc2cGdtVTJpREFoUGxQclFpWmdIWUZQVkViaFNwd293dEp3a3BpbW5nZVRCdkZvd2czWXFhLWFlbGlMN3ZYQjJ6b2t3cWlf?oc=5" TargetMode="External" Id="rId44"/><Relationship Type="http://schemas.openxmlformats.org/officeDocument/2006/relationships/hyperlink" Target="https://news.google.com/rss/articles/CBMi2AJBVV95cUxOZEZkOUo3elRXQW41eS1KOUQ0S3NvWFE1OTNHVy04WW1BeHhDV3djcGFrem5PMS10dEVmamxsYjEwYnNJZ1BVbTNwVnQySHpKZ2RPd1NzempiTGp3UTMySEc5d011SkdOYzFXUzlPd0hRLTREMGRmQVZLS0FyNWUwaDNnUm1nSjhISzYtNGNsZEF6VWZVOEc0bjJ5azRJODFKWVZyZldCeUJtbUg4Z19GWEUtWFNQLVA4azNtVkZ6UWNMcDk0ZWdEYmdVS05WQ0RLZElsQ2I1RjVXbUZZaHBaSF9lay1BQzNuMlc5b2o5Uk1oWmNMLU84dmQzRnZub2RXbjVYVlZ4bjVKTVpkaHZLeDRZcjZVNnpocnRTMU00eGQxZHZUbGNGemN3SFl1T1NzbXBCTmdMU3BuYWZMc0pJbmVnOTFCb0dUeXFhRXU3bGNqUjNzamVGQ9IB9AFBVV95cUxOamxtQkl4aWpPQXZ3RXdZblRPa085YklxbVh2ZXczb1BhNGdoLWpOSWF6OEdHTjcydlA4eXlUOHpZMUdNMk45VDNGNXJacFBra25ycnNGQlFJT090el9yc3ZjZ3NYRmhZa0VHX1JEOER2RHQyV3RXRURtUnZrQk5Xci04Wk41X1RTSXhJN0haNmtVNUFpbmVMR0F6VzFPZHliV0dHMU9iR05WTWFPb29QazVvRXk0eVNLb1hfNXlIclJ6YWhfa0ZUc25Xdm5fLWZhWEhHUGk3SHZHNkxKUUpqRm9KdjdyREFhdV8xeXpkMll4aEZk?oc=5" TargetMode="External" Id="rId45"/><Relationship Type="http://schemas.openxmlformats.org/officeDocument/2006/relationships/hyperlink" Target="https://news.google.com/rss/articles/CBMi0gFBVV95cUxOTW50Tkl2NDNWMDEzblZlNmpXRTdHSDNFVkpwNGZIQjJDVTJ0OGJWeVFPWjIwclB4TU9meUs5d25nZUYxU0VYWlRZQjRGSV9PdERaTVRWY1VOcWxXX1pJY0p6WDJ2LWN5N0ZqYXBRSnE0Vzd6Y2MtTWduaTBURU04SXJCVVRBN0RNOVRqcmJDb1hRWW1hdFkzZ2NNM0hGU2RNLVMzVG9taU5XNFBFdkpzNlQ5WDJVckRFTmNKMDFTckRsblJoX2Y0S1czWlc2dDhBMmfSAdcBQVVfeXFMTmQ5Rm4yV2dIQS1VOFR0clFWLUdUTlZUR1A5VVYzV2NhVzdhZXJCMGhKMlNxMElXT3F1UFdTbWl2bWs2N0Iya0U0WHhxZld1U29mRWlwYU1RWnlNOEZmQ3QzQnlIQkFsRjRnMFl3QlZ0c3lfT1NFQk5GVWV0cmQtT093RWE4UTNXMGx5dWZBenZCMmYxak41TkFYNXJEUWFTSlkxWEpsNGFsTl80SE85NVVWYTBiSk9wcG9BVF9jLWpiaVltQWpVVEsyTk9KX2luU1ZsUTA3aHc?oc=5" TargetMode="External" Id="rId46"/><Relationship Type="http://schemas.openxmlformats.org/officeDocument/2006/relationships/hyperlink" Target="https://news.google.com/rss/articles/CBMixgFBVV95cUxQY2daQnV3TThDSXViZGppTlJha2tMZVU4ZEV6Smw5ai13RUxwa3ZoODdGYTYwLS16eW1UdlY3SHVyQjVSLVAxUlVXNmhiTVNSdTFHVXNNYk94VXY2a1Q4V2c0cjluWDNBbkxwZDVfLXdxUTk3aV9xM0hnVElQcERGaDAwaVBRU2JZam8wTVM5WlhsSXJGMXBkWWlIdUZXWEZITzlJRk9LM1pEOE8yYVdETHp4WjRzWklrV0dvak5Pc0ZiaFdlMVE?oc=5" TargetMode="External" Id="rId47"/><Relationship Type="http://schemas.openxmlformats.org/officeDocument/2006/relationships/hyperlink" Target="https://news.google.com/rss/articles/CBMi1gFBVV95cUxOMUFDOGdnZDc3VlZTRnBlVi1TNmpxRmRKTUtJaVVaYXFIOWJYRklfam54WG1OWkU2MEphUEhmbjlEVHBWUEp4TVhNSFZQN256ZGxjcjdaRUxsd1ZsNjYyc192SnlCNnVBdjJXU3gwdEVBX3AxMllFTXlLbFJOUGlkWnNRRjE2RXJRUUhUMVFraGpnZEFRQlFLUTVnY3lDREJkWXdsZ2l4MVhxNXZxSlUzMllBQy1IRm9ja1lYTUdzRXBqdHhvTkFOVlRJTVR1VFRFMjFEUzVR0gHbAUFVX3lxTFAwZDI2NmhfbDE1RmRhTlk3a0NVMGpWakRNLXpfMVdYQmJGcDRjYWpOTkVNTS0xaWc3MVRCRXVrV0g4YlNIY080RmtqN1QwUEdwRzlXOGdESzFXOUZxalN2RmJRZGh5MGdOUUFEQlQ1XzZOSFUtb2dEemREUFJXTUZYSTJ0eWwtRUpMWTBBa2ZBanpkV19PYkpUNFJFVDk0OWN4cnJTeUw1MjdVTjBDNF9Mamdzc3BrTHM3dXFWZWs3Ujh4ZWREQTZQVlRWYU1raXJpMmpOVDFpUC1vbw?oc=5" TargetMode="External" Id="rId48"/><Relationship Type="http://schemas.openxmlformats.org/officeDocument/2006/relationships/hyperlink" Target="https://news.google.com/rss/articles/CBMi0AFBVV95cUxOcUo1LU9Dd3BjaFU1bVBLSXhidmJfcFJmeDBUWFBaRUFJRF9FVlk0ckhLWTR2ZzJWQ0NIRkhXZUZOQzVHR0VDQjI2NE5IUl9PS0I3UmFSbVVnRVI2V2NoeDdOVGdPYXM2UDdkQTVIa2RMOTAzUzRKRExNTERWbk84eDVsN0RPM3gtcmhENlBhNEcyZEo5UFdoQWZKSkFiUTR1eDltLXpoTFF4VTM4UXUzLVFBSGIwMlVzV0lyTDRrSEFZaGNjTTlLRkp0N1ltbXln?oc=5" TargetMode="External" Id="rId49"/><Relationship Type="http://schemas.openxmlformats.org/officeDocument/2006/relationships/hyperlink" Target="https://news.google.com/rss/articles/CBMipAFBVV95cUxPSHQwT25wUDBQTGJydm9RS2lOZkl5b1Bod190aV94bE5lRVZsNUVYX1ppMHQxRWc3bGZCNTRyeThwbE01bG11OUdmYUtnMEE1VkduNVZUTTBMRkZST2JDM05qaDVnUnY0LWlHV0cya1d6SEh5MnNhUjB1VUtIc2pPVmk5N245MDJ5VVNuR0I3b1VKRlFYcE1YM002b0RRb3IzY0ZMMdIBqgFBVV95cUxPQ2N4c1RBUjFWOGVlVUE2NzFITzlDOVJ3Rm83dXJhX2F4UmF0cE9RLXhOTTFIQzdmYVoyM1ZCamdabGlUTU9tVklfUm4xTVlPZTgyaUNTM1FnRnlUTzdiOVBFeURwTUhWd05qdUxiNjktVmlyQTZyeWZBa1VaWS1UanR2d0dLbEJyQm9YN2hBeXJ6d3hJdlVDR2Q4dmloMG5tbC1YOFR5TUdBUQ?oc=5" TargetMode="External" Id="rId50"/><Relationship Type="http://schemas.openxmlformats.org/officeDocument/2006/relationships/hyperlink" Target="https://news.google.com/rss/articles/CBMiwgFBVV95cUxNRm9wczhmdDJsYW0tSUc3Q3VzRGVzTzZSMzdpR2o2MmJHX21lYTJHQmNUU2w3dElpcEpyUXFBbHZaZHlqRXNidXdpWVZEaWhXWlNaZlM2TTM1RXpWb1BwTUFNOWU4YjNsSnZzazJWbkdwNE5XTDdueHgzWWdwdWlCZkdUekVNdEhDaDhKRzZuUnFiWlNtaDIxd3RwNHFkWXB2andGM0ZwMUJLUHpOSDExLXZndGtjSmdCYzl1UXNLRWZWUdIBxAFBVV95cUxPTmdzMG1GRF93RmdyMFR4SUYzWFFxSUhLei1zLXZSZXZIaXdFY29CWU5zcVFLNHAxMzBJUGhfUWhEMW9STlRBME9aUUstYzZvMV9TaXFUOF9DWk1mM1BOOUVuUXVPMjJTUTI0Y1BRMkN4MDE0cENsV05mbEEteHAtMmR1WWM2TjVGbHNnWmdoTFVNR1Q3OER3WDFjUU1oMkt1VXJfRmt3bTEwWGM5ZmE0bDZRbDVUUUYzYmVEdl9QS04xNUxY?oc=5" TargetMode="External" Id="rId51"/><Relationship Type="http://schemas.openxmlformats.org/officeDocument/2006/relationships/hyperlink" Target="https://news.google.com/rss/articles/CBMisAFBVV95cUxQd0tQR0Y5aWc2NjdaVlF0a0RFLTFKM0kwclM2WXFsQmJrTGtEbkFSYmRKSk95b3F5LVVYcXVTVTBJNWxBM2xqSzVKOGJGVllrMURVZmhRcmYxa0QyRVRqZW8xYS1kQjdneVktNHRLaUx6ZHlrY3F4ekk0RkktSkVWRl9rME9PNUFsbC1fcDQ5VTR2UDBwVUJGV1AwcXJQQk1pQlBleXF2WVVTWVhuNjZ1SNIBsAFBVV95cUxQd0tQR0Y5aWc2NjdaVlF0a0RFLTFKM0kwclM2WXFsQmJrTGtEbkFSYmRKSk95b3F5LVVYcXVTVTBJNWxBM2xqSzVKOGJGVllrMURVZmhRcmYxa0QyRVRqZW8xYS1kQjdneVktNHRLaUx6ZHlrY3F4ekk0RkktSkVWRl9rME9PNUFsbC1fcDQ5VTR2UDBwVUJGV1AwcXJQQk1pQlBleXF2WVVTWVhuNjZ1SA?oc=5" TargetMode="External" Id="rId52"/><Relationship Type="http://schemas.openxmlformats.org/officeDocument/2006/relationships/hyperlink" Target="https://news.google.com/rss/articles/CBMi0gFBVV95cUxPYjRWVkJta0FLZGc0VW1vVWVpMnZxckxFNll3RkVpdGZsbGJrWVJKZk85Y1ZWODY2ZUs3V3pBRnFYSHpCR0VrdXpEX09DTHJwTkgybTdvLTFzZnNCQ1NocmNyMXpyQjBfX29GeWZMdHY3M0g3T0NVeERRT3g0UUN2Vlg3eTNzRlhRaklnalQ2VlF5aWZDcGxZb1puYXNaX1NvUk9yLUZhUklaV0N0ZmhyeW9ROERDbGRtOF92V1pvU2l6NGJwMHNPZk5xWkdWcDhXX0E?oc=5" TargetMode="External" Id="rId53"/><Relationship Type="http://schemas.openxmlformats.org/officeDocument/2006/relationships/hyperlink" Target="https://news.google.com/rss/articles/CBMi4AFBVV95cUxNYWZNdk04SlliSDd0WXdTVm9EYVFNc2lFcXJfbTdXN3BMLTVoeEM1UUh2eVl0WWJTSGpHNnY4aUEySTMxblYtblFzNHplTS1qRE14VXFkQ0lJcHpBa3FZMlphZk5LSEkxTGtFMWlSVm9HMnVieXRJbWc2bmlHdWJxZ1JkNF9IYnpOazNpWjVvcWttbThpdHFJNkJzT3Rrd3I2Q2hPUmduaExHZFA2WWZiaG1BOHVVdGdWRVUxenAtWjJxbU1Ga1lVT1VCcXY4RmlaUjFWWWQwUEg3UFJtcGVVdNIB5gFBVV95cUxNS1JhWVlMbVdvTTVwdFFuaTNRNnZDemVETm8wdjRKRk1LTWRJb3hpWUNWOVY0WUdDRU1iNThsMzFQbnZGQnVRWnBsYnFXVkNTLUh4M1BDZERhdVRXY056NGRuemN3NTZKTFNYUFp5TFlvSWJIdFhFX3RfeEdvcHlVQTA3TnFZNURBclJrR0d5YjN5V2xrbHlkaDM5a1NRVzI1WHUtT3ZoNm0wS3BqQ1BlZEtrSnR4SzNCbjducnpFRHZEMGxlX0sxMEE5NHdPMkM1bGJWN2Jnei1Za3dhMENZbGN0SmhSZw?oc=5" TargetMode="External" Id="rId54"/><Relationship Type="http://schemas.openxmlformats.org/officeDocument/2006/relationships/hyperlink" Target="https://news.google.com/rss/articles/CBMizwFBVV95cUxQZEVUOGVMeklfRE9LWkxXTEw2eHBrUG9qTkZjSkt1ZFpvZ0laVlpMS2FhN0ZTWnh5RnJjNFZsb1BTcjJreS0xS1pUT29lQVl0UXNUT1dlemdUZEFLVlhjQUQ2QXVCdnZYazJ4bnhnZERxWU9FMGg1WG9vM2pBZEFNV1ZycE55QTdvLXJscl9faTZfSGNWc2VYUTF3R3NUMXZfVWtDak5UNjFjQVJvZVpqTEFWRmhKQnozcjFQdjVKVWV3Z3lxVTA3QkNUU2F3Zjg?oc=5" TargetMode="External" Id="rId55"/><Relationship Type="http://schemas.openxmlformats.org/officeDocument/2006/relationships/hyperlink" Target="https://news.google.com/rss/articles/CBMiWkFVX3lxTE1ud0tHczZETmVYWGR6VkdGWkdsc1M4N2pKRFM1UXdpNGlyWTVHbGVHS25tOUdlZjBPRExoWlZLcVQ3ckFPU21KdFQ5dHBqc09VdjJZeV9JMjVzUQ?oc=5" TargetMode="External" Id="rId56"/><Relationship Type="http://schemas.openxmlformats.org/officeDocument/2006/relationships/hyperlink" Target="https://news.google.com/rss/articles/CBMiiwJBVV95cUxPQnU3M05KNTNXQ1M1NEp0YkxucF9JdkpfYjdVU242WjVTcmI1eFlCWk5odktUV1k2MDJlcUwwTEZzTEFtLU1YMnUtaFdwSk4zZFZScnJ5Uk1IbHpySnYzWmxwYlVBaTdxZ1p0M0NmSGpBMl82blNZSEw0RnNzVHBMbzFJZkV4VDNhUVQ5MWJzT21yelpGMlZ6RHp0Qk1lZzBkSl9GTDJRQk5ZR1FzeTE5OVF1a3VjWlc5eWlkT0M5R2ZsaDFuVWdWRzdEcTREVnVRVnBNUE0tN3JNUGtoY1g2bkVpWmd1OWV3Umc2T2JhekhDOXlRSVMtNDNXRjdBbXg4Qm5rZW8ycVAyRUk?oc=5" TargetMode="External" Id="rId57"/><Relationship Type="http://schemas.openxmlformats.org/officeDocument/2006/relationships/hyperlink" Target="https://news.google.com/rss/articles/CBMiiwJBVV95cUxQZzBDN3QzQVZXQWpWLTRSUV9kckdKZThxT2F4amxOS2JlZjRYc0puWVUzX3NoTVVxa0V0djNvd2ZNUjhZNEFjTU1DdGxIaGpacXVwb2o5bG9HNnIyRmNTSDZpLU5xSU9vR0RZYU10QUlBQnZPaTlQNDVvZGtaY0h2RnJvN1RXbGhDdG5Mek5UeUNjNXBNd201ekJBSksxTVY2YkhiUzRjaWlQYk9mV2s4Q1Y4RjBSSnd2d2hDcm15TEk2dm5UcHd2UG1IV0lSVVJnR2lYUVk0UHZCZFV2ZnVWZVR0dG5UcVhPSG5nQ2lZT3FpZi1VSjM5SkVrd1Q3R2FGYmhHY1ZERUptajTSAZACQVVfeXFMTVgza0lkcW9ucm1sWEE1YkQteVVCQXpfbE9SWU1FUWxpUHhtcG5pWlpkaVBKNmlka3JaN1N5MW02QTlZUmYwTFdYMUtObGhIQi11dkM0NG9zOHhVZVMzSVYwQU9KQ0l1bGFucktxZ21UcjV3TFd5Q2Q2dzJfUnYwZndLZlUwYkVVRTdhUUNTYkJvZm45Vm5MVUxQT3VyMWxDNDUySi0yNzVKN3hIRG9PZjJEMXpiSE40UWZqem5BU09fVjNSNWZxYzZzZTd1THFCSXRDS2NUV2RmY2RMa1R2bV9mN0pOUzJZaTFGSVlsMG83WTlFNjdSdkswa3NES2lLUW15SENIWWR5blNHWEJaa1Y?oc=5" TargetMode="External" Id="rId58"/><Relationship Type="http://schemas.openxmlformats.org/officeDocument/2006/relationships/hyperlink" Target="https://news.google.com/rss/articles/CBMi0gFBVV95cUxNRWNKZDdGNHlETVRZR2VZMEZOdWJVUXZLbzd1RVRqazNuN0NrV2NUMWJDREZxanNlWElPSHRyRUFsY1lMZVRCTWtIMEZNSDBnd0xxREJtVG9FSFU1NUd4WDd4aGN1X2phV2lIY1pjTDRNMlNHYWxYNUZ5NjdnTVp2YndLa3ZDRjFiaGNvTkdQbm5fVTRvX09IakEzMm1CU0VFSjh6UmI1TjdybFJwc19mNjlwM09wU2RrSmRuTDBjOGhlalItM28wa2trQU5fZFpvOEHSAdcBQVVfeXFMTkVnMXZSY1FaMDlfNURXUTctY2NnMml1SExJZHV6SFNSYlhTVTBmckc5YVhrRTJHYndWMlg2YWo5OXRUUV9yNzgyWk9VVnVpU252WENCLXFQNnlTMEdVeHoxb293N1czYnE4WmwwV1lCZE9zS2VOYm9YSEZ2ZDE3RFlDeFMwRTJMZFFSNFh1X3B5RjZ6ek5fbVdqSHd4S3JOMEkwLUdBRkRMSEJ6SFE2eHFmZFJKejdGZ3Y1aGZHdnBHUjN3UUoyY0RYbmJoZnladHV6RS1xQTQ?oc=5" TargetMode="External" Id="rId59"/><Relationship Type="http://schemas.openxmlformats.org/officeDocument/2006/relationships/hyperlink" Target="https://news.google.com/rss/articles/CBMigwJBVV95cUxPSkcyQktHdUYwRC1IRHJsakZFTVhZUHRvX2FiZDRnZmdVdy1jWkd3bkFRQWhkLWlQZHp2aE42MTYxU3ZvOURHQUFUdV9YTGdWb292M0xDWV9TekpLU0pNaEp5MnJDMXRDRFdnZHJDdi13VVM2Tzk0d3FyZmpfVHEtVEpaV29SN25RYS10SjV2SzRTV25uNmZRMjRvR2tXV0w5M1FqcUZVNEVXbFo1aHpyNm42VWQzbnVFY1Q3ZkhpRzF5YkIyWnBqM1JoNkZ2Q2tfc00wNnNKOEJlSW54LXFjSmVZNGlnTkRWS2Q0d2s2RlBQMUJwMnRSazdlaVhRak81d3NR0gGIAkFVX3lxTFBrc1lJc1k2dWYtM3dmcTRSNGZyS0htWEg4akV0MjhNU2dvRkMwTlg2a1poMk5sR0NCLURBNDBBMUwzZEJqa0ZPR1N5dWI1OHBWT3FYV2Itczh6Z2w1SEN0QjFHYTdNUlVEVmZza3F6aGtvSEhPZ19tZkNrQVVtcEFHdGFVNXhiQlJZR0RoTDBkdHBPTXE0WktPT21CQnFPWGQzUmM2b3I4bXBwbWQwX29QWEI2aVpyWk5fSmpYNHVtSWtRSkhmbU9ONHVrNThqQXVNT2dCUXY1R2NxaGQ1dkNTaHVqN1RmcHRTLXdOOEhTbkVncHVpYzNiSVVNY0dtUnhHOGthZF9YVQ?oc=5" TargetMode="External" Id="rId60"/><Relationship Type="http://schemas.openxmlformats.org/officeDocument/2006/relationships/hyperlink" Target="https://news.google.com/rss/articles/CBMirgFBVV95cUxQNHhZR2hsX1hjcDRiWWxSc1V4QVNpNDFad3g3STVkMGdrTG9vaU5ObV9ZYUNIN3dpUlFUUmhsTHVHWmpHRVRMVVlfUHVFSURqZHJQaksycmc5Y2NVZEt1OVlyWFJOWEVsWDB6Tm1nOVFLOWJ0YjZ1UnJKMXJwcEJGdXljWlJUcmdhWTdkS1A4NFlpeXRDekdoN3l6SEQxSEhSQnhjcURURkkyajlGVHc?oc=5" TargetMode="External" Id="rId61"/><Relationship Type="http://schemas.openxmlformats.org/officeDocument/2006/relationships/hyperlink" Target="https://news.google.com/rss/articles/CBMi2gFBVV95cUxPcTJTc3Vndll3czhydnJSQk8xRzVicWRTQXIxdWVxb1diVGt1R2IxMEEzWkF6d2stU2F0U2o4SlZQSkVUMUJlSEdzMVdCQ05Da2pNaC1TaUJaYW9Za1Jfd2hFNmJpdTNXQ2NXbXR4SXJ2RU1na183RnUtSk5IYmJ2V0lfVWhTMkx5VXFULUNqY2dUVUVqY1BVbXZvRHpmeS01d0lQbWgyUFBqUURPV2tFTG00eWZQNmFxckRYUkxZVF81TGNEaDRMdkRNZ2txWDBYS2taNnJvTEJ5Z9IB3wFBVV95cUxNeVpabmdOVGR1X3M1R21QQlZJbGZ1MzJmdU81a3lGTTdlaVhGLVNwUUUtMF9QRlFJdXlkNG9UMVdiNjhhUmE4bGV6b2tGREdROGV4MXFGVk43NS1faWNZT3dpcUUwR1FXU19uZW5rUHhZUUFzcjdTVzkzTWlWTWZ0eGxYclR0S2t0VWlHcVpacFVjYlFPazNpYVY4TWxkeGQ4U2JTZTFNd0dDTXBiMS1kY0otbXZjbUpONDBhcnFwMFhqdEhfZW1oWDFvdkZRNkxfUktFaW85RjRXQWhSR2ZZ?oc=5" TargetMode="External" Id="rId62"/><Relationship Type="http://schemas.openxmlformats.org/officeDocument/2006/relationships/hyperlink" Target="https://news.google.com/rss/articles/CBMihgJBVV95cUxNOEZaNmc4dnEtRC16Vm5IVHhCd1Y2S19zcjRpVDdSWVZZajg4NjNGMGtyWnE0U2tPbjJUMXVkOFFlT1RERHZWQlBEOHJxWmdITmJPREVXZ1JIaUd3aWNQUTcyMUlqZnpFQWRiZHJLcE5YWmlZOUdlamlzX1NtYUdqczBmamh5Q044dnNPVHZsdEdfTWRmR2pxLUlXeXduUU1laHVpVHhfVmE3OThMWmdwMHdBa2RmbDdVZW82VUc3TGV4TVM1cG85anM5TUpROGVZZlR6MkYzczB4d2YwcU42YWlPeEtmUUw3Tk4wbFBZTDMwUGlSUWtDeHFmRjQyejJLaXhiVmxn0gGLAkFVX3lxTFBIdUVWNXVfYV8zN0tXeE1oZmNpZS1LTk1GNGxzUXRINHQxcWQ3Zy1SOTN1NWRta2tjeG1uQ2NJaE5nTGpzVUlHeXBtaHlaNTM5NWVGUmM4cm10M25WTGplanFSd0F5OUtYWXFGWklQYkpudlIzakczNDNjQi1HNmJYUnRxSTlsVi1xelhNd2h3MU9wSmpyNjcyMTRoLXNpcXBLc1VreklSaS1DNktabHpISXdSSmhpWXRGRm1wQlgzSUk2RVJOZDJTY21vMFdwS0FNZ2psM1NZT0FpbmZsZGQ5VnRlQmx0Q0RWM0FudEk4SEFqRldYOGpsNktPdGxPdU1DZ2hldlRMaEZFOA?oc=5" TargetMode="External" Id="rId63"/><Relationship Type="http://schemas.openxmlformats.org/officeDocument/2006/relationships/hyperlink" Target="https://news.google.com/rss/articles/CBMigAJBVV95cUxOQkZmUHBNNXpGaGxiR2gxMnp3Ry1tVjBlTWlHMUZHUWc0SnJLbk5vU3kteU1zMVFkZDd6RGUwQ0RmZV9OUUtITUgtSU8tMURBT0ExV3dWaDF4MzFKZDhGcTJoeXVzUkg0QzRKcHJiSUZjV29XeGJhVDNIMXE5YzEyNEFiSTJ0cnYyUndHbXY1UTFtUzhZT1l0Q21YYi1Ycy0xekxBR0cxdkxFUmZuMEN1eklZd1c5ekNWV2JtbXEzV1F1emd2eXlhOWtXR3k5VTBaNGd4Z3M0U0ZTdUZ6a0tHakV1WktJd1YwMHh2M3pQUjkwSHRwcE93c0R1bzBhVTdD0gGGAkFVX3lxTE1SNmF2clJMZV9kSHRkZUpwZ0FjcUhOS0NEQVZ1S0NzYzBXaE5jMXQ0Y3NuYUR0VEVFZE94OFpRbGtiYUgxbVc3TzRad3JGb2t6ZDJZQVVzMnd6QXpMeGFMd3RHWTF2QmNGUjlMT0NnTDQ4SURVZ2UtcnJLUjRncVptM1BGMnhtdWRCM1N2STRsUnpSWDhYbnlwcTF1UHhNOUpadWpzaDJTOFZJUzVoN0w2Q3dRNG0tdFpUbDdrVm9XWk5lRUF5bUk3X3BmVTVBZ0E5dzIxMzJDeHdhbWVxVFRtcFNfWkVyV0QtN1BzbFFkRkJiLVVlMVAzMENGMlVYUU43ZGdvUnc?oc=5" TargetMode="External" Id="rId64"/><Relationship Type="http://schemas.openxmlformats.org/officeDocument/2006/relationships/hyperlink" Target="https://news.google.com/rss/articles/CBMi6gFBVV95cUxORkRQbWxVNzVaYjNjN2d0aXNjQURWdFEyOXVPY2hENENXdU42M2t6M3dWM1Z4M1A1dVBPQ1RoTW8zZF85eXhQZE9Yb1ZORE1sdTcyWmlHem04YXBxWHFPYlFnenYyY0FDMENWdGh2OWd4VERuMERHOFVDTHFPU0FuM2FYOWZ6a0dKUUdJZnh2SlJZUC1aZkNCU0JFSFFqNTROYzRIcEVPek9QejlIZTBlUXVhbHJheTl5YnZXX09MYVpUSmZaV3VaYWE0WkZhYzdwUUo4bU1pS0hKSWNTblg5MnBFX1ZpbW9SZ1HSAe8BQVVfeXFMTlV4SnU3cWpJSUQ0U0ZPdEg3Q016RmVCSmUtb09pY1hsZjBweEZvSDM3d3dlQUwzRy1WX0RISm5naDZCQ1VIWFNTYzdiMm84cW5UZjgzQ2ljOVJFVEctUnFzR0pKZ3R2RE5qVFZvdURFNldfT183VktEcUd2bjgtWGxoSjVsdTFvMjhiXzAyMVBjb0czNjNQRkJmN1Fjb19rUzlFVDNmT3F0MnBCNFAzUnVaTHdXdDBGTl9IQ3RIM3Z3VTR2VHVrTDg4cWR1a25GY1BaUVVaN2RtYVRULTVCN1UtaGJQTlJXcUtTRXBoUk0?oc=5" TargetMode="External" Id="rId65"/><Relationship Type="http://schemas.openxmlformats.org/officeDocument/2006/relationships/hyperlink" Target="https://news.google.com/rss/articles/CBMi_AFBVV95cUxNamZ1UG1fNEpHV0dYVE1zb1lmLWJxUk5rSEx0M2hsV0NGRXdSaElkZTBNUjZXbU5pZW5STUpUbEkzTFg2OEhGWlk4Q2hkeXZxdHAzMG1vZFZVT2VoTkdweEt4Z0ppU3BscGlFMjN5ell5NE5wNHJ4NWpkV05PMkVENUVHVHR1bjAzQWtNTW8yelVwWjN3SldlUkxpaEIwdHlQdXFRVXh3dUZYR1JMZUVwY3Y3S09GdXBpTVFVVGFxaWdYcXRzR0NYVlBFMVR2NmJYVUNJcmZmVlhXQnJiRG9pZzBiUlJuMnpJVlBpWjBzTjh3bkhEeHpRRWJRdU7SAYICQVVfeXFMTVlBRG51UDZtVlB0OENLRUZvdlJTOXUzNU44SndaYUoxVXplVS1GZFpTMXF4WVUwTUp5bHotM0N6SXJtZlJmdzE3ZjFUaDcwUlBpWmR2c2ZpTUJNSUREOTV5cUN3eUFsTWZ0dmt3UVhEYzFaYTJaaWRFV284OGlZeGVoLUJfTElLZVVqUTVudUR4aGR4aHVEb3lYXzg2WUpIbjR5OVJ0NVdUUE1HWGdfSHoxckxvM09YdVBGRnNLV3laOXNNckVRWXEyd1pvelRCelluV1RNT1Zxb25reU42ODN6SlhBVWdLV0lXd2tXMGx0QVBXM2Y4WVNzZ3Y3c2lTV2Rn?oc=5" TargetMode="External" Id="rId66"/><Relationship Type="http://schemas.openxmlformats.org/officeDocument/2006/relationships/hyperlink" Target="https://news.google.com/rss/articles/CBMigAJBVV95cUxNdkc2UTMzMXp6a3dsbm55eXlZMzFHdzJ2S2UtYWkzcVdJekZDOHh1RVJaOXFMMlFwdXdWd0lMajR2TUItTTl3cF84b2R2R1NXVmd1dVlta0VpcTFhYWkxUlhnZDYxTHhoeEtYM0JGeDAzQkRlc0FNR1dCNWV1RUw1VUdYa1FkQ09FMWZmM21mN2pwQTVfUVU5ejlScGhzY3F0MjVHY1lTNmZkdHNJRTk5dG0zODcwOTVHRzRqYi1OVE1BUVQwbWdQWkQzWE13ZWZlTmJYUGlHRnhGTWJhWGtQTkJmMExFa0ZURmJzcGtOeWVwWHg4SlNfUnc5TC15eUxT0gGIAkFVX3lxTE5kMVJROUdWQWIwcWlxNGduSHdncXluWWduV1l3a3MtMzRMcXdsUmdzekdkVkVPR1JRNUp3bVVhb19WREFhTzUyYU5BVzRpUDNEZTduODNsb1ZyMDR1OGRybGRhWlRGbzB1Q25iTTRLZGtYMlpBT050bTM0TXBDX1BfN1JOLUttSkd2N0dYT2RGX1dUOTE5Tk1aOVVSRXlmd2tmaUVTUTczcTlrVTU0QnEtSHhJdjhDa1Y5R2R0aHlJQVhpNkg5bC1FcWtOU09KN0FuY3pmZW1RcWplZ0toNUZWYXdMZGx4aGJBZXpidlF6MXhnWGpmaHEwUTZVYVVlUE1VM3FBanFvZg?oc=5" TargetMode="External" Id="rId67"/><Relationship Type="http://schemas.openxmlformats.org/officeDocument/2006/relationships/hyperlink" Target="https://news.google.com/rss/articles/CBMi8AFBVV95cUxNZWQxVFZva3o0cms1Y2N2ZmRJMnk0TmZzTTdLUWVuZE8taXVteEgyeDhHQi1wYUIyU0RGb3J5QWFxd2pLSTJILUVSOEZVZTBDbExkVkMtT0tiNjhGOGpubU1KQ25LQ1ZFUXkyUDZmY0FIdWZBSm96cm1vZ3R3VEtQUHFKLTBZM18tZmx4NDhNRWM2OURvX2xQQXJncWtod1ZoR3ZoV3A4bldUSkxXMU8xNlEzU2tMeWYxeHMwYk5LeVlYQ3hJeGVqMkdNYlRIQTZnUXpxTk5xZzA0aGZqNGVId0pnbTRLd3RJNWZZcWQ3azQ?oc=5" TargetMode="External" Id="rId68"/><Relationship Type="http://schemas.openxmlformats.org/officeDocument/2006/relationships/hyperlink" Target="https://news.google.com/rss/articles/CBMihAJBVV95cUxNU0lLTXdXRXlnWnktM1lpdVdQMEZ1Q0ltbHlFQlZOa1pRM09LcGlnYTRubzNDcks4N21ZaGdEV3ZpRFV0N1FhT3htZkM5djl3WngtREVSVkdhbWkzWFQzNjJQN2MwZDVYaXQ3Q3pPOUxLaDlVUFF5aEFzWkY2TU1jRjloa19jNTBBMHZMYkZGVExUMlV5aXlXaVV6M3Z4QV9WaDF2ekFRMlg4dXV1aE1TMWR5bHlUUi1XODB1MHFraXVKLXZGOXJvNTdmRnJNNmY5WU1JSXJ1dXpVTjdXR2NyVUpVSUdYbFFqS0gybXp5MG5tSDdhWEpTb1RVMkJlZ29ZN09WNdIBigJBVV95cUxQQ3pIRzJQZmY1VXpnc0Nra014TklOZ0lvNkhtZUJ0UFJiQmtZQ090aUpZTlFfTWdMMW9HT1U1UVJEU2NUcVFUUmtyb0E2emhPa1hmMGd6eDYyMWk4R3JURTFVYThqZzNBS3lyNC1zcTRyajNKcWF0d213aWd2Y1J3aGRNMVlqRDhOaUZpNktDcmNSRFlpMnVVU1NOTlV3TTMtX2tLSkNyMWNrVWtwd29sQkxxTkUxYll2X1FoOWJVY2ZTcUVBUXRMVGVTNnY5UGZlNVZpRTQ1bnhUdzBkM1BPTjl4dUxfS2FRd3NzZUpJMF9CWW44QXRWaVFuaW02M29sZlBCMThPRWlfUQ?oc=5" TargetMode="External" Id="rId69"/><Relationship Type="http://schemas.openxmlformats.org/officeDocument/2006/relationships/hyperlink" Target="https://news.google.com/rss/articles/CBMi3gFBVV95cUxOS0Fuc0x6cVdyNW5qTUFaU2FrZU8wRzZaeXA3ZV9rZ3FtTE9jeml2NzVaOWhaV2stVzl0VnJDRERDNXlnX1dnSUI5M3dROEpacDFlTDF3QldiVTBaVGhvVmR5ZnoySE9zUlVIN0RyeVItTGpiVkFXSjV3TW9hdXF6X1AyWFdyeVNNaGQ3VEh0cWphT3dnTmlBWHBYZmwtazZ4REVpSHJtWC05cUpRc3VCZmVKYkpCbnRvLVl5VXBYVTk5ZTZWZ1FNZVY4V1JNVFV4U2FwNDhuNkZHRjJ6NGc?oc=5" TargetMode="External" Id="rId70"/><Relationship Type="http://schemas.openxmlformats.org/officeDocument/2006/relationships/hyperlink" Target="https://news.google.com/rss/articles/CBMi0gFBVV95cUxNSXRYTnJUbnhsTDFmcG5lMlVpT3lvVjNCUDR5NmJQTHU2UmdnZ21RZ25XOWRFdmF5X2prVU5nYVMyb0pZMXBZRkZ0SmZmaTczMVVEUlRXblVOUS1aMlg5V2lrMzlHQVJmU285blJNM0Y4T3UtNVlQd184cmlNcTZRUkVJNmc5Qjdva1VVUlJ2RU1taWlqNk1lWVpVOEtFZkNaMTdwRF9rUEZNQVdCUGQyTFBwWFJOVkl5RGx0a0RYVWtQS2pNYWhUY20xWHRJV2pkeFHSAdcBQVVfeXFMTUVCeWwyaTY1Um55NjExa2t4WXR1b09RSHlvRDlPYlA4M3Z4aTVCX05lQ1FpNTlsM3I2dUVRR0FSWk9hNmdYSFdkeWxCM3hDaUZMMVlockdfSnV2bUEtSlBEaHVCdW5NRGw1YjdTaGRjWDlMaDMzMy14Q1RyaHA5UVVxVE1RYXNBTnFQNU9aeVE4amd1UmNFWG5PdlVMMzhvQTlQZGxNeTJVb0ptUUZyNlFjY0tHX0EzQU5PYzVCSXZjdWVpaWRBRnlDRE1oQWNFOWJFRHZQdWM?oc=5" TargetMode="External" Id="rId71"/><Relationship Type="http://schemas.openxmlformats.org/officeDocument/2006/relationships/hyperlink" Target="https://news.google.com/rss/articles/CBMiigFBVV95cUxNMmpPVXcxeVFIRHF1aHV6dFRLVnhXV3djOWRQN2tuMmxVTnhDeVNJSnFoV2ZscmFoaEtaWXhCT0tabGNHdVhlOV8zcG45eTJrYS04ek9hSlNlMEZPYlpyeS1pbXNqbjlVVklKeEFrX1R6OUEzXzhRdjNneFZzbEFFMjc4MmZ4T3dSMnc?oc=5" TargetMode="External" Id="rId72"/><Relationship Type="http://schemas.openxmlformats.org/officeDocument/2006/relationships/hyperlink" Target="https://news.google.com/rss/articles/CBMipAFBVV95cUxQaGJ5UUduMmFWUzQxODJRNUFmT0hGMWE5Ykx6RXRJRFRRMGowSGJ2eE5INlhVYVU2OENDblNfcUFlRUlHNzZBRlFyQlZ6dmxtX1NXUjE4dUxEOHpkM1U2NXM3dl9jdzZsU2FUTnQ3SFRqWUNxOXl4cUV1NzllM296YVBMQlktaHQ3V21QQktRWEp4Vm9xbkhjZ0Y2TEY1SzVDVTVkZw?oc=5" TargetMode="External" Id="rId73"/><Relationship Type="http://schemas.openxmlformats.org/officeDocument/2006/relationships/hyperlink" Target="https://news.google.com/rss/articles/CBMi8AFBVV95cUxNVzBvb2wxcTMxV1h4Y0l6T01NR1p3blBHcUxEN1pKQVNxVTZXQWFmWmdyMDFMaHRxRERqNkJLMjQ4WGJzNENnUklwaUJBMHVLMmFodmdmWXlPLTdhOEpZSGJwLU9ON1NmUks1VUE5cnNYUHYzQ0hrb1pveURwTU9yd0J3WUMwSmJkWmEyMEZrMUhNcVBCZWRpMV9HSFpPdVFKV0xXOU9BTFB5cWVVbTlFdGU3YmY3cHQtX3M1UTVFYVMwZHg5a3djc09lY09PTWt5UzdRMnJEUF94U0N6ZlZ3X2doc3hmSXFMRGxiZjA5SDQ?oc=5" TargetMode="External" Id="rId74"/><Relationship Type="http://schemas.openxmlformats.org/officeDocument/2006/relationships/hyperlink" Target="https://news.google.com/rss/articles/CBMi0AFBVV95cUxQN2x1Nk5sek1aeDluWGNMSnEwREx2SGR5ZjRTd0tzT1NiQ3hoY3htWkJtSW1nYWlrOWRNeS1LVlNMYU5sRVF3eWRzQTVzallfc1JEMVhkSWc3TV9IM21vWG1vTmZRUmVEUmllVVhNdU13YUVVS01LUFNzTHVRRE80bDdaVW5XWXFUTm1oVjZNN2dQaExRMmpMNEdiSzdGMlhuTVBvZ2ZVTTZ1aUdYSTRhek9HbXFMZDNyTEdFSF9GLUZkRGZPOVlTU2JsNTF4WWtw0gHWAUFVX3lxTFB2LU9UckFtY0YwdFAtQ080T2I5a0NJZFowOEJ5bGJsRUR0M1E4WU5jR1d1X2ViencxOWR1dUVlYlVBdS1XRDhBWmpHVUhDNWhxbTdIWkdtdDBLY1hSN2hOclNhcG9HYlRITk81azlSZzFIY0lWZ0RrREg3THYxQWw0ZzIwUnFfUVFpbDQtQ3JESmpTMTZ2U1NFRHk5YjJRekdGWmlUaUhPR0I1UnYxc2dMSmRTdV9yc3hVM1VFc3lXWjZPRTB2UzZzT2kwVE9zMlhkZUQ0NFE?oc=5" TargetMode="External" Id="rId75"/><Relationship Type="http://schemas.openxmlformats.org/officeDocument/2006/relationships/hyperlink" Target="https://news.google.com/rss/articles/CBMixgFBVV95cUxNYUVZT0t1WTRFOVoyX2FhRnJvNFl6cWcwVFhIS3llaUlxMzVHQmpoUXhYVHdQM002TFNvdXA2VktDUk5DczlZQ2ZOUkM4X2lyQXhOMkNqcDk3M1BnUkZYLVpPdVNjeGlaaDNrWGZEdXBncTUyMl9lZDVpTTZrclU5eXpaLWdELV8ybmo4cVgxZTRQRkZneC1nSDVESGNzZUhPRnkxMHNaUC1JRlRaQUx0d180VHN2bmZXX1pGM0FzMm0ydmJoZlHSAcgBQVVfeXFMUGFhZ2k5dzdoSnBTZGxVNlpZdVNMYzBwdnJlUmh0NU1Xa2FGOTBSMFV6STJFdzRSQUFWOE1udE1abXdWUklOdVJlN2lFSk1DVlVRbTdNRDlsZFZ6STd2ZE5UYU8zZElhRGR5U1M5NDZFaDROZjNXRS1leXdtNDJsT3JjUDQ3Z1dkd1B3Zjl0Y0RVRWhVRS04b2RxWkZvRUJPY0pBM21IZUY1TDdPNXNwUmlTdEk3WGViTWtQYjltQ3pOb2NvVV9SVHU?oc=5" TargetMode="External" Id="rId76"/><Relationship Type="http://schemas.openxmlformats.org/officeDocument/2006/relationships/hyperlink" Target="https://news.google.com/rss/articles/CBMijwJBVV95cUxPY0dYWGhsUHRsOC1HMHVFeFR6YlBhcENObTZlV3lXZkJyUVFLMU50T2pfT3k1Qk5aWkJBUWJOZDE4TTNrSDlUd1dCbTJ0NjlYal9SUmFjSTg0LWt5RldXS3YwRzVOZjBGbk96OF9IQnRETU9VcXFXM2tVMHJWb2R4Szk5MU5YNlpsa05xMldaajYxaUtXc3JmWnJZREZpdHlkM2dsS2Z5VDE2bjRZdmZidE1fR3NXTXRGdFdMVTh4czJOVDBxZFB0MDk4bEN4RmZpN2dJT2JyeFMyYVlYbXdxVE13dmxSWEtTa0NnWDM3eGJIaDA2ejJpdkZHcVFLUTJGZEhJVFduNEh0aGNGY3Q0?oc=5" TargetMode="External" Id="rId77"/><Relationship Type="http://schemas.openxmlformats.org/officeDocument/2006/relationships/hyperlink" Target="https://news.google.com/rss/articles/CBMizAFBVV95cUxOTzVHQkVNVVJvd3ItZVNfcUVReFBxSXIzdVNXdnpxUF9iYUg5eURJTmlFbHN4M2hqd014d1BKOV9RdUxtTm5XQjd2TmNGU1piWU9uZUZ2S0c3WWFTcnpoRTFQYmN4T2ZLNWNadndEY0h2OFMzXzdoUDU3dXB6cEhhcG45dEdVLVdvanplODBFTnJod2JiWi0zaml0S1Q5MEF1LVFfajRXS1hoakRDZk5jZ3N3akYteTB1RUloODg4UU9aRDZvRUg4bW9TMDA?oc=5" TargetMode="External" Id="rId78"/><Relationship Type="http://schemas.openxmlformats.org/officeDocument/2006/relationships/hyperlink" Target="https://news.google.com/rss/articles/CBMiygFBVV95cUxNQkR0eEdvajJ2ZVB6SjltUGY0ODdUZ1BYZGxjb3Nfdjd4Y3hYMVZ3MlNqU1BBSmsyQ05fWDVFZ0s1SEd5dmg3ay1OdnNrT0ZINnVfVnU0dzJodXg5ZzBvejZRY2pMb3RBREYwMGNIaTdwXzZsZXJkOEIxUFJxVFRvdjgzVnhfMGdOTVNUVDFmOE4tVDVvM1lZNHlHNlZ6cTNYa000YTVTM19qV1VFek40RVUxVUU4WXhWZjQtV3Y5REdrN1V0VllxMU930gHPAUFVX3lxTE5pbk1LaDNBZDF1WGstdlROOUVfSXBQX2FuaE5FTzVQOEhCNHh1UTdEdmtua3JzLUY2RDRBYkJ5Z0xLRVdRMFkxZEZlcTl3cFZLSXZuM0VBOUw3SDYyazBGcVVyZWFOTVhqRDhteTBnTVc4UzBENXk1YXZwcVY1V19LZ0JVSWV0aGpfbDY0YWwxN1ZOVUlQeVlaTUNhY0NuZVVkTmNvZ2Z3VG1QUk5yd2p5VzdyRTRYUFN0Q2lYejd6cVF1YVBGQko1TzhuOGJxbw?oc=5" TargetMode="External" Id="rId79"/><Relationship Type="http://schemas.openxmlformats.org/officeDocument/2006/relationships/hyperlink" Target="https://news.google.com/rss/articles/CBMiwwFBVV95cUxOOEJuMmFvQ1BDSEJEeUIzWTZSdDJ1cGtQZW0ySm4tM2xhM2xIQlhIUHVJUXNFM1pyMGpUMlhQeXIyZXhDT2VLcVRFc3ZfOGVIUTVQMEwwenIxLVF5eDZfRk01VkdBYWN6cmh6Z0dJYmtxNV8wRDdOM0FBOV9QbHluRWFhUkRwalVsM3ZyX19fajBId2tiUmFRUEY0VUkxaVpyOE00cXhXTS1ueFRCRlpacUZYWnNJcFRSMmtQX2ptTXVfT1HSAcgBQVVfeXFMTkhyMVUwVHBnRTl3RUY4U1RJSHNacGtrVEhNbnR5bjFVak9yeTBfWHlqMXZjaTFLUFlFNUtQM1FjY2ZJdW13WFdYR2M2WmppQnBiOTZ2WTRJUG9mNGExOFVxVXJ2OEg3aHpBRmM5eUJoUHBxT2VrUGcyekRPVm9VZFlfX0JuWTFydFlPYnR6OEpscUdPNHcydU9KejNORW5Jd1N5UGh6TGxidWgwb2R2Q01ydWVJVF9Dckd1X2FETVdtVmUxdVd2Tks?oc=5" TargetMode="External" Id="rId80"/><Relationship Type="http://schemas.openxmlformats.org/officeDocument/2006/relationships/hyperlink" Target="https://news.google.com/rss/articles/CBMiyAFBVV95cUxNTEctOW5hZk9uc1ItTjBmOVl2NmRMZlViRF9VWG5fZEdSMnQ1YU5OSEhTcXZ4RU0yMF9XSDZZeDJQbHprOS0zYkxOSW9scjBCeDlJTTF3Wmo0TDJNWXFTMzNWVUJhZFIxQmFMSmo3Tjk2Sk95RFNzVS0tbDdQWnM0RjlhdnliUldJWGh3c29mTUk3Y04zbExYVno2TDBVdTdka3VvcktuTXlYeWFBNDhDbGlWT1VqVTJuUVQ3YWVoZmRBa3dZb2V2Sg?oc=5" TargetMode="External" Id="rId81"/><Relationship Type="http://schemas.openxmlformats.org/officeDocument/2006/relationships/hyperlink" Target="https://news.google.com/rss/articles/CBMi2wFBVV95cUxPNjhqLWVyaGVfUDI5aXNGT3VhMUNQc2wwQVQtVnA3S29YWVc3ZlpRVmQ4WG9JUHBZVjhpOVpIYi04YVBlMmVuMF9ZOXdHM3pfUGNSS1Fzcm05dnQ4Z1ZPN3l4WUVTMlRZdlVRcUQxUDVVdmE2RXg4aF9wcGpYZmlnQTNOVG5zUmJ2OVh6a0dOTjFKY3h1WC0xOU1qd0dZUndxc2NjRUxGNE13cVd5dUJGTTZhUUh4Vnlrc29vRHZmTW4xQmhwM1FpWVJTQVlNYldZRENhTDZWcW5oYm_SAegBQVVfeXFMTUlaeTNneHFjNHF0a2Y0cWpyeXF4QzNSdDBRWFlKTmptOTN6VVJ5MDR3X0pjajQydzZRQWcwNmhKRmhuUXA3T3U1TUo5WDQwT2l0OVV5ZVZ4UGJlVVNtT1luR0plcTBaU1p6dDdqYm1oSS11NEJ1bWR2eGFlcno3eF94U0xOV2Z3WjFVTk9jMmJOUUhlNkZzUjlYekp0VkVaWW12M2pDUlZKbGJUaWtiZFdYVmxPV0x2ekZoX2ZpbU5RMFhZXzNzbnZlcjVLOGFrMTVjMU92VzNZQTFUNDhzSGRpWlQ5cnMybQ?oc=5" TargetMode="External" Id="rId82"/><Relationship Type="http://schemas.openxmlformats.org/officeDocument/2006/relationships/hyperlink" Target="https://news.google.com/rss/articles/CBMi7wFBVV95cUxPdmVRUFJReXJwV3FPNWs0U21MRjBvOHE4eGxuMGpOWHpFWlVSSU90WHFITUwtQUM5VjJXQzRGY1RLb3A1UFEzS1l2blhJTUlnaEhxS2ROOVQtNDNNUUl2TGZSajc3ZHh5MG9VdERpbWF4LTRfSFdvS1JxVU1BYmZFdHo0WW5hZkdkam1sbzNDUE51Nmp5NnU2QWlZUFFzYWt3SUR2SW5xTGtFRDdkSklUaHVNSFh5bG9STDd2Q0lRamxfMDlEc2ktX295clRDZVRvN3kwdTBmMVgxV1FKSTh3bW1MLUNVanV3ZXBYQWd1QQ?oc=5" TargetMode="External" Id="rId83"/><Relationship Type="http://schemas.openxmlformats.org/officeDocument/2006/relationships/hyperlink" Target="https://news.google.com/rss/articles/CBMigwJBVV95cUxOXzFMWXRnalBiNzZsclZWenNqSHowWVV6S2FERmkzNVNwLXBmNzF1c2d6ckVTbkktVlRjUks2VEJFdm5jLU1NXy04MUNaLVE3X0NzU3ZIc2hJOTUxekM2a1llTTZBd3BiNFFFRndOZ0NEZzg0dzcyam96LUpsUnB0dndBa3VndXFvajl1R2JrSl83TWdxVzJITkwwY2UyQjdib2stWUVwSF9FMmc5eG9vZGRtNFdwejNZUmVTeEdsb0lyVVlXOFVRYmZlLTFkLTVyTThFekVvcHgyZXFYOWZCNDdhdzJpVi1YVUFWMnNlMUM5UFV3SzlGMHZFbWVFZF9CQzNR0gGIAkFVX3lxTE1xMWNrVTUzbjlORGN3R2hOcU1qYjFIeW9UMGR3a0FSQUFLTFpnUzBWb0w0UHVxU0tVenQ5V1ZEMTNIb1Z6bGhSenNLblBleUpQckp0SXBuTFpIX1FSNWZhelZxNWtZRVZrMVJ6MTcxbkZ3b3B4MThKdHZXY1M0bGVrcENTd0RrUkMzQWlPemQza0N4bENUZWtOaWl4U0g1Y0JZc0lWRHJJVkpXYmxYal9TRnkxU3FxYnFIdS1WTmlWdzZjWWlVNGJuVjJtOTgxY2x1RURxVXUwTWQ5d1VFXzF1VEhJMlg2NWZkVEl0d1pab3JmMDNxRjFXSlRFSkQwUmVEbGpvQ3d6VA?oc=5" TargetMode="External" Id="rId84"/><Relationship Type="http://schemas.openxmlformats.org/officeDocument/2006/relationships/hyperlink" Target="https://news.google.com/rss/articles/CBMixgFBVV95cUxPQVZrakE3dkhQQVJoLWlTOFk3NUkzSkVhaUJQSkNIR0RVTkpyU1k0ekpCc21oSXhSc2J4MS1ZbHNBSWQtbVhuNGw4WGw0S1RHaTZsU2dqUDQ4ZzVzUHJFSVRpWFdRRzg4ZTFIOVV5VmxfVmY0cXBjV09JWlRLYXhBbEMtSEhQcGlGQzZvdFMzWEllQ0RGTXVlYXZVMml5cnVGbVVIdXNudHNTVlN3ZnVoMlljTXN0TVJ1N2VQa01xUHVRNkZCVlHSAdMBQVVfeXFMTk4xOG9rOGlGVEZVWjhhUEx4X1llNENQeEZHUy13eC1XWjlvY21zZGRWNTdmZTJHTFU1STlpUXZHTFJVOWt2R3FsbTk0cmM1MDFYV2tzdDUyUUVZUTZJVDdqeWNfbFZwZTI0V1RqT3lGT1RkaDFlUFhDd3NTNzdKaUtZVU5OZHpEWC1GU3hxckNJWWI3c3ZDWmM2b2g1cVpaWTBsRTJQVUE2NXlZQzh2QVRQdlZ1RmJKcG9SM3FhZ0hiVGxPbFYwT2tCczd6YVpUTUlqWQ?oc=5" TargetMode="External" Id="rId85"/><Relationship Type="http://schemas.openxmlformats.org/officeDocument/2006/relationships/hyperlink" Target="https://news.google.com/rss/articles/CBMi3AFBVV95cUxNbGlvX0FHQ1JfUEFBa3FfTlJHN01rRC1VSUpYYlN4TFpGVGZMb1d0akNDNFBWNWVQVFBCOXpqQ0FoUm9uNExvd1UtMkxiRVNGNnc3Z0N4Ymk2a3FkR1N3bTNtYkxxVlkwNHdRbEFfTTQ3NXA4VWlCcE01RTZFZTBTbGVsd0dfRmllMDdnbHh1RXpIY0cwSDFVaXVKX0R3dG5kRzdxbVFtZlgwZ3NfMWdpS3RBa3gzREJwTWdyNEIycXFBbzk1YjQ1VS15SE5zemRNYjBjZE5kTXlNWVM50gHiAUFVX3lxTFBrdXI4MnRhaDVEVV9JaW5ibHQtN0Nnc3M0RHd5OFQ4RVp5VGJ1QjRIZXBnejB1ODZFZndtNU1RM1lqUW1FYVhXVGJsc09pT3JpZjhOaDBoX3VMU19LYXdaS1J2TjNVN1FvczdDNUdTaFVjTDZCVDUwNEp5RVoyeElWRWJFdFdLN0RrRFR3ODlXUm91TVYyR3ZWaGRKWTVraWFacDFOOTZaa0xndEtZM1lsaXVTSG9GUkg5SWwyVjB6eXBvdnh3ZmpzUTJ2ZzdQVUlNbnFhTGVhOU5aczdqU1l0QkE?oc=5" TargetMode="External" Id="rId86"/><Relationship Type="http://schemas.openxmlformats.org/officeDocument/2006/relationships/hyperlink" Target="https://news.google.com/rss/articles/CBMiqwFBVV95cUxQd2ZpdWNMN2xVa3NjdUc0WDFvUGNhdDZkVUhOZGQ0dm04T0s5R1Q1cHJyVE9CVDF5RXk0V3UzT1lTSFRCYTJfTXNEd3NyRVRrVU5UNUEtbnpPaE1Ycm45MjVmWERFMnR5X05pQldUUlIwVlA3QjQ1Qmh6ZG1Ua3JQVUxRSDBKbjhIYlc4cjVJNmxsS3ZsQV8xZ1VoOF9Ed2NlR01LWU0zcDhtaWc?oc=5" TargetMode="External" Id="rId87"/><Relationship Type="http://schemas.openxmlformats.org/officeDocument/2006/relationships/hyperlink" Target="https://news.google.com/rss/articles/CBMiiAJBVV95cUxPdnJnbmdzc1NmZ0hiWGxTdWRUQWlaNmdGS0l1U2NrbktXbjBfMldGNmREeVlrakdOOTJQUHN5b0JLUmVYbzgxcWZZcGRmZER3OHkwVS05bGE2YTdkaHFjdDEtYVRaTFFaczBuZ2tPRjd2TlI3b0F6OEZFMDlqT0JDd041b0Z5SUlVOG5hYjVWVk5nd3EyZ1d2UWxORlZnSUtPdllmbU1TcDIxWWVsTnI5Mjlrd0RxRE0ydkNNTUVuZHRJZk9pWXNQSDIwUnlKQnhnNkxRbFhsRHM2TXZNcHk5U1h5UkpwaHZNZFlwWUg1SDhkcWJtR0JnNTkwSFFpRENHcko3VFduRHY?oc=5" TargetMode="External" Id="rId88"/><Relationship Type="http://schemas.openxmlformats.org/officeDocument/2006/relationships/hyperlink" Target="https://news.google.com/rss/articles/CBMi7AFBVV95cUxQQWlWYm1LaHBiMlF4V1d2VEg1UW1NY1FUWHlOWDFRTjBlMVVZNFlNSzBsWjB0MC1TeVRnbS1OZ2tvUjJUWkY1ejlnQXd6Nm44U21MZ0JmOXdsb3hhc19felBvbVJBZW1XMkFNeU1QSU50ZFZPUGs5N0Y5MlR0cVJDNjd3S2wyaF84MG4wQ3g1ajFSOWxTc2pqeGZOWmRoQmE2cHhOeFVodGdGOHBkLXRfNmhkNE1hdFNjcVlkVlJxX19JeGo1V1FJMjFZZUFJOENNMDh0U0pnaW1uQnNoLWJ1SnF4c1FiWENYQldTRg?oc=5" TargetMode="External" Id="rId89"/><Relationship Type="http://schemas.openxmlformats.org/officeDocument/2006/relationships/hyperlink" Target="https://news.google.com/rss/articles/CBMixAFBVV95cUxNRXNQN3ZYVmxrczhYNV9wVHBZTVJ6bjFaY29LT1kyS08yQmd2MXlweEVaQUduNmhhWDBqTVlhZVpKb3dZdHdkdHlvOVRhY2toLTFRajBQMW1lMS1rZGpUaEp5WDJuaTJ1X2M5UW5LM3k0bFp5SkM0TkVwWTViYS1RMlFNcWk5SkVHbnVLbGtxYVNuNl9OanU4Mk5Ja2tUNTVBUDFSVVZ5cFBsQ3pncVZneVBQS3hTV3N3TEhzVm1hYldRLXc3?oc=5" TargetMode="External" Id="rId90"/><Relationship Type="http://schemas.openxmlformats.org/officeDocument/2006/relationships/hyperlink" Target="https://news.google.com/rss/articles/CBMidEFVX3lxTE92U3Fjd2lHOGFGOGZCWE1YTDJpVmo0TktIVk5LUkx5NkE2R3B5M0Y5VjBmZWRYS25aNjB3SlhWMVFVUVNrRVZQX3YzM2FiOHg4b0FhN3kwY1dkejdFWWtFd0dNNlEtRVh4TjNLQnVzRFJWa1ZO?oc=5" TargetMode="External" Id="rId91"/><Relationship Type="http://schemas.openxmlformats.org/officeDocument/2006/relationships/hyperlink" Target="https://news.google.com/rss/articles/CBMi1gFBVV95cUxOWDh2RDkydGlLckd3VlBaTWo1NzZfQ1UwRUZzaDlleFQwQTR3MmdmQTlxWkIwTnpFblRKSnVLaHpxSUNVcnpkTmVxZFhuTWdQc1pKTEJJUGZqYnBOWjNVcVNzT2VTa1NLY3VmYXhpQU55Qkd5eTJjMmFWZ2JXM1dmTk1LeEZPQndQdjZadnRmS2pkbV81V3htOXVwUXFXcnVDNkM2VU9PNzR3VzhLUUpyWmw1dUtmWlVPN09BYzlJSEIzZ0RGc2hEemJNcUlPa1hnZFRMaG9B0gHbAUFVX3lxTE53SVEzdlA1N2syc1RkZHBqMW9qcng5UmpVZ1lMczg5VkI3VmFTTzFZckxIVzhScTZZUDRGc1Q3UnlwYkUzcmQ5ZmlaSGJ3NmJBanZxUExPSzdLVlJ2UUJtYUhZNGVOZ0x3c0cxcFhkcVBuOVRjSnJkTS1feGRqN2ZQMU1MaGtJUy15dlRwdnhmT0lSalh2YVN0WDFXWkhIMlJQZVh4RUFja0pDNzVxRHV0eWhTeXFWMTBBcGhTbnZUMG55aEpST2dhZFlocWUxdGl2RVJjMHVEYzJHUQ?oc=5" TargetMode="External" Id="rId92"/><Relationship Type="http://schemas.openxmlformats.org/officeDocument/2006/relationships/hyperlink" Target="https://news.google.com/rss/articles/CBMivAFBVV95cUxOUDdIXzZMbXllYVcydHVDazlNYnJkSm05eGt5eFBtTzEzWDBsOWpiUG1IdjFPaHVwQjNRZm11Zl93S211VmhlaWUxaDNMTmVhaGV3RkhkRnFFYU9rb0pCcWlFRDJHVmtLNXhmVGV0R0ZXbUNLajlVZlZsZGhMZkZqWjA5NEFlbVplSjF0cGwxTE1ob2FzQjFkem9nNkRhdEtzX2tqOUY2SXU2dEhaWVViTDB0QjVwWWw5UmRBdg?oc=5" TargetMode="External" Id="rId93"/><Relationship Type="http://schemas.openxmlformats.org/officeDocument/2006/relationships/hyperlink" Target="https://news.google.com/rss/articles/CBMiygFBVV95cUxPM0hjTzhyVzdyUnJfQnc5eFZFNlRQbVREa2s0S1VnRFc0UlUtVzRrT1NCa3hHaC0wVXM3RjVRNE5wczd1Tk9idzk2OTY2MGQwUDJCNHFlVDQ1el9RWGl4Zm9sd1pJOU00T2t1RU1ZMzRHeXZ3YzNEWFlFV1RmTUFsakMxY1ZINVFONGxJb091cFhtbjV5QVJfSDVjODZHeWhxT0piOW9EaE9SZlVIcXNMS1JRcFNLbkxxOURKUUxKRmo1N0hPek1TNGNn0gHPAUFVX3lxTE50REw5VnZCd1NnOE1DMUVBeXJuQnpKOWlsNkZnMVNhTmlkZjY0OTY3bEhMaDBnNmdNRkNHdDVEdzhua0NCRW9sdGhoVnE2LUpuYVpJY2Ywbk1vTnlBY3REVHJoT2hIOU1yWTVrdVlDZ0pLZnVTNldwcDZ6dUNYRW5yblpqS3o5NWpDVlByeW5xS3o4ME02NTBZb1Y5VzdTZEloOXR1T3VzaTZxU2cwYVlGMGJIcEhsdVNrUmREYXdDQjRkOUJRV0hPTnMydVF5cw?oc=5" TargetMode="External" Id="rId94"/><Relationship Type="http://schemas.openxmlformats.org/officeDocument/2006/relationships/hyperlink" Target="https://news.google.com/rss/articles/CBMi3AFBVV95cUxNanpjQUFtMlRJTE9VYkRiZHVsdDd4bzhuRTd4MlpDd2RvRzZYTDN0UzdQaDJwcEQwaWc4cktjUzRPVUFBN2RRY2czNlhDRVJ5WnlDMHdyTmpUb2J1ekgtZ3RwcHVJYnptZVV2dWJxX0xuRWU1UkVVVjBmOU5Pd2FBMWl2ZkV6TFlodUt1MUNwb2dRNG9aaTRrenRrU3g3ZnE2TXFWU2NHUjYxUVJVOWpYRG5RdUNRMUdvSC16ZGtQb25uZnVNd1BPZHBpOE80MFNMYy04SS1TaGVSNWtl?oc=5" TargetMode="External" Id="rId95"/><Relationship Type="http://schemas.openxmlformats.org/officeDocument/2006/relationships/hyperlink" Target="https://news.google.com/rss/articles/CBMi2wFBVV95cUxOeE9MZkVEWTFFS1VsUjNNTFU5ZlRHVFdZaWpNSnYxd0Z3RVUxVU44d0VYai1fVWVjQUZOb1RaaTNfVHFSSTNvUFdUNzdwbXI3NWVIYk1SaDRkcGJTdjQxWEdvcVZnZTk2c2psZFRQUmhvVHlpM1ZmVHFvMUpRT2VSZHFnaF9BT2VSc1EtNUxNWVNNekg4ZUVqendFR3NwTDJVSENkaDhncHNmdlYtSGRtWXY3bUxCbDZMVG9yNmh3QlNMSVphWG5iOTF0N240Q0JiVGg3Nzh3eXZJeU3SAeABQVVfeXFMT0RuVlF2YUh6LUZlVTVLRUxEbGVrZHJNV2NLRGdEdVktSWx1UjdYSkpfU1doZFlrZnNCYmRrMmhyWmRlVlhOZ1N3YVdHZlBIelhzbFhuVEJOYkFsQ1g0cHhWOF9sWGlCUDVlY0g0Tm50eUxmWDdtTUpGbllCeUl1anJiWmI1UFJtcURLaXhiNWIwUTFwdFVDM1RMVk9CLXMxOUNIYnpMSi1QNEtzRHRnN1VzVHVzdG96VVktOWdNaGR4Yzl6UUVZdDBzeGVxVVd4dmwxV1I5Z2FvVThNQXJhb0I?oc=5" TargetMode="External" Id="rId96"/><Relationship Type="http://schemas.openxmlformats.org/officeDocument/2006/relationships/hyperlink" Target="https://news.google.com/rss/articles/CBMiyAFBVV95cUxNbm9FWDJhbHFCMEpNTC1uZ1dtTWhHd09pYzd6N0s5aTJfclVMU3hmTmVoQVQ4UUxiWXQ2THJ6SkxJSDFIVGRfT3VHZFktS0d1M09BQzIxc1Y3OHE4Vjg5TjYwYjJ6UWpSRk9heE0xdWtSTThObUczdk51dEJmMUlZeXI5eExPQnF6OHp5Z3lna2RhVG9LemNROEkyVFBYUGVwZS04MWxzZkZqbjlpRGd2ekFXZzJ3VHB1YkpOeTBpQ3dabmtjOUFXdtIBzwFBVV95cUxNUm83blpBb3pITXIyTnhpekdUM19lZkFHR3pwOVlxaGRZbHhZeVJ0akN1MW4zSk9EdjgzRl9sUnZUMy1aWkVDQTJJaVJYeVI5SHdnYUVwM3VseEdjNkU2aDU5MlZrdkw3alBCMFlROTRBWVlGMnBHeGFhZXhxSFFRdzU3MjZzSS13djBVcXNpSDVvSlNtSVNkT0JPTmg3SkZ4amFZMFhYTG5uVjN0ZlNmSy02VnUzWlBEaWhZUFlhQmJYakZJQVUxZFJMWnRDZDg?oc=5" TargetMode="External" Id="rId97"/><Relationship Type="http://schemas.openxmlformats.org/officeDocument/2006/relationships/hyperlink" Target="https://news.google.com/rss/articles/CBMipwFBVV95cUxPRVNVU1ZRN1V1UUVLcGhjaHU0VFhyOWtyM3liZjJRMktZZ1dyVnk2cVphWFNPUnZLMDlBLW1kLUtid2RoMnpfTUdUZnNid002YVNDWkRqYWFPMHJDVkNzNHlZZGVPOFh6Tm4wRjI1UWtDMFV4cmI3b0l4WHVGRVliMkc2NUVGNHFqOUtKQV84UFgtVTlSa2gwanZxM2k2d0M3RkZQamhoWdIBrAFBVV95cUxOcFR0UC0yTjN5THRxNGk0cXRiaURuZXZhanBvUFNiMW5mOS1TSS1WbTc2TXcweE5IMFd3U01BeTg5R1FKelY0eUhIYVJibUxZNmE5WUtPeWlwQ2ZmUFVEMnNmUUZGT0luS0d5YkNydTcwMFNvOTBHdzctWkl5MzRuNElfU0M4QkVabGtEYlR0U294NFBxNFpRWGs5blc3elZFa3QySy1SdkN4VGNu?oc=5" TargetMode="External" Id="rId98"/><Relationship Type="http://schemas.openxmlformats.org/officeDocument/2006/relationships/hyperlink" Target="https://news.google.com/rss/articles/CBMi2AFBVV95cUxOWmtQMEZ5NFEwOHMtVlFJWGFKY005a2RTMWF4NlNNcXFQN1RYMmNHeDVVbmx2YlA0Z0xSUGs3aWZlUUJqVmpDMjhOU1M4enFVbFhTOTZEWmZVUFFUZ2JHSzNmRU5GaDhlQjRNUEpuTUd3aFI4MjJYa0tXamJUU3RXQmlJYXFRc2ZVU2UwSkIyNXF4SU5HRjhlZ1UwUktObGJjU29FRlBTSDJva29XUlVudGd5NldOcmxaTU14OFhsTi05Q2V5NEtFQXY5T0MzQnF2Smo5SWdTV1o?oc=5" TargetMode="External" Id="rId99"/><Relationship Type="http://schemas.openxmlformats.org/officeDocument/2006/relationships/hyperlink" Target="https://news.google.com/rss/articles/CBMixAFBVV95cUxPdHRLMXRySU0yU0lBdUJDU1RzcEpvM01WZjNEOXlaTlJGd2FnZk1fNUxTY2p0Q2lrNUpNOFN6UkNpc2xKNVBTYVJmRkJXaEJyX0Z0eUoxOG9kZmlic1hQaE84eWR4TU9JNDhVa243amFRMC11bjRzN3pwZHpiV2N6VlVMTEJqR2gtYmk5WExRek40TWtvOGtvcHRhTU14MGhaYWtsZHBianlEajd0dnFGdElaR0FIbmQyTkxMSHhjZG1nUTBL?oc=5" TargetMode="External" Id="rId100"/><Relationship Type="http://schemas.openxmlformats.org/officeDocument/2006/relationships/hyperlink" Target="https://news.google.com/rss/articles/CBMi5gFBVV95cUxNd2cxcjN4THQ4TFZtR2FweWRJR1BWYmpUcDJTZlRBVWZEeGZYR3R5RFNsYmFzM1ppNlN0Ykw4ZDdZR3l1Y05qZWdjZGpHOEt0QWZHcWFEQmVEc2RkMzl2cFZGbzV6eWFsZU42Nm1YUWZ1QTM4QVZIWmttM056VDhidk1sNmQ0Z3FDU3V1T3c3THFrTGloTjVUU2FHN3pKRUlfXzk1NkhzWTBmTWxWdGk2OVRwTWlLNmpLb1ZDamdaYVFwNHBtdzJObklHbXVEYzhCZHowY0o0OGs4WC1OTDl4WnVtUS1ld9IB7gFBVV95cUxObXhwRThRVnFsTlU0c3E5ejlpZEV1TTJ1QzBWd1JraWdFVWdaMjgwV2p6UUZGSGx6U0Rrajd6cjRlQUdocWczWDUzcGhpSE9YQ2g0RlN2eGg4M01aUHM2TzdPMm1Id1BqVS1pTnQ5eEl5MEZIaGQ2YVBRYlZ2ZU9hdVVkeGJ3NVVVQUpuRlVKQy1MdDl5SHdQUzFhM1A1eFdOcWVKN0k0cmlJOHN2NlNoamZaNlZIWF9GQ1JMWHRFM2drU3FTVERXX2ZYYlFUOGo3dmpVN3N3YUFNV1pTbzJwQUJkUnRLSFV3SXBFZkFn?oc=5" TargetMode="External" Id="rId101"/><Relationship Type="http://schemas.openxmlformats.org/officeDocument/2006/relationships/hyperlink" Target="https://news.google.com/rss/articles/CBMiwgFBVV95cUxNQXViREYtTGFhN2E1dTNudm5xR0VHZU1kakd2WHZiNDZXV3VvWFRhVXVvUlAxU3FEVTlmeHdWbjc3VFRvVmNvczJwTkVPbldUejYza0FYcFBDVTFrWHVtS2xLYXhPNjNkLWRmbE5wMDNTbWY2Mm92UGNhZDhaNUdZSF9GODkyMjhselJ0eDVQbGpscENobHRpWkxBU1F3R2cwWVR4cDNDVkd4dWZ1dS1nRkhEQTA4WlBnZGZERndyM1M2UdIBxwFBVV95cUxQV2VVVC1qZXc5RGl2TGRPd0Y5YTFKQV9GWFVLV3o1WHpDVldxaDdWVEljWGxsTVViS2R6Q1BXNTNJYXVMX1g5NDZ5cUFiOUNjMnlUZ1NHYWlqUUhRUWl3S29FR3haNFl5OGZnakRVbmVNWjdnclA1anlWbDZ2aGFXZ29KQnJncXcyWGZjd3pCYVBmZjJDbDJ5UXFxanBlcm1kNXRBRlo0UmlQaVBxWkF6eEV5T3ZjamRZY0dpc2dHS04xWjI0NFhv?oc=5" TargetMode="External" Id="rId102"/><Relationship Type="http://schemas.openxmlformats.org/officeDocument/2006/relationships/hyperlink" Target="https://news.google.com/rss/articles/CBMihAJBVV95cUxPbGZqMHp2VC02aEFPMWpFUDdkcGlUbGVqSHFVUTdtem9scXhMSTdwRHlQNWxyeGFjd19oVUJBLWtEWXA4bGVSVFlHY3BMTzdhc2RlekgyWmpWVFBYdThfNGJqT05SREFmb2NVT3hsZ0IxSWlVSXVWXzhyeUVQYWlWQWV5OUlmdDA1dldGM1JQdjBSZEtackdibmVLVEFwdWo3M0lha3hvdTNaNEZYTzhXQ01ic3lPMlFjSWFIRHJDeGlTTVR5dUc5S0RvaW85aG82T2xwdnFoSy1yTDRWNnloQ2UxaUpWbW9xYTFHNGw4dDJZMWoxVEUtZER0NlFQa2p2NHZQddIBigJBVV95cUxOYWFiZ291M3RVdE1Oc3JKM05Nd0d0LTM3dWFHS2laLXF6M1ltczBYWlh0SUFtejJZVU9lZlM1R0FWcldBZGRvT2hyWjlBZkl0QV8wUTFqN2J3THNzUGtYekI3MU5oRUVTbklKMXp4Q3NZQUJUaE4zaUJvVXFCRDZiXzN2NTZUWlRQdkRpNWFFdDdpTi0wSTR6ejhNMXBVQWNoMFI0MzVCckFaeklBMUZINEZ6czM0YjdpRjBId1lfVXFqYWszN0tvRy1leWhDZEJZSDBQa2lzdUtIZjNqVHpFcTBJZFZRbzJTMVZkS3BKVUVERWdhWUhlQkdUWGlKOHhuWXpqRDFTbnFHUQ?oc=5" TargetMode="External" Id="rId103"/><Relationship Type="http://schemas.openxmlformats.org/officeDocument/2006/relationships/hyperlink" Target="https://news.google.com/rss/articles/CBMivwJBVV95cUxOckZvTEdLSXpNR2ZfZFZRSlBSb251aFdLSERNTF9tTEVuOWt2a3JoVG9GWEZZa1B5VTVCZDc3Sm40VWlpZGJ0TWQzcWJNbmJjenNTcVpBUW83Mm1ySWpaYUVabmpaUHhGTmxWMjNqWWdmcHJtWWJvS3haYzEzY1J5MHg1YmVlV2FiTkZRTGNyQ1Yxb05WUFNiaDJNVjRjRHBjZHR6SmYyakpkNXFRWm1rcnpxaDlUVktBTWUtaTVoNjRjejJJUUVDeEl0ak5qWjBBb291eERuUHp2dkNNTXJCczFSaE9ycUpic0hZY2llYTFSdmNUMS1pQ3ZwRDczNkZ2UU9xMFNTLV9XMVF5Y1dCcTRfeE1aR2FqMW85ekJCMGhUWTY5ejhEd0NLT0tDTTdKR3pOVklydkxjX0pSb0R30gHEAkFVX3lxTE4zbTVMdTBDbDhuSFZpOUNZQWlQc000SVprR1hFRHIzajZFVkhEUGFRRjhXaDVwai15X2VfQUxVYnVnRW00QmxzZktoRms4UjB5N3Q0U2ZSNElMWktubjhxcVdBY0tlSldIMkI5czlWZU1QNkF5dlRINHBOa2VKakp0RnFMbUhiMzFNSHEtOHN6QnZxUEM3aHhHSF94cC1kMEtFck5QM3A4RzBydk83dHFETWxkOWFhYzltM0RPTkdMMTl2NXp0RUtsTFJrRjU4dlNWcjFTXzBYTEdQSFB3STBXY2YyR2tGNnFTTlBTRGhJODdpbDdPRVJBUlFzN0FxWnpQN05vVzVWSDN4R2ZzWlJ0bFN5dlloOVh5QWlWZWJHTGtWRmtXOG85djNCdlhNM3V4bTNSSl91QlZoOFVKSzBENVVEaw?oc=5" TargetMode="External" Id="rId104"/><Relationship Type="http://schemas.openxmlformats.org/officeDocument/2006/relationships/hyperlink" Target="https://news.google.com/rss/articles/CBMi_AFBVV95cUxOZFZvM3NMeWFaZWdDOXJWX3Y3dnA3RjJmMUlZNjZUU3I4RlRwemFzWjNLc2VGSXIxOThvYXJmekVZMkJDNjkxbkV0SVNRWjI2ZGdsOFctY2Z3TExhbFFKUXlfUHZXUG5RNmVtVktMLUtLVjN1WmdmM2RvQUs5b0gwVlBhbkEwdlFkN1duNURLcGJ2Ni1fSVpCdXpORXlFR1JudmYyZHM4U3RsRFpuMUxtakh2MjFMLUJKMkRoSmZmU3lSRmxhWHpNLUlDS2E2c2VGbU5fV0d1dW5jc2tpb1VQWjQzYV9sRmh4Ykk5Vk5rLWR4UkZZZFdJNW1yNzDSAYICQVVfeXFMTXhyQlhLeEtxLW9oR0lQcHoxNTBaaTdqaDgyMWVYVXhJZXlteDZGUEcwUjlZd05rUXdSRC1yMmFZWkl6ZEZZRmFiZ0dBSFBMcTVzU3ZORG82VzZ6VGVseW0yZGZxR1M4V1VLTjI0aDJfU29EZ0NqT1VsaktXNTVoeXdPNlNxYlNpSWZpOXpTQzB4c1lrb2Y3T1F1MVp2T08xaW4zNTVobVpQTmlfdlRITThka2hhc1U5WTF5cXgtXzBZdXlYbGVPT0t5OTd1MXZnTUtMWUxVRUFwbWlPWmxTeFRKV0VvNkh6U3pEUVdBZ04wSzJaN0dEWUFsWnMteWpuZzB3?oc=5" TargetMode="External" Id="rId105"/><Relationship Type="http://schemas.openxmlformats.org/officeDocument/2006/relationships/hyperlink" Target="https://news.google.com/rss/articles/CBMi1gFBVV95cUxOT0FlR3g5MTluX3phZ0tWLW1iVHAzbUh0dGFBRjcyLTBFQTl5bXkweTNIYlAtYjFSYlhBUFJYQ05VOVUzUFRLaDhwcmg0b2xZSE1JMV9rNlpuMFFDYTljQnpjdE5rMDJ2YWxGaDJZMFpCWFd5RDBuYjFvbE8xS085dmc0aktudXE5MDc5UlhCUVlQSVBtRnFwbUtwNG1lNkFVM2tWYzNLeDdHTGlhUjBXNEVMZ011Q0RJVkVoM24tWTNHWERXbHZ5U1hhOTRDQ0RmSlBFWDdn?oc=5" TargetMode="External" Id="rId106"/><Relationship Type="http://schemas.openxmlformats.org/officeDocument/2006/relationships/hyperlink" Target="https://news.google.com/rss/articles/CBMiwgFBVV95cUxNUnE1em5WY3o4a3A5REpCZ2hBWEVjVmh0SHZrdTlNcFpIaWs4cGZvWVBSeXZ5QU5vQkJHX25UMk9CVVQ0VVFfRXNuMnJWcDhrOWczYko2Q2FmYk90LWRadHFfbFRwM1hrQ2lBYmNaX3psWFp1MTg2dGdyTmtCTWt4OF9hQkdmaG1JVU13TFVaNVVrLURGOVVDckl5Z1pMenBsc3Axdmswam1ET0NLMk1MNzVubVFTTkVVR0dsbUhxMU1UZw?oc=5" TargetMode="External" Id="rId107"/><Relationship Type="http://schemas.openxmlformats.org/officeDocument/2006/relationships/hyperlink" Target="https://news.google.com/rss/articles/CBMiiAFBVV95cUxOdkctWjFPZDVydlFqbGVBQmtXM184Ny1vUmw1dnFzSGNyTmNRRzd4dWVLTFZEeXNRbjRYdng5eXhaaGE4cDV3RHNBd21HeGJZYVhDbFU5anp4LURYeUFpeVV0bUk3ekF2NEtWN0NTTFRDekFwTUY5MEpoeGlobnNOWWxWMFVPVTdt?oc=5" TargetMode="External" Id="rId108"/><Relationship Type="http://schemas.openxmlformats.org/officeDocument/2006/relationships/hyperlink" Target="https://news.google.com/rss/articles/CBMiRkFVX3lxTFA2eURra0RNN0hZR0ZxYmMxV00ycGZkVS14M1JaTGFnc2lGeVdLS3NUaDQ0Q0pKSkpLbDcwMUhQN1lwcHJNbmc?oc=5" TargetMode="External" Id="rId109"/><Relationship Type="http://schemas.openxmlformats.org/officeDocument/2006/relationships/hyperlink" Target="https://news.google.com/rss/articles/CBMiugFBVV95cUxQcXRqZ2VkU1BlRnY3clZsRkEweDlZOXdLYUFpMmM5QUc2eVhULTBmaXZNOTJaM1ltRkMwY1g5NUFSSUJibzdac2JSeV9pLWlzblJuMmdwTVlRSktfNlJ4YkxfYWpVd1VMd3JLel9hcGNrcmZJQUJsYlplNVMtQXNROC1CZTBvOE55eXpUSnhIaXNPeGt5V09rdjVEQlhJaTJDbmJlRTMxeGtONVhJbGNJb3FuSHRaWXFPMlE?oc=5" TargetMode="External" Id="rId110"/><Relationship Type="http://schemas.openxmlformats.org/officeDocument/2006/relationships/hyperlink" Target="https://news.google.com/rss/articles/CBMiwgFBVV95cUxNeXpfQm9hem5Ed2xQdUZyMjYxaWUwd0pFME01Rmoza0E3VjctMWFyUHlBNEpNVWNaTkdyc1dBelRsbmZaWVRObEx2eXFsS2hxWVpsRGVDeEEtYmtjcG1rVHNzNllEbTVFVks2YklNTFJiUjU1Qld0bUZjVUhxN0NzYmp2dmFOc05wcmFHOFV5aVBhRHdBb2dmcERPZ2RhMEZ2UGpfeVpxZTJJV2hnZlZFOGdJcXJZN3N6X21uVDY4TngwZw?oc=5" TargetMode="External" Id="rId111"/><Relationship Type="http://schemas.openxmlformats.org/officeDocument/2006/relationships/hyperlink" Target="https://news.google.com/rss/articles/CBMiuAFBVV95cUxObWxhVDV4ZlIydzBlUDdmdzFaMGRMcWw5N3RjWHRSWnZKOU85V1BaM1pOVDJBU0NjcUcycEZ0a1lGdTFjT2JBU3hGRl8xV0tmRmN6Rk9pSmo2MTJXLW1sRTFEZXROZ2NyaWlOc25CajVNNlBBTWN1aTNrWk9rTDU0QlhJaUt4MHV0cDdwSUs4M1M0WEZGYUJxTWtUUDhJeUNRc1Z1NXhlZTRPZHFzZmgwQzlWQWNxeldN0gHAAUFVX3lxTE5jb2ZQVkFqMmdkV1pQR3ZUaFBnRnNEODlSbFdlOWpxNGUxVnlRTlZjX1JraXlkVlZhNjc0ektuZ0VpaVFfbkhwRFI2N3JaSEtKc0pkZ1RQRjFVS3hhQlFVSUJHdE0yODNqS1NJRXc5LU9mM19GMWc4ZjdfbXd5WnRZTWpqTDJ3eGs3NnUxNmdhOWg2S2YxS2FnUUdPOFZoQ1JBdElkQWZJaVBNVXNuRDB2c1dpSEpxaDVwWWdKOFo4LQ?oc=5" TargetMode="External" Id="rId112"/><Relationship Type="http://schemas.openxmlformats.org/officeDocument/2006/relationships/hyperlink" Target="https://news.google.com/rss/articles/CBMi6gFBVV95cUxQVmpfeVpRbWpoMXJWS3BUZUQtMXRSUXgweXpYTEdsTERjUVNUdWNtbWJTZHFzeDBhNTdvUVpDUVA4b19UMXVjYVpNZ09HbVd1VmhqRlRfeTNrYVp4LXR1YXRGaTI0V1pOdnYyVk0wWmlrd01PazZzQzIxQndjcGdDZlBmYUdfQ3BXSEdzMF9sZExrcXRNV1NFRGFfMGo1MVZ3S0JpU1lXbmNadFc2S0RWV3JOSzVxc1Q3MzAzV25jMTc2WDY0SU5jRkthRy1JVGQwQUNDZWRSWXVMVFBKaVRINXdsUnRKdHVHX2fSAe8BQVVfeXFMT054SUVmc0J6eEdQOWs4NzBLcGRoOExnZkEzTWpwMVFYeDBHZjBnYkJkTDF4WTI1d1UwMWFheFgwQWRJTHJCb3A0dGF0b3l5R01USkMwUmtiUktQWE4wWlluU1dhRDBvbVBfTHpUNFhzZ0gzTEN4WmtXOGVzRlo5U0RBb3g3aGRwNzRQdkdqcEhyOXlYYTc1eWJKQ3d0MS1FbkJxT1FmbUc0NXlId1Q3ZmRKYWtORWRmUlQ4eEpTQjhlbkVhQ2lqRWNQdUhwaHo1UHU4UEd0c0p0bU13aEprR2ZqUEFLdE5takk0RU5fWTQ?oc=5" TargetMode="External" Id="rId113"/><Relationship Type="http://schemas.openxmlformats.org/officeDocument/2006/relationships/hyperlink" Target="https://news.google.com/rss/articles/CBMixwFBVV95cUxPNjdLa1Q4STc5UFU5VzcxNWpmcHBDaXd3U1ktUkJhTUk0ZjlJRHZ6YWtzTkRhNDg0WFlELXdwLUlkMkVCYm1GUHhQNUlwazJHWlZIaVlhZmVBcGdOVHZsNFd2QUg5VXJkNjRKSzlvMnc3dWN0SjVFTnlidVVZMzctRjdEVzF4X3B0TEpUNURhcHFRV2ZMb3VDUGtnNDZhNXdIQWNlTTBHRGZPXzNkLUVXY1ZONFNHYjhqbFQwS0JqMGROVjE2bmZJ0gHOAUFVX3lxTE8wN3RPazNfT2JQaWdsVUpBb01Jd1FBTU9qYkZrNnZ2eENBY1UwSTBwOU1FWEcteXJ3RDNBME40TTRJTGdWOGxRVGl6TC1FTTkzenVWTFczZ2Q4c19jSXcyU3VfdFVwdzVZaktpa0hsRWIyZWtRbkVYcWdtWHpUTWd2MWFlTG4xVWhTY1o3czQ0RmF6NU5xTXNTRUdPZXhTNGVlT1Z6TXZHUHN0aVlmeTVBalhXdVBYdl96OGxaSksyQ19wMks2em5jNDZOdDFn?oc=5" TargetMode="External" Id="rId114"/><Relationship Type="http://schemas.openxmlformats.org/officeDocument/2006/relationships/hyperlink" Target="https://news.google.com/rss/articles/CBMi9wFBVV95cUxPYmlLLVpwT1RwQ2tYR1F6WlNVTWJ3N3h6R3MyX2ZvVlhHUjlDZVdHTHhGeVF1dnBQOEdjb21UQUFuclpzTVh6a283ZF9EWWJqb1lreEp1dzZFMEx0eVJLQmlUcXc2elo2SEE2c3ZiVEZLYk1sLVJkZ191cnZOb0QyT1pBSUxfR1o2UkRoMlN5dnlnWklGMC1OTVp0bmlNaFJwdW1JOUhFdkg1TWlIZl9xUUwweTlfUThhaE9oeGstZ1ZnaUZGckh0b2xsSldWb3B1Um9MUWtCUDJzTmQycFVUTExRUFdGSkx1a0hubHVjYmtLZEo1ZGRr?oc=5" TargetMode="External" Id="rId115"/><Relationship Type="http://schemas.openxmlformats.org/officeDocument/2006/relationships/hyperlink" Target="https://news.google.com/rss/articles/CBMitwFBVV95cUxOYV92ZHBGUmxnOU0ydGQwSjdwUnBLNFBuMHdjbGhLSWpRYzI4ajM2dEFIVW9lQkV5NFZOdzNYeFJtS3pISkZXMVZET1p3aWZXQ1N1cU92OUNMa19wNGEycXF6Ykw5SlJ0eGVreTZZdW9UTktVbTFGeU5HRHpuVWpLOTQ5SWo1bTJKU0tJNUlVVzhqYnBoMEpuVGFWelJ1U09EclhrM19FeVNCbVFOUENnZ2xraFNiZVE?oc=5" TargetMode="External" Id="rId116"/><Relationship Type="http://schemas.openxmlformats.org/officeDocument/2006/relationships/hyperlink" Target="https://news.google.com/rss/articles/CBMivgFBVV95cUxNeXFmTEJhQTB3U2FSNW5IN0lub2hFVk1aSGlmU1RUUE1ITjFDcmpDTVdFQ1VJOHFzYWpqZXpoNEVUbE9pVjh3ZWE2VEcybVI0VEdLNDV2WF9jbHdIX1llcklPcjFXMDM4QzZ0MXptcGtVTjdLTjlUN0pPeFhjOS1vel9YcERQWWFibVdYdzAwTkdtak9UNV9ObGlfdmVXU2RhZGNvaW9XV2o4VFlvOXFUQmd6OU9PaW5GbEhkdDBn?oc=5" TargetMode="External" Id="rId117"/><Relationship Type="http://schemas.openxmlformats.org/officeDocument/2006/relationships/hyperlink" Target="https://news.google.com/rss/articles/CBMi0gFBVV95cUxPWm03Y2s2TzZiU2ZxV1l5QTBwZTlLVXkzOFd2WlYyZ1ZiU2dEWUFneElwRG1HMUNaNTFCX1p2V3otUVhCZU5SOTlyRUNIdjZaTTh4cUVmWDRHMlg3ZDNCX0VQaEtITUpRNVBvbHRFMnJ0NjV4YjhOUHZNUFJhZ1IwRGt3UXJDeE16ck5zb3ZSN0ozNVVMc2xjM05NRGVrUjVfWlVEZGJpWGNicFNnb0NvSDYxMFZyS0FoRkFhZTU2T2lienVEZzV5WWxkeFF4bjFsMHfSAdcBQVVfeXFMTkpxQ2JGc2tYb1NXcGpqQzBib1gxRXpKNUpTcmZ0a3lkcm1oMVpBcTN5M3piTUludmVTZWN2ekRHUnpDTThqRVd5TFloZ0h2UkpScFBiWkJ1ZlhxMUtqaXdNaTU0bGhlZVFPX2wyOG9fRDhZYWRPVWxkUzRTTmZabnFpSnA4b0FnM0VDbTY1R3U0ZmJueThIU180bWtiSTV6NHhzbzd4blZsVDdSaHQwWlo3RTdDSk9iTFdqSkZKbEJhSHhzWFJhR3NkVnVzdUVXbTNUTXM5c00?oc=5" TargetMode="External" Id="rId118"/><Relationship Type="http://schemas.openxmlformats.org/officeDocument/2006/relationships/hyperlink" Target="https://news.google.com/rss/articles/CBMi3gFBVV95cUxNaTRicEdpc2xjWnRrZGlDQmVHYUhyYlk5bE5VeU9FSWtwWEQ2MzFWMGtmeDJ3NFo2R0dEX3cwblVQemxEWFp0U3dwalVQTnFWOGlWb08zbGNVSlYyQzUtM244eWJPeGFXTHZMMm9RdVlHaTJqb0NJeFNiekM0TmxJbnhRSl82YWFUNlpyaWR0Q0NsMEVkb05jQXVOQTI1Vlpmb1FCZzVrcjcybUpJX1NON3dMRUVDbE9jV2FHQXd1OU1FRll5Rm40NVpkYmdlZTVpUFZ1b2dEb1VXU3FKaWc?oc=5" TargetMode="External" Id="rId119"/><Relationship Type="http://schemas.openxmlformats.org/officeDocument/2006/relationships/hyperlink" Target="https://news.google.com/rss/articles/CBMizwFBVV95cUxNbV9TQktMZzVLS2k1YWJHSlJsamJtNXBFOHJwZHEtX2ZCZ2Y2azU5blNvbVpLQngxeF94SEVkb3phRXVpOUFVb2tBdFJCUkczMENNTU92Ry12WE5idExOVjFVOXZNdndUNEVIdVpFZlpvczFiT3ZtRlVDeE9ibkhleVc0dEJNWFF1ZmJpMTdMa3V2a1ZaNzBGenpNTXRxTEdERXNVb3dQbXBPMWdWMURzeXNkZHVfRnFnTkxvclhiVk1FcVBJQUlDUDNzcFNtTUU?oc=5" TargetMode="External" Id="rId120"/><Relationship Type="http://schemas.openxmlformats.org/officeDocument/2006/relationships/hyperlink" Target="https://news.google.com/rss/articles/CBMi1wFBVV95cUxQaHNMNE94WElpelJxRFNZMmFoS1p0a2lrZUFFa2Vla0JFb2psbEVOSW5HY2pCNjZ5VzBfa1lyem8zRktLVVduZ1hlc1E0aW0yQ0Fxb0ZSUFJZLWlMd3hKZjFqY1VaOTRSNGxpN3QzbVNvaFhoX2Zyc2JueHVtRWRyTkhkalBPZ2M1dWdwU2NFWURyTmFLUjFvV3NybkJiTVpQYy1Fd1dLMlRxRHFZWGNobWpUclFZQ184OGk2eFRqUFBaWF9sT1FiUlJ2SjdpWTZCT1ktVzhNdw?oc=5" TargetMode="External" Id="rId121"/></Relationships>
</file>

<file path=xl/worksheets/sheet1.xml><?xml version="1.0" encoding="utf-8"?>
<worksheet xmlns="http://schemas.openxmlformats.org/spreadsheetml/2006/main">
  <sheetPr>
    <tabColor rgb="002F4BD8"/>
    <outlinePr summaryBelow="1" summaryRight="1"/>
    <pageSetUpPr fitToPage="1"/>
  </sheetPr>
  <dimension ref="A1:L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SwingScope Momentum Batch 2026-10-29 — 21-Day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Signal 2026-10-29  •  Day 1 of 21  •  Entry day (bought at open)  •  Exit ~2026-12-01  •  Updated 30-Oct-2026 18:08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PROGRESS  Day 1/21</t>
        </is>
      </c>
    </row>
    <row r="5" ht="10" customHeight="1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5%</t>
        </is>
      </c>
    </row>
    <row r="7">
      <c r="B7" s="6" t="inlineStr">
        <is>
          <t>CURRENT DAY</t>
        </is>
      </c>
      <c r="C7" s="7" t="n"/>
      <c r="E7" s="6" t="inlineStr">
        <is>
          <t>LAST SESSION</t>
        </is>
      </c>
      <c r="F7" s="7" t="n"/>
      <c r="H7" s="6" t="inlineStr">
        <is>
          <t>INVESTED</t>
        </is>
      </c>
      <c r="I7" s="7" t="n"/>
      <c r="K7" s="6" t="inlineStr">
        <is>
          <t>MARKET VALUE</t>
        </is>
      </c>
      <c r="L7" s="7" t="n"/>
    </row>
    <row r="8" ht="26" customHeight="1">
      <c r="B8" s="8" t="inlineStr">
        <is>
          <t>Day 1 / 21</t>
        </is>
      </c>
      <c r="C8" s="9" t="n"/>
      <c r="E8" s="8" t="inlineStr">
        <is>
          <t>2026-10-30</t>
        </is>
      </c>
      <c r="F8" s="9" t="n"/>
      <c r="H8" s="10">
        <f>'Daily Closes'!E16</f>
        <v/>
      </c>
      <c r="I8" s="9" t="n"/>
      <c r="K8" s="10">
        <f>'Daily Closes'!AB16</f>
        <v/>
      </c>
      <c r="L8" s="9" t="n"/>
    </row>
    <row r="9">
      <c r="B9" s="11" t="inlineStr">
        <is>
          <t>Entry day (bought at open)</t>
        </is>
      </c>
      <c r="C9" s="9" t="n"/>
      <c r="E9" s="11" t="inlineStr">
        <is>
          <t>Exit ~2026-12-01</t>
        </is>
      </c>
      <c r="F9" s="9" t="n"/>
      <c r="H9" s="11" t="inlineStr">
        <is>
          <t>Qty × entry price</t>
        </is>
      </c>
      <c r="I9" s="9" t="n"/>
      <c r="K9" s="11" t="inlineStr">
        <is>
          <t>At latest close</t>
        </is>
      </c>
      <c r="L9" s="9" t="n"/>
    </row>
    <row r="11">
      <c r="B11" s="6" t="inlineStr">
        <is>
          <t>GROSS P&amp;L</t>
        </is>
      </c>
      <c r="C11" s="7" t="n"/>
      <c r="E11" s="6" t="inlineStr">
        <is>
          <t>GROSS RETURN</t>
        </is>
      </c>
      <c r="F11" s="7" t="n"/>
      <c r="H11" s="6" t="inlineStr">
        <is>
          <t>EST. COSTS</t>
        </is>
      </c>
      <c r="I11" s="7" t="n"/>
      <c r="K11" s="6" t="inlineStr">
        <is>
          <t>NET P&amp;L</t>
        </is>
      </c>
      <c r="L11" s="7" t="n"/>
    </row>
    <row r="12" ht="26" customHeight="1">
      <c r="B12" s="10">
        <f>'Daily Closes'!AD16</f>
        <v/>
      </c>
      <c r="C12" s="9" t="n"/>
      <c r="E12" s="12">
        <f>'Daily Closes'!AC16</f>
        <v/>
      </c>
      <c r="F12" s="9" t="n"/>
      <c r="H12" s="10">
        <f>'Daily Closes'!E16*0.006</f>
        <v/>
      </c>
      <c r="I12" s="9" t="n"/>
      <c r="K12" s="10">
        <f>B12-H12</f>
        <v/>
      </c>
      <c r="L12" s="9" t="n"/>
    </row>
    <row r="13">
      <c r="B13" s="11" t="inlineStr">
        <is>
          <t>Before costs</t>
        </is>
      </c>
      <c r="C13" s="9" t="n"/>
      <c r="E13" s="11" t="inlineStr">
        <is>
          <t>vs entry</t>
        </is>
      </c>
      <c r="F13" s="9" t="n"/>
      <c r="H13" s="11" t="inlineStr">
        <is>
          <t>0.6% round trip</t>
        </is>
      </c>
      <c r="I13" s="9" t="n"/>
      <c r="K13" s="11" t="inlineStr">
        <is>
          <t>After est. costs</t>
        </is>
      </c>
      <c r="L13" s="9" t="n"/>
    </row>
    <row r="15">
      <c r="B15" s="6" t="inlineStr">
        <is>
          <t>NIFTY 50</t>
        </is>
      </c>
      <c r="C15" s="7" t="n"/>
      <c r="E15" s="6" t="inlineStr">
        <is>
          <t>ALPHA vs NIFTY</t>
        </is>
      </c>
      <c r="F15" s="7" t="n"/>
      <c r="H15" s="6" t="inlineStr">
        <is>
          <t>WINNERS / LOSERS</t>
        </is>
      </c>
      <c r="I15" s="7" t="n"/>
      <c r="K15" s="6" t="inlineStr">
        <is>
          <t>MAX DRAWDOWN</t>
        </is>
      </c>
      <c r="L15" s="7" t="n"/>
    </row>
    <row r="16" ht="26" customHeight="1">
      <c r="B16" s="12" t="n">
        <v>0.005072645427098399</v>
      </c>
      <c r="C16" s="9" t="n"/>
      <c r="E16" s="12" t="n">
        <v>-0.02186593527575008</v>
      </c>
      <c r="F16" s="9" t="n"/>
      <c r="H16" s="8" t="inlineStr">
        <is>
          <t>2 / 8</t>
        </is>
      </c>
      <c r="I16" s="9" t="n"/>
      <c r="K16" s="12" t="n">
        <v>0</v>
      </c>
      <c r="L16" s="9" t="n"/>
    </row>
    <row r="17">
      <c r="B17" s="11" t="inlineStr">
        <is>
          <t>Same window</t>
        </is>
      </c>
      <c r="C17" s="9" t="n"/>
      <c r="E17" s="11" t="inlineStr">
        <is>
          <t>Gross return − Nifty</t>
        </is>
      </c>
      <c r="F17" s="9" t="n"/>
      <c r="H17" s="11" t="inlineStr">
        <is>
          <t>of 10 stocks</t>
        </is>
      </c>
      <c r="I17" s="9" t="n"/>
      <c r="K17" s="11" t="inlineStr">
        <is>
          <t>Peak-to-trough, portfolio</t>
        </is>
      </c>
      <c r="L17" s="9" t="n"/>
    </row>
    <row r="19">
      <c r="B19" s="13" t="inlineStr">
        <is>
          <t>STOCK LEAGUE TABLE (sorted by return)</t>
        </is>
      </c>
    </row>
    <row r="20">
      <c r="B20" s="14" t="inlineStr">
        <is>
          <t>Symbol</t>
        </is>
      </c>
      <c r="C20" s="14" t="inlineStr">
        <is>
          <t>Qty</t>
        </is>
      </c>
      <c r="D20" s="14" t="inlineStr">
        <is>
          <t>Entry ₹</t>
        </is>
      </c>
      <c r="E20" s="14" t="inlineStr">
        <is>
          <t>Last ₹</t>
        </is>
      </c>
      <c r="F20" s="14" t="inlineStr">
        <is>
          <t>Return %</t>
        </is>
      </c>
      <c r="G20" s="14" t="inlineStr">
        <is>
          <t>P&amp;L ₹</t>
        </is>
      </c>
      <c r="H20" s="14" t="inlineStr">
        <is>
          <t>Max gain %</t>
        </is>
      </c>
      <c r="I20" s="14" t="inlineStr">
        <is>
          <t>Max loss %</t>
        </is>
      </c>
      <c r="J20" s="14" t="inlineStr">
        <is>
          <t>Weight %</t>
        </is>
      </c>
      <c r="K20" s="14" t="inlineStr">
        <is>
          <t>Contrib %</t>
        </is>
      </c>
    </row>
    <row r="21">
      <c r="B21" s="15" t="inlineStr">
        <is>
          <t>RATNAVEER</t>
        </is>
      </c>
      <c r="C21" s="16" t="n">
        <v>42</v>
      </c>
      <c r="D21" s="17" t="n">
        <v>354.2</v>
      </c>
      <c r="E21" s="17" t="n">
        <v>360.25</v>
      </c>
      <c r="F21" s="18" t="n">
        <v>0.017081</v>
      </c>
      <c r="G21" s="19" t="n">
        <v>254.1</v>
      </c>
      <c r="H21" s="18" t="n">
        <v>0.017081</v>
      </c>
      <c r="I21" s="18" t="n">
        <v>0.017081</v>
      </c>
      <c r="J21" s="20" t="n">
        <v>0.108758</v>
      </c>
      <c r="K21" s="18" t="n">
        <v>0.001858</v>
      </c>
    </row>
    <row r="22">
      <c r="B22" s="21" t="inlineStr">
        <is>
          <t>AETHER</t>
        </is>
      </c>
      <c r="C22" s="22" t="n">
        <v>9</v>
      </c>
      <c r="D22" s="23" t="n">
        <v>1597.4</v>
      </c>
      <c r="E22" s="23" t="n">
        <v>1616.2</v>
      </c>
      <c r="F22" s="24" t="n">
        <v>0.011769</v>
      </c>
      <c r="G22" s="25" t="n">
        <v>169.2</v>
      </c>
      <c r="H22" s="24" t="n">
        <v>0.011769</v>
      </c>
      <c r="I22" s="24" t="n">
        <v>0.011769</v>
      </c>
      <c r="J22" s="26" t="n">
        <v>0.105105</v>
      </c>
      <c r="K22" s="24" t="n">
        <v>0.001237</v>
      </c>
    </row>
    <row r="23">
      <c r="B23" s="15" t="inlineStr">
        <is>
          <t>AEROFLEX</t>
        </is>
      </c>
      <c r="C23" s="16" t="n">
        <v>29</v>
      </c>
      <c r="D23" s="17" t="n">
        <v>538.35</v>
      </c>
      <c r="E23" s="17" t="n">
        <v>536.4</v>
      </c>
      <c r="F23" s="18" t="n">
        <v>-0.003622</v>
      </c>
      <c r="G23" s="19" t="n">
        <v>-56.55</v>
      </c>
      <c r="H23" s="18" t="n">
        <v>-0.003622</v>
      </c>
      <c r="I23" s="18" t="n">
        <v>-0.003622</v>
      </c>
      <c r="J23" s="20" t="n">
        <v>0.114137</v>
      </c>
      <c r="K23" s="18" t="n">
        <v>-0.000413</v>
      </c>
    </row>
    <row r="24">
      <c r="B24" s="21" t="inlineStr">
        <is>
          <t>TDPOWERSYS</t>
        </is>
      </c>
      <c r="C24" s="22" t="n">
        <v>20</v>
      </c>
      <c r="D24" s="23" t="n">
        <v>719.45</v>
      </c>
      <c r="E24" s="23" t="n">
        <v>713.9</v>
      </c>
      <c r="F24" s="24" t="n">
        <v>-0.007714</v>
      </c>
      <c r="G24" s="25" t="n">
        <v>-111</v>
      </c>
      <c r="H24" s="24" t="n">
        <v>-0.007714</v>
      </c>
      <c r="I24" s="24" t="n">
        <v>-0.007714</v>
      </c>
      <c r="J24" s="26" t="n">
        <v>0.105195</v>
      </c>
      <c r="K24" s="24" t="n">
        <v>-0.000811</v>
      </c>
    </row>
    <row r="25">
      <c r="B25" s="15" t="inlineStr">
        <is>
          <t>SBC</t>
        </is>
      </c>
      <c r="C25" s="16" t="n">
        <v>225</v>
      </c>
      <c r="D25" s="17" t="n">
        <v>67.05</v>
      </c>
      <c r="E25" s="17" t="n">
        <v>66.15000000000001</v>
      </c>
      <c r="F25" s="18" t="n">
        <v>-0.013423</v>
      </c>
      <c r="G25" s="19" t="n">
        <v>-202.5</v>
      </c>
      <c r="H25" s="18" t="n">
        <v>-0.013423</v>
      </c>
      <c r="I25" s="18" t="n">
        <v>-0.013423</v>
      </c>
      <c r="J25" s="20" t="n">
        <v>0.110293</v>
      </c>
      <c r="K25" s="18" t="n">
        <v>-0.00148</v>
      </c>
    </row>
    <row r="26">
      <c r="B26" s="21" t="inlineStr">
        <is>
          <t>SYRMA</t>
        </is>
      </c>
      <c r="C26" s="22" t="n">
        <v>8</v>
      </c>
      <c r="D26" s="23" t="n">
        <v>1675</v>
      </c>
      <c r="E26" s="23" t="n">
        <v>1625.3</v>
      </c>
      <c r="F26" s="24" t="n">
        <v>-0.029672</v>
      </c>
      <c r="G26" s="25" t="n">
        <v>-397.6</v>
      </c>
      <c r="H26" s="24" t="n">
        <v>-0.029672</v>
      </c>
      <c r="I26" s="24" t="n">
        <v>-0.029672</v>
      </c>
      <c r="J26" s="26" t="n">
        <v>0.097965</v>
      </c>
      <c r="K26" s="24" t="n">
        <v>-0.002907</v>
      </c>
    </row>
    <row r="27">
      <c r="B27" s="15" t="inlineStr">
        <is>
          <t>CPPLUS</t>
        </is>
      </c>
      <c r="C27" s="16" t="n">
        <v>3</v>
      </c>
      <c r="D27" s="17" t="n">
        <v>3932.1</v>
      </c>
      <c r="E27" s="17" t="n">
        <v>3811.5</v>
      </c>
      <c r="F27" s="18" t="n">
        <v>-0.030671</v>
      </c>
      <c r="G27" s="19" t="n">
        <v>-361.8</v>
      </c>
      <c r="H27" s="18" t="n">
        <v>-0.030671</v>
      </c>
      <c r="I27" s="18" t="n">
        <v>-0.030671</v>
      </c>
      <c r="J27" s="20" t="n">
        <v>0.08624</v>
      </c>
      <c r="K27" s="18" t="n">
        <v>-0.002645</v>
      </c>
    </row>
    <row r="28">
      <c r="B28" s="21" t="inlineStr">
        <is>
          <t>THANGAMAYL</t>
        </is>
      </c>
      <c r="C28" s="22" t="n">
        <v>2</v>
      </c>
      <c r="D28" s="23" t="n">
        <v>4630.5</v>
      </c>
      <c r="E28" s="23" t="n">
        <v>4455</v>
      </c>
      <c r="F28" s="24" t="n">
        <v>-0.037901</v>
      </c>
      <c r="G28" s="25" t="n">
        <v>-351</v>
      </c>
      <c r="H28" s="24" t="n">
        <v>-0.037901</v>
      </c>
      <c r="I28" s="24" t="n">
        <v>-0.037901</v>
      </c>
      <c r="J28" s="26" t="n">
        <v>0.067705</v>
      </c>
      <c r="K28" s="24" t="n">
        <v>-0.002566</v>
      </c>
    </row>
    <row r="29">
      <c r="B29" s="15" t="inlineStr">
        <is>
          <t>SMLMAH</t>
        </is>
      </c>
      <c r="C29" s="16" t="n">
        <v>3</v>
      </c>
      <c r="D29" s="17" t="n">
        <v>4918</v>
      </c>
      <c r="E29" s="17" t="n">
        <v>4724.5</v>
      </c>
      <c r="F29" s="18" t="n">
        <v>-0.039345</v>
      </c>
      <c r="G29" s="19" t="n">
        <v>-580.5</v>
      </c>
      <c r="H29" s="18" t="n">
        <v>-0.039345</v>
      </c>
      <c r="I29" s="18" t="n">
        <v>-0.039345</v>
      </c>
      <c r="J29" s="20" t="n">
        <v>0.107864</v>
      </c>
      <c r="K29" s="18" t="n">
        <v>-0.004244</v>
      </c>
    </row>
    <row r="30">
      <c r="B30" s="21" t="inlineStr">
        <is>
          <t>KIRLOSENG</t>
        </is>
      </c>
      <c r="C30" s="22" t="n">
        <v>7</v>
      </c>
      <c r="D30" s="23" t="n">
        <v>1890.3</v>
      </c>
      <c r="E30" s="23" t="n">
        <v>1796.1</v>
      </c>
      <c r="F30" s="24" t="n">
        <v>-0.049833</v>
      </c>
      <c r="G30" s="25" t="n">
        <v>-659.4</v>
      </c>
      <c r="H30" s="24" t="n">
        <v>-0.049833</v>
      </c>
      <c r="I30" s="24" t="n">
        <v>-0.049833</v>
      </c>
      <c r="J30" s="26" t="n">
        <v>0.096737</v>
      </c>
      <c r="K30" s="24" t="n">
        <v>-0.004821</v>
      </c>
    </row>
  </sheetData>
  <mergeCells count="38">
    <mergeCell ref="K16:L16"/>
    <mergeCell ref="E12:F12"/>
    <mergeCell ref="B16:C16"/>
    <mergeCell ref="B7:C7"/>
    <mergeCell ref="K15:L15"/>
    <mergeCell ref="K9:L9"/>
    <mergeCell ref="E17:F17"/>
    <mergeCell ref="H9:I9"/>
    <mergeCell ref="E8:F8"/>
    <mergeCell ref="B12:C12"/>
    <mergeCell ref="A2:L2"/>
    <mergeCell ref="K11:L11"/>
    <mergeCell ref="B11:C11"/>
    <mergeCell ref="E13:F13"/>
    <mergeCell ref="B17:C17"/>
    <mergeCell ref="E9:F9"/>
    <mergeCell ref="B8:C8"/>
    <mergeCell ref="H17:I17"/>
    <mergeCell ref="B13:C13"/>
    <mergeCell ref="H11:I11"/>
    <mergeCell ref="K12:L12"/>
    <mergeCell ref="E15:F15"/>
    <mergeCell ref="K8:L8"/>
    <mergeCell ref="H16:I16"/>
    <mergeCell ref="H7:I7"/>
    <mergeCell ref="E11:F11"/>
    <mergeCell ref="B9:C9"/>
    <mergeCell ref="H13:I13"/>
    <mergeCell ref="K17:L17"/>
    <mergeCell ref="K7:L7"/>
    <mergeCell ref="H12:I12"/>
    <mergeCell ref="B15:C15"/>
    <mergeCell ref="E16:F16"/>
    <mergeCell ref="E7:F7"/>
    <mergeCell ref="A1:L1"/>
    <mergeCell ref="H15:I15"/>
    <mergeCell ref="H8:I8"/>
    <mergeCell ref="K13:L13"/>
  </mergeCells>
  <conditionalFormatting sqref="B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E1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K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21:F30">
    <cfRule type="cellIs" priority="13" operator="greaterThan" dxfId="2">
      <formula>0</formula>
    </cfRule>
    <cfRule type="cellIs" priority="14" operator="lessThan" dxfId="3">
      <formula>0</formula>
    </cfRule>
  </conditionalFormatting>
  <conditionalFormatting sqref="G21:G30">
    <cfRule type="cellIs" priority="15" operator="greaterThan" dxfId="2">
      <formula>0</formula>
    </cfRule>
    <cfRule type="cellIs" priority="16" operator="lessThan" dxfId="3">
      <formula>0</formula>
    </cfRule>
    <cfRule type="dataBar" priority="23">
      <dataBar showValue="1">
        <cfvo type="min"/>
        <cfvo type="max"/>
        <color rgb="005B8DEF"/>
      </dataBar>
    </cfRule>
  </conditionalFormatting>
  <conditionalFormatting sqref="H21:H30">
    <cfRule type="cellIs" priority="17" operator="greaterThan" dxfId="2">
      <formula>0</formula>
    </cfRule>
    <cfRule type="cellIs" priority="18" operator="lessThan" dxfId="3">
      <formula>0</formula>
    </cfRule>
  </conditionalFormatting>
  <conditionalFormatting sqref="I21:I30">
    <cfRule type="cellIs" priority="19" operator="greaterThan" dxfId="2">
      <formula>0</formula>
    </cfRule>
    <cfRule type="cellIs" priority="20" operator="lessThan" dxfId="3">
      <formula>0</formula>
    </cfRule>
  </conditionalFormatting>
  <conditionalFormatting sqref="K21:K30">
    <cfRule type="cellIs" priority="21" operator="greaterThan" dxfId="2">
      <formula>0</formula>
    </cfRule>
    <cfRule type="cellIs" priority="22" operator="lessThan" dxfId="3">
      <formula>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AF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1" customWidth="1" min="28" max="28"/>
    <col width="10" customWidth="1" min="29" max="29"/>
    <col width="11" customWidth="1" min="30" max="30"/>
    <col width="10" customWidth="1" min="31" max="31"/>
    <col width="9" customWidth="1" min="32" max="32"/>
  </cols>
  <sheetData>
    <row r="1" ht="30" customHeight="1">
      <c r="A1" s="1" t="inlineStr">
        <is>
          <t>SwingScope Batch 2026-10-29 — Daily Close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8" customHeight="1">
      <c r="A2" s="3" t="inlineStr">
        <is>
          <t>Signal 2026-10-29  •  Day 1 of 21  •  Entry day (bought at open)  •  Exit ~2026-12-01  •  Updated 30-Oct-2026 18:08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7" t="inlineStr">
        <is>
          <t>Closes from Day 0 (signal) to Day 21 (exit). Highlighted column = latest session. Grey = future session (projected date).</t>
        </is>
      </c>
    </row>
    <row r="4" ht="20" customHeight="1">
      <c r="A4" s="14" t="inlineStr">
        <is>
          <t>#</t>
        </is>
      </c>
      <c r="B4" s="14" t="inlineStr">
        <is>
          <t>Symbol</t>
        </is>
      </c>
      <c r="C4" s="14" t="inlineStr">
        <is>
          <t>ISIN</t>
        </is>
      </c>
      <c r="D4" s="14" t="inlineStr">
        <is>
          <t>Qty</t>
        </is>
      </c>
      <c r="E4" s="14" t="inlineStr">
        <is>
          <t>Entry ₹</t>
        </is>
      </c>
      <c r="F4" s="28" t="inlineStr">
        <is>
          <t>Day 0</t>
        </is>
      </c>
      <c r="G4" s="29" t="inlineStr">
        <is>
          <t>Day 1</t>
        </is>
      </c>
      <c r="H4" s="14" t="inlineStr">
        <is>
          <t>Day 2</t>
        </is>
      </c>
      <c r="I4" s="14" t="inlineStr">
        <is>
          <t>Day 3</t>
        </is>
      </c>
      <c r="J4" s="14" t="inlineStr">
        <is>
          <t>Day 4</t>
        </is>
      </c>
      <c r="K4" s="14" t="inlineStr">
        <is>
          <t>Day 5</t>
        </is>
      </c>
      <c r="L4" s="14" t="inlineStr">
        <is>
          <t>Day 6</t>
        </is>
      </c>
      <c r="M4" s="14" t="inlineStr">
        <is>
          <t>Day 7</t>
        </is>
      </c>
      <c r="N4" s="14" t="inlineStr">
        <is>
          <t>Day 8</t>
        </is>
      </c>
      <c r="O4" s="14" t="inlineStr">
        <is>
          <t>Day 9</t>
        </is>
      </c>
      <c r="P4" s="14" t="inlineStr">
        <is>
          <t>Day 10</t>
        </is>
      </c>
      <c r="Q4" s="14" t="inlineStr">
        <is>
          <t>Day 11</t>
        </is>
      </c>
      <c r="R4" s="14" t="inlineStr">
        <is>
          <t>Day 12</t>
        </is>
      </c>
      <c r="S4" s="14" t="inlineStr">
        <is>
          <t>Day 13</t>
        </is>
      </c>
      <c r="T4" s="14" t="inlineStr">
        <is>
          <t>Day 14</t>
        </is>
      </c>
      <c r="U4" s="14" t="inlineStr">
        <is>
          <t>Day 15</t>
        </is>
      </c>
      <c r="V4" s="14" t="inlineStr">
        <is>
          <t>Day 16</t>
        </is>
      </c>
      <c r="W4" s="14" t="inlineStr">
        <is>
          <t>Day 17</t>
        </is>
      </c>
      <c r="X4" s="14" t="inlineStr">
        <is>
          <t>Day 18</t>
        </is>
      </c>
      <c r="Y4" s="14" t="inlineStr">
        <is>
          <t>Day 19</t>
        </is>
      </c>
      <c r="Z4" s="14" t="inlineStr">
        <is>
          <t>Day 20</t>
        </is>
      </c>
      <c r="AA4" s="28" t="inlineStr">
        <is>
          <t>Day 21</t>
        </is>
      </c>
      <c r="AB4" s="30" t="inlineStr">
        <is>
          <t>Last Close</t>
        </is>
      </c>
      <c r="AC4" s="30" t="inlineStr">
        <is>
          <t>Return %</t>
        </is>
      </c>
      <c r="AD4" s="30" t="inlineStr">
        <is>
          <t>P&amp;L ₹</t>
        </is>
      </c>
      <c r="AE4" s="30" t="inlineStr">
        <is>
          <t>Day Chg %</t>
        </is>
      </c>
      <c r="AF4" s="30" t="inlineStr">
        <is>
          <t>Trend</t>
        </is>
      </c>
    </row>
    <row r="5">
      <c r="A5" s="31" t="n"/>
      <c r="B5" s="31" t="n"/>
      <c r="C5" s="31" t="n"/>
      <c r="D5" s="31" t="n"/>
      <c r="E5" s="31" t="n"/>
      <c r="F5" s="32" t="inlineStr">
        <is>
          <t>29-Oct</t>
        </is>
      </c>
      <c r="G5" s="32" t="inlineStr">
        <is>
          <t>30-Oct</t>
        </is>
      </c>
      <c r="H5" s="33" t="inlineStr">
        <is>
          <t>02-Nov (p)</t>
        </is>
      </c>
      <c r="I5" s="33" t="inlineStr">
        <is>
          <t>03-Nov (p)</t>
        </is>
      </c>
      <c r="J5" s="33" t="inlineStr">
        <is>
          <t>04-Nov (p)</t>
        </is>
      </c>
      <c r="K5" s="33" t="inlineStr">
        <is>
          <t>05-Nov (p)</t>
        </is>
      </c>
      <c r="L5" s="33" t="inlineStr">
        <is>
          <t>06-Nov (p)</t>
        </is>
      </c>
      <c r="M5" s="33" t="inlineStr">
        <is>
          <t>09-Nov (p)</t>
        </is>
      </c>
      <c r="N5" s="33" t="inlineStr">
        <is>
          <t>11-Nov (p)</t>
        </is>
      </c>
      <c r="O5" s="33" t="inlineStr">
        <is>
          <t>12-Nov (p)</t>
        </is>
      </c>
      <c r="P5" s="33" t="inlineStr">
        <is>
          <t>13-Nov (p)</t>
        </is>
      </c>
      <c r="Q5" s="33" t="inlineStr">
        <is>
          <t>16-Nov (p)</t>
        </is>
      </c>
      <c r="R5" s="33" t="inlineStr">
        <is>
          <t>17-Nov (p)</t>
        </is>
      </c>
      <c r="S5" s="33" t="inlineStr">
        <is>
          <t>18-Nov (p)</t>
        </is>
      </c>
      <c r="T5" s="33" t="inlineStr">
        <is>
          <t>19-Nov (p)</t>
        </is>
      </c>
      <c r="U5" s="33" t="inlineStr">
        <is>
          <t>20-Nov (p)</t>
        </is>
      </c>
      <c r="V5" s="33" t="inlineStr">
        <is>
          <t>23-Nov (p)</t>
        </is>
      </c>
      <c r="W5" s="33" t="inlineStr">
        <is>
          <t>25-Nov (p)</t>
        </is>
      </c>
      <c r="X5" s="33" t="inlineStr">
        <is>
          <t>26-Nov (p)</t>
        </is>
      </c>
      <c r="Y5" s="33" t="inlineStr">
        <is>
          <t>27-Nov (p)</t>
        </is>
      </c>
      <c r="Z5" s="33" t="inlineStr">
        <is>
          <t>30-Nov (p)</t>
        </is>
      </c>
      <c r="AA5" s="33" t="inlineStr">
        <is>
          <t>01-Dec (p)</t>
        </is>
      </c>
      <c r="AB5" s="31" t="n"/>
      <c r="AC5" s="31" t="n"/>
      <c r="AD5" s="31" t="n"/>
      <c r="AE5" s="31" t="n"/>
      <c r="AF5" s="31" t="n"/>
    </row>
    <row r="6">
      <c r="A6" s="34" t="n">
        <v>1</v>
      </c>
      <c r="B6" s="15" t="inlineStr">
        <is>
          <t>AEROFLEX</t>
        </is>
      </c>
      <c r="C6" s="35" t="inlineStr">
        <is>
          <t>INE024001021</t>
        </is>
      </c>
      <c r="D6" s="16" t="n">
        <v>29</v>
      </c>
      <c r="E6" s="36" t="n">
        <v>538.35</v>
      </c>
      <c r="F6" s="17" t="n">
        <v>538.35</v>
      </c>
      <c r="G6" s="37" t="n">
        <v>536.4</v>
      </c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6">
        <f>LOOKUP(2,1/(F6:AA6&lt;&gt;""),F6:AA6)</f>
        <v/>
      </c>
      <c r="AC6" s="39">
        <f>AB6/E6-1</f>
        <v/>
      </c>
      <c r="AD6" s="40">
        <f>D6*(AB6-E6)</f>
        <v/>
      </c>
      <c r="AE6" s="18">
        <f>IFERROR(G6/F6-1,0)</f>
        <v/>
      </c>
      <c r="AF6" s="34">
        <f>IF(AC6&gt;0,"▲ Up",IF(AC6&lt;0,"▼ Down","■ Flat"))</f>
        <v/>
      </c>
    </row>
    <row r="7">
      <c r="A7" s="41" t="n">
        <v>2</v>
      </c>
      <c r="B7" s="21" t="inlineStr">
        <is>
          <t>CPPLUS</t>
        </is>
      </c>
      <c r="C7" s="42" t="inlineStr">
        <is>
          <t>INE819V01029</t>
        </is>
      </c>
      <c r="D7" s="22" t="n">
        <v>3</v>
      </c>
      <c r="E7" s="43" t="n">
        <v>3932.1</v>
      </c>
      <c r="F7" s="23" t="n">
        <v>3951.7</v>
      </c>
      <c r="G7" s="37" t="n">
        <v>3811.5</v>
      </c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6">
        <f>LOOKUP(2,1/(F7:AA7&lt;&gt;""),F7:AA7)</f>
        <v/>
      </c>
      <c r="AC7" s="39">
        <f>AB7/E7-1</f>
        <v/>
      </c>
      <c r="AD7" s="40">
        <f>D7*(AB7-E7)</f>
        <v/>
      </c>
      <c r="AE7" s="18">
        <f>IFERROR(G7/F7-1,0)</f>
        <v/>
      </c>
      <c r="AF7" s="34">
        <f>IF(AC7&gt;0,"▲ Up",IF(AC7&lt;0,"▼ Down","■ Flat"))</f>
        <v/>
      </c>
    </row>
    <row r="8">
      <c r="A8" s="34" t="n">
        <v>3</v>
      </c>
      <c r="B8" s="15" t="inlineStr">
        <is>
          <t>THANGAMAYL</t>
        </is>
      </c>
      <c r="C8" s="35" t="inlineStr">
        <is>
          <t>INE085J01014</t>
        </is>
      </c>
      <c r="D8" s="16" t="n">
        <v>2</v>
      </c>
      <c r="E8" s="36" t="n">
        <v>4630.5</v>
      </c>
      <c r="F8" s="17" t="n">
        <v>4630.5</v>
      </c>
      <c r="G8" s="37" t="n">
        <v>4455</v>
      </c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6">
        <f>LOOKUP(2,1/(F8:AA8&lt;&gt;""),F8:AA8)</f>
        <v/>
      </c>
      <c r="AC8" s="39">
        <f>AB8/E8-1</f>
        <v/>
      </c>
      <c r="AD8" s="40">
        <f>D8*(AB8-E8)</f>
        <v/>
      </c>
      <c r="AE8" s="18">
        <f>IFERROR(G8/F8-1,0)</f>
        <v/>
      </c>
      <c r="AF8" s="34">
        <f>IF(AC8&gt;0,"▲ Up",IF(AC8&lt;0,"▼ Down","■ Flat"))</f>
        <v/>
      </c>
    </row>
    <row r="9">
      <c r="A9" s="41" t="n">
        <v>4</v>
      </c>
      <c r="B9" s="21" t="inlineStr">
        <is>
          <t>KIRLOSENG</t>
        </is>
      </c>
      <c r="C9" s="42" t="inlineStr">
        <is>
          <t>INE146L01010</t>
        </is>
      </c>
      <c r="D9" s="22" t="n">
        <v>7</v>
      </c>
      <c r="E9" s="43" t="n">
        <v>1890.3</v>
      </c>
      <c r="F9" s="23" t="n">
        <v>1890.3</v>
      </c>
      <c r="G9" s="37" t="n">
        <v>1796.1</v>
      </c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6">
        <f>LOOKUP(2,1/(F9:AA9&lt;&gt;""),F9:AA9)</f>
        <v/>
      </c>
      <c r="AC9" s="39">
        <f>AB9/E9-1</f>
        <v/>
      </c>
      <c r="AD9" s="40">
        <f>D9*(AB9-E9)</f>
        <v/>
      </c>
      <c r="AE9" s="18">
        <f>IFERROR(G9/F9-1,0)</f>
        <v/>
      </c>
      <c r="AF9" s="34">
        <f>IF(AC9&gt;0,"▲ Up",IF(AC9&lt;0,"▼ Down","■ Flat"))</f>
        <v/>
      </c>
    </row>
    <row r="10">
      <c r="A10" s="34" t="n">
        <v>5</v>
      </c>
      <c r="B10" s="15" t="inlineStr">
        <is>
          <t>SMLMAH</t>
        </is>
      </c>
      <c r="C10" s="35" t="inlineStr">
        <is>
          <t>INE294B01019</t>
        </is>
      </c>
      <c r="D10" s="16" t="n">
        <v>3</v>
      </c>
      <c r="E10" s="36" t="n">
        <v>4918</v>
      </c>
      <c r="F10" s="17" t="n">
        <v>4848</v>
      </c>
      <c r="G10" s="37" t="n">
        <v>4724.5</v>
      </c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6">
        <f>LOOKUP(2,1/(F10:AA10&lt;&gt;""),F10:AA10)</f>
        <v/>
      </c>
      <c r="AC10" s="39">
        <f>AB10/E10-1</f>
        <v/>
      </c>
      <c r="AD10" s="40">
        <f>D10*(AB10-E10)</f>
        <v/>
      </c>
      <c r="AE10" s="18">
        <f>IFERROR(G10/F10-1,0)</f>
        <v/>
      </c>
      <c r="AF10" s="34">
        <f>IF(AC10&gt;0,"▲ Up",IF(AC10&lt;0,"▼ Down","■ Flat"))</f>
        <v/>
      </c>
    </row>
    <row r="11">
      <c r="A11" s="41" t="n">
        <v>6</v>
      </c>
      <c r="B11" s="21" t="inlineStr">
        <is>
          <t>AETHER</t>
        </is>
      </c>
      <c r="C11" s="42" t="inlineStr">
        <is>
          <t>INE0BWX01014</t>
        </is>
      </c>
      <c r="D11" s="22" t="n">
        <v>9</v>
      </c>
      <c r="E11" s="43" t="n">
        <v>1597.4</v>
      </c>
      <c r="F11" s="23" t="n">
        <v>1581</v>
      </c>
      <c r="G11" s="37" t="n">
        <v>1616.2</v>
      </c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6">
        <f>LOOKUP(2,1/(F11:AA11&lt;&gt;""),F11:AA11)</f>
        <v/>
      </c>
      <c r="AC11" s="39">
        <f>AB11/E11-1</f>
        <v/>
      </c>
      <c r="AD11" s="40">
        <f>D11*(AB11-E11)</f>
        <v/>
      </c>
      <c r="AE11" s="18">
        <f>IFERROR(G11/F11-1,0)</f>
        <v/>
      </c>
      <c r="AF11" s="34">
        <f>IF(AC11&gt;0,"▲ Up",IF(AC11&lt;0,"▼ Down","■ Flat"))</f>
        <v/>
      </c>
    </row>
    <row r="12">
      <c r="A12" s="34" t="n">
        <v>7</v>
      </c>
      <c r="B12" s="15" t="inlineStr">
        <is>
          <t>SBC</t>
        </is>
      </c>
      <c r="C12" s="35" t="inlineStr">
        <is>
          <t>INE04AK01028</t>
        </is>
      </c>
      <c r="D12" s="16" t="n">
        <v>225</v>
      </c>
      <c r="E12" s="36" t="n">
        <v>67.05</v>
      </c>
      <c r="F12" s="17" t="n">
        <v>66.52</v>
      </c>
      <c r="G12" s="37" t="n">
        <v>66.15000000000001</v>
      </c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6">
        <f>LOOKUP(2,1/(F12:AA12&lt;&gt;""),F12:AA12)</f>
        <v/>
      </c>
      <c r="AC12" s="39">
        <f>AB12/E12-1</f>
        <v/>
      </c>
      <c r="AD12" s="40">
        <f>D12*(AB12-E12)</f>
        <v/>
      </c>
      <c r="AE12" s="18">
        <f>IFERROR(G12/F12-1,0)</f>
        <v/>
      </c>
      <c r="AF12" s="34">
        <f>IF(AC12&gt;0,"▲ Up",IF(AC12&lt;0,"▼ Down","■ Flat"))</f>
        <v/>
      </c>
    </row>
    <row r="13">
      <c r="A13" s="41" t="n">
        <v>8</v>
      </c>
      <c r="B13" s="21" t="inlineStr">
        <is>
          <t>SYRMA</t>
        </is>
      </c>
      <c r="C13" s="42" t="inlineStr">
        <is>
          <t>INE0DYJ01015</t>
        </is>
      </c>
      <c r="D13" s="22" t="n">
        <v>8</v>
      </c>
      <c r="E13" s="43" t="n">
        <v>1675</v>
      </c>
      <c r="F13" s="23" t="n">
        <v>1669</v>
      </c>
      <c r="G13" s="37" t="n">
        <v>1625.3</v>
      </c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6">
        <f>LOOKUP(2,1/(F13:AA13&lt;&gt;""),F13:AA13)</f>
        <v/>
      </c>
      <c r="AC13" s="39">
        <f>AB13/E13-1</f>
        <v/>
      </c>
      <c r="AD13" s="40">
        <f>D13*(AB13-E13)</f>
        <v/>
      </c>
      <c r="AE13" s="18">
        <f>IFERROR(G13/F13-1,0)</f>
        <v/>
      </c>
      <c r="AF13" s="34">
        <f>IF(AC13&gt;0,"▲ Up",IF(AC13&lt;0,"▼ Down","■ Flat"))</f>
        <v/>
      </c>
    </row>
    <row r="14">
      <c r="A14" s="34" t="n">
        <v>9</v>
      </c>
      <c r="B14" s="15" t="inlineStr">
        <is>
          <t>TDPOWERSYS</t>
        </is>
      </c>
      <c r="C14" s="35" t="inlineStr">
        <is>
          <t>INE419M01035</t>
        </is>
      </c>
      <c r="D14" s="16" t="n">
        <v>20</v>
      </c>
      <c r="E14" s="36" t="n">
        <v>719.45</v>
      </c>
      <c r="F14" s="17" t="n">
        <v>719.45</v>
      </c>
      <c r="G14" s="37" t="n">
        <v>713.9</v>
      </c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6">
        <f>LOOKUP(2,1/(F14:AA14&lt;&gt;""),F14:AA14)</f>
        <v/>
      </c>
      <c r="AC14" s="39">
        <f>AB14/E14-1</f>
        <v/>
      </c>
      <c r="AD14" s="40">
        <f>D14*(AB14-E14)</f>
        <v/>
      </c>
      <c r="AE14" s="18">
        <f>IFERROR(G14/F14-1,0)</f>
        <v/>
      </c>
      <c r="AF14" s="34">
        <f>IF(AC14&gt;0,"▲ Up",IF(AC14&lt;0,"▼ Down","■ Flat"))</f>
        <v/>
      </c>
    </row>
    <row r="15">
      <c r="A15" s="41" t="n">
        <v>10</v>
      </c>
      <c r="B15" s="21" t="inlineStr">
        <is>
          <t>RATNAVEER</t>
        </is>
      </c>
      <c r="C15" s="42" t="inlineStr">
        <is>
          <t>INE05CZ01011</t>
        </is>
      </c>
      <c r="D15" s="22" t="n">
        <v>42</v>
      </c>
      <c r="E15" s="43" t="n">
        <v>354.2</v>
      </c>
      <c r="F15" s="23" t="n">
        <v>352.85</v>
      </c>
      <c r="G15" s="37" t="n">
        <v>360.25</v>
      </c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6">
        <f>LOOKUP(2,1/(F15:AA15&lt;&gt;""),F15:AA15)</f>
        <v/>
      </c>
      <c r="AC15" s="39">
        <f>AB15/E15-1</f>
        <v/>
      </c>
      <c r="AD15" s="40">
        <f>D15*(AB15-E15)</f>
        <v/>
      </c>
      <c r="AE15" s="18">
        <f>IFERROR(G15/F15-1,0)</f>
        <v/>
      </c>
      <c r="AF15" s="34">
        <f>IF(AC15&gt;0,"▲ Up",IF(AC15&lt;0,"▼ Down","■ Flat"))</f>
        <v/>
      </c>
    </row>
    <row r="16">
      <c r="A16" s="44" t="inlineStr"/>
      <c r="B16" s="45" t="inlineStr">
        <is>
          <t>PORTFOLIO</t>
        </is>
      </c>
      <c r="C16" s="44" t="inlineStr"/>
      <c r="D16" s="46">
        <f>SUM(D6:D15)</f>
        <v/>
      </c>
      <c r="E16" s="47">
        <f>SUMPRODUCT(D6:D15,E6:E15)</f>
        <v/>
      </c>
      <c r="F16" s="47">
        <f>IF(COUNT(F6:F15)=0,"",SUMPRODUCT($D$6:$D$15,F6:F15))</f>
        <v/>
      </c>
      <c r="G16" s="47">
        <f>IF(COUNT(G6:G15)=0,"",SUMPRODUCT($D$6:$D$15,G6:G15))</f>
        <v/>
      </c>
      <c r="H16" s="47">
        <f>IF(COUNT(H6:H15)=0,"",SUMPRODUCT($D$6:$D$15,H6:H15))</f>
        <v/>
      </c>
      <c r="I16" s="47">
        <f>IF(COUNT(I6:I15)=0,"",SUMPRODUCT($D$6:$D$15,I6:I15))</f>
        <v/>
      </c>
      <c r="J16" s="47">
        <f>IF(COUNT(J6:J15)=0,"",SUMPRODUCT($D$6:$D$15,J6:J15))</f>
        <v/>
      </c>
      <c r="K16" s="47">
        <f>IF(COUNT(K6:K15)=0,"",SUMPRODUCT($D$6:$D$15,K6:K15))</f>
        <v/>
      </c>
      <c r="L16" s="47">
        <f>IF(COUNT(L6:L15)=0,"",SUMPRODUCT($D$6:$D$15,L6:L15))</f>
        <v/>
      </c>
      <c r="M16" s="47">
        <f>IF(COUNT(M6:M15)=0,"",SUMPRODUCT($D$6:$D$15,M6:M15))</f>
        <v/>
      </c>
      <c r="N16" s="47">
        <f>IF(COUNT(N6:N15)=0,"",SUMPRODUCT($D$6:$D$15,N6:N15))</f>
        <v/>
      </c>
      <c r="O16" s="47">
        <f>IF(COUNT(O6:O15)=0,"",SUMPRODUCT($D$6:$D$15,O6:O15))</f>
        <v/>
      </c>
      <c r="P16" s="47">
        <f>IF(COUNT(P6:P15)=0,"",SUMPRODUCT($D$6:$D$15,P6:P15))</f>
        <v/>
      </c>
      <c r="Q16" s="47">
        <f>IF(COUNT(Q6:Q15)=0,"",SUMPRODUCT($D$6:$D$15,Q6:Q15))</f>
        <v/>
      </c>
      <c r="R16" s="47">
        <f>IF(COUNT(R6:R15)=0,"",SUMPRODUCT($D$6:$D$15,R6:R15))</f>
        <v/>
      </c>
      <c r="S16" s="47">
        <f>IF(COUNT(S6:S15)=0,"",SUMPRODUCT($D$6:$D$15,S6:S15))</f>
        <v/>
      </c>
      <c r="T16" s="47">
        <f>IF(COUNT(T6:T15)=0,"",SUMPRODUCT($D$6:$D$15,T6:T15))</f>
        <v/>
      </c>
      <c r="U16" s="47">
        <f>IF(COUNT(U6:U15)=0,"",SUMPRODUCT($D$6:$D$15,U6:U15))</f>
        <v/>
      </c>
      <c r="V16" s="47">
        <f>IF(COUNT(V6:V15)=0,"",SUMPRODUCT($D$6:$D$15,V6:V15))</f>
        <v/>
      </c>
      <c r="W16" s="47">
        <f>IF(COUNT(W6:W15)=0,"",SUMPRODUCT($D$6:$D$15,W6:W15))</f>
        <v/>
      </c>
      <c r="X16" s="47">
        <f>IF(COUNT(X6:X15)=0,"",SUMPRODUCT($D$6:$D$15,X6:X15))</f>
        <v/>
      </c>
      <c r="Y16" s="47">
        <f>IF(COUNT(Y6:Y15)=0,"",SUMPRODUCT($D$6:$D$15,Y6:Y15))</f>
        <v/>
      </c>
      <c r="Z16" s="47">
        <f>IF(COUNT(Z6:Z15)=0,"",SUMPRODUCT($D$6:$D$15,Z6:Z15))</f>
        <v/>
      </c>
      <c r="AA16" s="47">
        <f>IF(COUNT(AA6:AA15)=0,"",SUMPRODUCT($D$6:$D$15,AA6:AA15))</f>
        <v/>
      </c>
      <c r="AB16" s="47">
        <f>SUMPRODUCT(D6:D15,AB6:AB15)</f>
        <v/>
      </c>
      <c r="AC16" s="48">
        <f>AB16/E16-1</f>
        <v/>
      </c>
      <c r="AD16" s="47">
        <f>SUM(AD6:AD15)</f>
        <v/>
      </c>
      <c r="AE16" s="44" t="inlineStr"/>
      <c r="AF16" s="44" t="inlineStr"/>
    </row>
  </sheetData>
  <mergeCells count="12">
    <mergeCell ref="B4:B5"/>
    <mergeCell ref="A1:AF1"/>
    <mergeCell ref="A4:A5"/>
    <mergeCell ref="C4:C5"/>
    <mergeCell ref="D4:D5"/>
    <mergeCell ref="E4:E5"/>
    <mergeCell ref="AB4:AB5"/>
    <mergeCell ref="AE4:AE5"/>
    <mergeCell ref="AC4:AC5"/>
    <mergeCell ref="AF4:AF5"/>
    <mergeCell ref="AD4:AD5"/>
    <mergeCell ref="A2:AF2"/>
  </mergeCells>
  <conditionalFormatting sqref="AC6:AC16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AE6:AE16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AD6:AD15">
    <cfRule type="dataBar" priority="5">
      <dataBar showValue="1">
        <cfvo type="min"/>
        <cfvo type="max"/>
        <color rgb="005B8DEF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9D63"/>
    <outlinePr summaryBelow="1" summaryRight="1"/>
    <pageSetUpPr fitToPage="1"/>
  </sheetPr>
  <dimension ref="A1:AA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</cols>
  <sheetData>
    <row r="1" ht="30" customHeight="1">
      <c r="A1" s="1" t="inlineStr">
        <is>
          <t>Cumulative Return vs Entry (%)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Each cell = close ÷ entry − 1. Colour scale: red → white → green.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7" t="inlineStr">
        <is>
          <t>Formulas link to 'Daily Closes' — edit a close there and this sheet updates.</t>
        </is>
      </c>
    </row>
    <row r="4">
      <c r="A4" s="14" t="inlineStr">
        <is>
          <t>#</t>
        </is>
      </c>
      <c r="B4" s="14" t="inlineStr">
        <is>
          <t>Symbol</t>
        </is>
      </c>
      <c r="C4" s="14" t="inlineStr">
        <is>
          <t>ISIN</t>
        </is>
      </c>
      <c r="D4" s="14" t="inlineStr">
        <is>
          <t>Qty</t>
        </is>
      </c>
      <c r="E4" s="14" t="inlineStr">
        <is>
          <t>Entry ₹</t>
        </is>
      </c>
      <c r="F4" s="14" t="inlineStr">
        <is>
          <t>Day 0</t>
        </is>
      </c>
      <c r="G4" s="29" t="inlineStr">
        <is>
          <t>Day 1</t>
        </is>
      </c>
      <c r="H4" s="14" t="inlineStr">
        <is>
          <t>Day 2</t>
        </is>
      </c>
      <c r="I4" s="14" t="inlineStr">
        <is>
          <t>Day 3</t>
        </is>
      </c>
      <c r="J4" s="14" t="inlineStr">
        <is>
          <t>Day 4</t>
        </is>
      </c>
      <c r="K4" s="14" t="inlineStr">
        <is>
          <t>Day 5</t>
        </is>
      </c>
      <c r="L4" s="14" t="inlineStr">
        <is>
          <t>Day 6</t>
        </is>
      </c>
      <c r="M4" s="14" t="inlineStr">
        <is>
          <t>Day 7</t>
        </is>
      </c>
      <c r="N4" s="14" t="inlineStr">
        <is>
          <t>Day 8</t>
        </is>
      </c>
      <c r="O4" s="14" t="inlineStr">
        <is>
          <t>Day 9</t>
        </is>
      </c>
      <c r="P4" s="14" t="inlineStr">
        <is>
          <t>Day 10</t>
        </is>
      </c>
      <c r="Q4" s="14" t="inlineStr">
        <is>
          <t>Day 11</t>
        </is>
      </c>
      <c r="R4" s="14" t="inlineStr">
        <is>
          <t>Day 12</t>
        </is>
      </c>
      <c r="S4" s="14" t="inlineStr">
        <is>
          <t>Day 13</t>
        </is>
      </c>
      <c r="T4" s="14" t="inlineStr">
        <is>
          <t>Day 14</t>
        </is>
      </c>
      <c r="U4" s="14" t="inlineStr">
        <is>
          <t>Day 15</t>
        </is>
      </c>
      <c r="V4" s="14" t="inlineStr">
        <is>
          <t>Day 16</t>
        </is>
      </c>
      <c r="W4" s="14" t="inlineStr">
        <is>
          <t>Day 17</t>
        </is>
      </c>
      <c r="X4" s="14" t="inlineStr">
        <is>
          <t>Day 18</t>
        </is>
      </c>
      <c r="Y4" s="14" t="inlineStr">
        <is>
          <t>Day 19</t>
        </is>
      </c>
      <c r="Z4" s="14" t="inlineStr">
        <is>
          <t>Day 20</t>
        </is>
      </c>
      <c r="AA4" s="14" t="inlineStr">
        <is>
          <t>Day 21</t>
        </is>
      </c>
    </row>
    <row r="5">
      <c r="F5" s="49">
        <f>'Daily Closes'!F5</f>
        <v/>
      </c>
      <c r="G5" s="49">
        <f>'Daily Closes'!G5</f>
        <v/>
      </c>
      <c r="H5" s="49">
        <f>'Daily Closes'!H5</f>
        <v/>
      </c>
      <c r="I5" s="49">
        <f>'Daily Closes'!I5</f>
        <v/>
      </c>
      <c r="J5" s="49">
        <f>'Daily Closes'!J5</f>
        <v/>
      </c>
      <c r="K5" s="49">
        <f>'Daily Closes'!K5</f>
        <v/>
      </c>
      <c r="L5" s="49">
        <f>'Daily Closes'!L5</f>
        <v/>
      </c>
      <c r="M5" s="49">
        <f>'Daily Closes'!M5</f>
        <v/>
      </c>
      <c r="N5" s="49">
        <f>'Daily Closes'!N5</f>
        <v/>
      </c>
      <c r="O5" s="49">
        <f>'Daily Closes'!O5</f>
        <v/>
      </c>
      <c r="P5" s="49">
        <f>'Daily Closes'!P5</f>
        <v/>
      </c>
      <c r="Q5" s="49">
        <f>'Daily Closes'!Q5</f>
        <v/>
      </c>
      <c r="R5" s="49">
        <f>'Daily Closes'!R5</f>
        <v/>
      </c>
      <c r="S5" s="49">
        <f>'Daily Closes'!S5</f>
        <v/>
      </c>
      <c r="T5" s="49">
        <f>'Daily Closes'!T5</f>
        <v/>
      </c>
      <c r="U5" s="49">
        <f>'Daily Closes'!U5</f>
        <v/>
      </c>
      <c r="V5" s="49">
        <f>'Daily Closes'!V5</f>
        <v/>
      </c>
      <c r="W5" s="49">
        <f>'Daily Closes'!W5</f>
        <v/>
      </c>
      <c r="X5" s="49">
        <f>'Daily Closes'!X5</f>
        <v/>
      </c>
      <c r="Y5" s="49">
        <f>'Daily Closes'!Y5</f>
        <v/>
      </c>
      <c r="Z5" s="49">
        <f>'Daily Closes'!Z5</f>
        <v/>
      </c>
      <c r="AA5" s="49">
        <f>'Daily Closes'!AA5</f>
        <v/>
      </c>
    </row>
    <row r="6">
      <c r="A6" s="50">
        <f>'Daily Closes'!A6</f>
        <v/>
      </c>
      <c r="B6" s="15">
        <f>'Daily Closes'!B6</f>
        <v/>
      </c>
      <c r="C6" s="51">
        <f>'Daily Closes'!C6</f>
        <v/>
      </c>
      <c r="D6" s="50">
        <f>'Daily Closes'!D6</f>
        <v/>
      </c>
      <c r="E6" s="17">
        <f>'Daily Closes'!E6</f>
        <v/>
      </c>
      <c r="F6" s="34" t="inlineStr">
        <is>
          <t>—</t>
        </is>
      </c>
      <c r="G6" s="18">
        <f>IF('Daily Closes'!G6="","",'Daily Closes'!G6/$E6-1)</f>
        <v/>
      </c>
      <c r="H6" s="18">
        <f>IF('Daily Closes'!H6="","",'Daily Closes'!H6/$E6-1)</f>
        <v/>
      </c>
      <c r="I6" s="18">
        <f>IF('Daily Closes'!I6="","",'Daily Closes'!I6/$E6-1)</f>
        <v/>
      </c>
      <c r="J6" s="18">
        <f>IF('Daily Closes'!J6="","",'Daily Closes'!J6/$E6-1)</f>
        <v/>
      </c>
      <c r="K6" s="18">
        <f>IF('Daily Closes'!K6="","",'Daily Closes'!K6/$E6-1)</f>
        <v/>
      </c>
      <c r="L6" s="18">
        <f>IF('Daily Closes'!L6="","",'Daily Closes'!L6/$E6-1)</f>
        <v/>
      </c>
      <c r="M6" s="18">
        <f>IF('Daily Closes'!M6="","",'Daily Closes'!M6/$E6-1)</f>
        <v/>
      </c>
      <c r="N6" s="18">
        <f>IF('Daily Closes'!N6="","",'Daily Closes'!N6/$E6-1)</f>
        <v/>
      </c>
      <c r="O6" s="18">
        <f>IF('Daily Closes'!O6="","",'Daily Closes'!O6/$E6-1)</f>
        <v/>
      </c>
      <c r="P6" s="18">
        <f>IF('Daily Closes'!P6="","",'Daily Closes'!P6/$E6-1)</f>
        <v/>
      </c>
      <c r="Q6" s="18">
        <f>IF('Daily Closes'!Q6="","",'Daily Closes'!Q6/$E6-1)</f>
        <v/>
      </c>
      <c r="R6" s="18">
        <f>IF('Daily Closes'!R6="","",'Daily Closes'!R6/$E6-1)</f>
        <v/>
      </c>
      <c r="S6" s="18">
        <f>IF('Daily Closes'!S6="","",'Daily Closes'!S6/$E6-1)</f>
        <v/>
      </c>
      <c r="T6" s="18">
        <f>IF('Daily Closes'!T6="","",'Daily Closes'!T6/$E6-1)</f>
        <v/>
      </c>
      <c r="U6" s="18">
        <f>IF('Daily Closes'!U6="","",'Daily Closes'!U6/$E6-1)</f>
        <v/>
      </c>
      <c r="V6" s="18">
        <f>IF('Daily Closes'!V6="","",'Daily Closes'!V6/$E6-1)</f>
        <v/>
      </c>
      <c r="W6" s="18">
        <f>IF('Daily Closes'!W6="","",'Daily Closes'!W6/$E6-1)</f>
        <v/>
      </c>
      <c r="X6" s="18">
        <f>IF('Daily Closes'!X6="","",'Daily Closes'!X6/$E6-1)</f>
        <v/>
      </c>
      <c r="Y6" s="18">
        <f>IF('Daily Closes'!Y6="","",'Daily Closes'!Y6/$E6-1)</f>
        <v/>
      </c>
      <c r="Z6" s="18">
        <f>IF('Daily Closes'!Z6="","",'Daily Closes'!Z6/$E6-1)</f>
        <v/>
      </c>
      <c r="AA6" s="18">
        <f>IF('Daily Closes'!AA6="","",'Daily Closes'!AA6/$E6-1)</f>
        <v/>
      </c>
    </row>
    <row r="7">
      <c r="A7" s="50">
        <f>'Daily Closes'!A7</f>
        <v/>
      </c>
      <c r="B7" s="15">
        <f>'Daily Closes'!B7</f>
        <v/>
      </c>
      <c r="C7" s="51">
        <f>'Daily Closes'!C7</f>
        <v/>
      </c>
      <c r="D7" s="50">
        <f>'Daily Closes'!D7</f>
        <v/>
      </c>
      <c r="E7" s="17">
        <f>'Daily Closes'!E7</f>
        <v/>
      </c>
      <c r="F7" s="34" t="inlineStr">
        <is>
          <t>—</t>
        </is>
      </c>
      <c r="G7" s="18">
        <f>IF('Daily Closes'!G7="","",'Daily Closes'!G7/$E7-1)</f>
        <v/>
      </c>
      <c r="H7" s="18">
        <f>IF('Daily Closes'!H7="","",'Daily Closes'!H7/$E7-1)</f>
        <v/>
      </c>
      <c r="I7" s="18">
        <f>IF('Daily Closes'!I7="","",'Daily Closes'!I7/$E7-1)</f>
        <v/>
      </c>
      <c r="J7" s="18">
        <f>IF('Daily Closes'!J7="","",'Daily Closes'!J7/$E7-1)</f>
        <v/>
      </c>
      <c r="K7" s="18">
        <f>IF('Daily Closes'!K7="","",'Daily Closes'!K7/$E7-1)</f>
        <v/>
      </c>
      <c r="L7" s="18">
        <f>IF('Daily Closes'!L7="","",'Daily Closes'!L7/$E7-1)</f>
        <v/>
      </c>
      <c r="M7" s="18">
        <f>IF('Daily Closes'!M7="","",'Daily Closes'!M7/$E7-1)</f>
        <v/>
      </c>
      <c r="N7" s="18">
        <f>IF('Daily Closes'!N7="","",'Daily Closes'!N7/$E7-1)</f>
        <v/>
      </c>
      <c r="O7" s="18">
        <f>IF('Daily Closes'!O7="","",'Daily Closes'!O7/$E7-1)</f>
        <v/>
      </c>
      <c r="P7" s="18">
        <f>IF('Daily Closes'!P7="","",'Daily Closes'!P7/$E7-1)</f>
        <v/>
      </c>
      <c r="Q7" s="18">
        <f>IF('Daily Closes'!Q7="","",'Daily Closes'!Q7/$E7-1)</f>
        <v/>
      </c>
      <c r="R7" s="18">
        <f>IF('Daily Closes'!R7="","",'Daily Closes'!R7/$E7-1)</f>
        <v/>
      </c>
      <c r="S7" s="18">
        <f>IF('Daily Closes'!S7="","",'Daily Closes'!S7/$E7-1)</f>
        <v/>
      </c>
      <c r="T7" s="18">
        <f>IF('Daily Closes'!T7="","",'Daily Closes'!T7/$E7-1)</f>
        <v/>
      </c>
      <c r="U7" s="18">
        <f>IF('Daily Closes'!U7="","",'Daily Closes'!U7/$E7-1)</f>
        <v/>
      </c>
      <c r="V7" s="18">
        <f>IF('Daily Closes'!V7="","",'Daily Closes'!V7/$E7-1)</f>
        <v/>
      </c>
      <c r="W7" s="18">
        <f>IF('Daily Closes'!W7="","",'Daily Closes'!W7/$E7-1)</f>
        <v/>
      </c>
      <c r="X7" s="18">
        <f>IF('Daily Closes'!X7="","",'Daily Closes'!X7/$E7-1)</f>
        <v/>
      </c>
      <c r="Y7" s="18">
        <f>IF('Daily Closes'!Y7="","",'Daily Closes'!Y7/$E7-1)</f>
        <v/>
      </c>
      <c r="Z7" s="18">
        <f>IF('Daily Closes'!Z7="","",'Daily Closes'!Z7/$E7-1)</f>
        <v/>
      </c>
      <c r="AA7" s="18">
        <f>IF('Daily Closes'!AA7="","",'Daily Closes'!AA7/$E7-1)</f>
        <v/>
      </c>
    </row>
    <row r="8">
      <c r="A8" s="50">
        <f>'Daily Closes'!A8</f>
        <v/>
      </c>
      <c r="B8" s="15">
        <f>'Daily Closes'!B8</f>
        <v/>
      </c>
      <c r="C8" s="51">
        <f>'Daily Closes'!C8</f>
        <v/>
      </c>
      <c r="D8" s="50">
        <f>'Daily Closes'!D8</f>
        <v/>
      </c>
      <c r="E8" s="17">
        <f>'Daily Closes'!E8</f>
        <v/>
      </c>
      <c r="F8" s="34" t="inlineStr">
        <is>
          <t>—</t>
        </is>
      </c>
      <c r="G8" s="18">
        <f>IF('Daily Closes'!G8="","",'Daily Closes'!G8/$E8-1)</f>
        <v/>
      </c>
      <c r="H8" s="18">
        <f>IF('Daily Closes'!H8="","",'Daily Closes'!H8/$E8-1)</f>
        <v/>
      </c>
      <c r="I8" s="18">
        <f>IF('Daily Closes'!I8="","",'Daily Closes'!I8/$E8-1)</f>
        <v/>
      </c>
      <c r="J8" s="18">
        <f>IF('Daily Closes'!J8="","",'Daily Closes'!J8/$E8-1)</f>
        <v/>
      </c>
      <c r="K8" s="18">
        <f>IF('Daily Closes'!K8="","",'Daily Closes'!K8/$E8-1)</f>
        <v/>
      </c>
      <c r="L8" s="18">
        <f>IF('Daily Closes'!L8="","",'Daily Closes'!L8/$E8-1)</f>
        <v/>
      </c>
      <c r="M8" s="18">
        <f>IF('Daily Closes'!M8="","",'Daily Closes'!M8/$E8-1)</f>
        <v/>
      </c>
      <c r="N8" s="18">
        <f>IF('Daily Closes'!N8="","",'Daily Closes'!N8/$E8-1)</f>
        <v/>
      </c>
      <c r="O8" s="18">
        <f>IF('Daily Closes'!O8="","",'Daily Closes'!O8/$E8-1)</f>
        <v/>
      </c>
      <c r="P8" s="18">
        <f>IF('Daily Closes'!P8="","",'Daily Closes'!P8/$E8-1)</f>
        <v/>
      </c>
      <c r="Q8" s="18">
        <f>IF('Daily Closes'!Q8="","",'Daily Closes'!Q8/$E8-1)</f>
        <v/>
      </c>
      <c r="R8" s="18">
        <f>IF('Daily Closes'!R8="","",'Daily Closes'!R8/$E8-1)</f>
        <v/>
      </c>
      <c r="S8" s="18">
        <f>IF('Daily Closes'!S8="","",'Daily Closes'!S8/$E8-1)</f>
        <v/>
      </c>
      <c r="T8" s="18">
        <f>IF('Daily Closes'!T8="","",'Daily Closes'!T8/$E8-1)</f>
        <v/>
      </c>
      <c r="U8" s="18">
        <f>IF('Daily Closes'!U8="","",'Daily Closes'!U8/$E8-1)</f>
        <v/>
      </c>
      <c r="V8" s="18">
        <f>IF('Daily Closes'!V8="","",'Daily Closes'!V8/$E8-1)</f>
        <v/>
      </c>
      <c r="W8" s="18">
        <f>IF('Daily Closes'!W8="","",'Daily Closes'!W8/$E8-1)</f>
        <v/>
      </c>
      <c r="X8" s="18">
        <f>IF('Daily Closes'!X8="","",'Daily Closes'!X8/$E8-1)</f>
        <v/>
      </c>
      <c r="Y8" s="18">
        <f>IF('Daily Closes'!Y8="","",'Daily Closes'!Y8/$E8-1)</f>
        <v/>
      </c>
      <c r="Z8" s="18">
        <f>IF('Daily Closes'!Z8="","",'Daily Closes'!Z8/$E8-1)</f>
        <v/>
      </c>
      <c r="AA8" s="18">
        <f>IF('Daily Closes'!AA8="","",'Daily Closes'!AA8/$E8-1)</f>
        <v/>
      </c>
    </row>
    <row r="9">
      <c r="A9" s="50">
        <f>'Daily Closes'!A9</f>
        <v/>
      </c>
      <c r="B9" s="15">
        <f>'Daily Closes'!B9</f>
        <v/>
      </c>
      <c r="C9" s="51">
        <f>'Daily Closes'!C9</f>
        <v/>
      </c>
      <c r="D9" s="50">
        <f>'Daily Closes'!D9</f>
        <v/>
      </c>
      <c r="E9" s="17">
        <f>'Daily Closes'!E9</f>
        <v/>
      </c>
      <c r="F9" s="34" t="inlineStr">
        <is>
          <t>—</t>
        </is>
      </c>
      <c r="G9" s="18">
        <f>IF('Daily Closes'!G9="","",'Daily Closes'!G9/$E9-1)</f>
        <v/>
      </c>
      <c r="H9" s="18">
        <f>IF('Daily Closes'!H9="","",'Daily Closes'!H9/$E9-1)</f>
        <v/>
      </c>
      <c r="I9" s="18">
        <f>IF('Daily Closes'!I9="","",'Daily Closes'!I9/$E9-1)</f>
        <v/>
      </c>
      <c r="J9" s="18">
        <f>IF('Daily Closes'!J9="","",'Daily Closes'!J9/$E9-1)</f>
        <v/>
      </c>
      <c r="K9" s="18">
        <f>IF('Daily Closes'!K9="","",'Daily Closes'!K9/$E9-1)</f>
        <v/>
      </c>
      <c r="L9" s="18">
        <f>IF('Daily Closes'!L9="","",'Daily Closes'!L9/$E9-1)</f>
        <v/>
      </c>
      <c r="M9" s="18">
        <f>IF('Daily Closes'!M9="","",'Daily Closes'!M9/$E9-1)</f>
        <v/>
      </c>
      <c r="N9" s="18">
        <f>IF('Daily Closes'!N9="","",'Daily Closes'!N9/$E9-1)</f>
        <v/>
      </c>
      <c r="O9" s="18">
        <f>IF('Daily Closes'!O9="","",'Daily Closes'!O9/$E9-1)</f>
        <v/>
      </c>
      <c r="P9" s="18">
        <f>IF('Daily Closes'!P9="","",'Daily Closes'!P9/$E9-1)</f>
        <v/>
      </c>
      <c r="Q9" s="18">
        <f>IF('Daily Closes'!Q9="","",'Daily Closes'!Q9/$E9-1)</f>
        <v/>
      </c>
      <c r="R9" s="18">
        <f>IF('Daily Closes'!R9="","",'Daily Closes'!R9/$E9-1)</f>
        <v/>
      </c>
      <c r="S9" s="18">
        <f>IF('Daily Closes'!S9="","",'Daily Closes'!S9/$E9-1)</f>
        <v/>
      </c>
      <c r="T9" s="18">
        <f>IF('Daily Closes'!T9="","",'Daily Closes'!T9/$E9-1)</f>
        <v/>
      </c>
      <c r="U9" s="18">
        <f>IF('Daily Closes'!U9="","",'Daily Closes'!U9/$E9-1)</f>
        <v/>
      </c>
      <c r="V9" s="18">
        <f>IF('Daily Closes'!V9="","",'Daily Closes'!V9/$E9-1)</f>
        <v/>
      </c>
      <c r="W9" s="18">
        <f>IF('Daily Closes'!W9="","",'Daily Closes'!W9/$E9-1)</f>
        <v/>
      </c>
      <c r="X9" s="18">
        <f>IF('Daily Closes'!X9="","",'Daily Closes'!X9/$E9-1)</f>
        <v/>
      </c>
      <c r="Y9" s="18">
        <f>IF('Daily Closes'!Y9="","",'Daily Closes'!Y9/$E9-1)</f>
        <v/>
      </c>
      <c r="Z9" s="18">
        <f>IF('Daily Closes'!Z9="","",'Daily Closes'!Z9/$E9-1)</f>
        <v/>
      </c>
      <c r="AA9" s="18">
        <f>IF('Daily Closes'!AA9="","",'Daily Closes'!AA9/$E9-1)</f>
        <v/>
      </c>
    </row>
    <row r="10">
      <c r="A10" s="50">
        <f>'Daily Closes'!A10</f>
        <v/>
      </c>
      <c r="B10" s="15">
        <f>'Daily Closes'!B10</f>
        <v/>
      </c>
      <c r="C10" s="51">
        <f>'Daily Closes'!C10</f>
        <v/>
      </c>
      <c r="D10" s="50">
        <f>'Daily Closes'!D10</f>
        <v/>
      </c>
      <c r="E10" s="17">
        <f>'Daily Closes'!E10</f>
        <v/>
      </c>
      <c r="F10" s="34" t="inlineStr">
        <is>
          <t>—</t>
        </is>
      </c>
      <c r="G10" s="18">
        <f>IF('Daily Closes'!G10="","",'Daily Closes'!G10/$E10-1)</f>
        <v/>
      </c>
      <c r="H10" s="18">
        <f>IF('Daily Closes'!H10="","",'Daily Closes'!H10/$E10-1)</f>
        <v/>
      </c>
      <c r="I10" s="18">
        <f>IF('Daily Closes'!I10="","",'Daily Closes'!I10/$E10-1)</f>
        <v/>
      </c>
      <c r="J10" s="18">
        <f>IF('Daily Closes'!J10="","",'Daily Closes'!J10/$E10-1)</f>
        <v/>
      </c>
      <c r="K10" s="18">
        <f>IF('Daily Closes'!K10="","",'Daily Closes'!K10/$E10-1)</f>
        <v/>
      </c>
      <c r="L10" s="18">
        <f>IF('Daily Closes'!L10="","",'Daily Closes'!L10/$E10-1)</f>
        <v/>
      </c>
      <c r="M10" s="18">
        <f>IF('Daily Closes'!M10="","",'Daily Closes'!M10/$E10-1)</f>
        <v/>
      </c>
      <c r="N10" s="18">
        <f>IF('Daily Closes'!N10="","",'Daily Closes'!N10/$E10-1)</f>
        <v/>
      </c>
      <c r="O10" s="18">
        <f>IF('Daily Closes'!O10="","",'Daily Closes'!O10/$E10-1)</f>
        <v/>
      </c>
      <c r="P10" s="18">
        <f>IF('Daily Closes'!P10="","",'Daily Closes'!P10/$E10-1)</f>
        <v/>
      </c>
      <c r="Q10" s="18">
        <f>IF('Daily Closes'!Q10="","",'Daily Closes'!Q10/$E10-1)</f>
        <v/>
      </c>
      <c r="R10" s="18">
        <f>IF('Daily Closes'!R10="","",'Daily Closes'!R10/$E10-1)</f>
        <v/>
      </c>
      <c r="S10" s="18">
        <f>IF('Daily Closes'!S10="","",'Daily Closes'!S10/$E10-1)</f>
        <v/>
      </c>
      <c r="T10" s="18">
        <f>IF('Daily Closes'!T10="","",'Daily Closes'!T10/$E10-1)</f>
        <v/>
      </c>
      <c r="U10" s="18">
        <f>IF('Daily Closes'!U10="","",'Daily Closes'!U10/$E10-1)</f>
        <v/>
      </c>
      <c r="V10" s="18">
        <f>IF('Daily Closes'!V10="","",'Daily Closes'!V10/$E10-1)</f>
        <v/>
      </c>
      <c r="W10" s="18">
        <f>IF('Daily Closes'!W10="","",'Daily Closes'!W10/$E10-1)</f>
        <v/>
      </c>
      <c r="X10" s="18">
        <f>IF('Daily Closes'!X10="","",'Daily Closes'!X10/$E10-1)</f>
        <v/>
      </c>
      <c r="Y10" s="18">
        <f>IF('Daily Closes'!Y10="","",'Daily Closes'!Y10/$E10-1)</f>
        <v/>
      </c>
      <c r="Z10" s="18">
        <f>IF('Daily Closes'!Z10="","",'Daily Closes'!Z10/$E10-1)</f>
        <v/>
      </c>
      <c r="AA10" s="18">
        <f>IF('Daily Closes'!AA10="","",'Daily Closes'!AA10/$E10-1)</f>
        <v/>
      </c>
    </row>
    <row r="11">
      <c r="A11" s="50">
        <f>'Daily Closes'!A11</f>
        <v/>
      </c>
      <c r="B11" s="15">
        <f>'Daily Closes'!B11</f>
        <v/>
      </c>
      <c r="C11" s="51">
        <f>'Daily Closes'!C11</f>
        <v/>
      </c>
      <c r="D11" s="50">
        <f>'Daily Closes'!D11</f>
        <v/>
      </c>
      <c r="E11" s="17">
        <f>'Daily Closes'!E11</f>
        <v/>
      </c>
      <c r="F11" s="34" t="inlineStr">
        <is>
          <t>—</t>
        </is>
      </c>
      <c r="G11" s="18">
        <f>IF('Daily Closes'!G11="","",'Daily Closes'!G11/$E11-1)</f>
        <v/>
      </c>
      <c r="H11" s="18">
        <f>IF('Daily Closes'!H11="","",'Daily Closes'!H11/$E11-1)</f>
        <v/>
      </c>
      <c r="I11" s="18">
        <f>IF('Daily Closes'!I11="","",'Daily Closes'!I11/$E11-1)</f>
        <v/>
      </c>
      <c r="J11" s="18">
        <f>IF('Daily Closes'!J11="","",'Daily Closes'!J11/$E11-1)</f>
        <v/>
      </c>
      <c r="K11" s="18">
        <f>IF('Daily Closes'!K11="","",'Daily Closes'!K11/$E11-1)</f>
        <v/>
      </c>
      <c r="L11" s="18">
        <f>IF('Daily Closes'!L11="","",'Daily Closes'!L11/$E11-1)</f>
        <v/>
      </c>
      <c r="M11" s="18">
        <f>IF('Daily Closes'!M11="","",'Daily Closes'!M11/$E11-1)</f>
        <v/>
      </c>
      <c r="N11" s="18">
        <f>IF('Daily Closes'!N11="","",'Daily Closes'!N11/$E11-1)</f>
        <v/>
      </c>
      <c r="O11" s="18">
        <f>IF('Daily Closes'!O11="","",'Daily Closes'!O11/$E11-1)</f>
        <v/>
      </c>
      <c r="P11" s="18">
        <f>IF('Daily Closes'!P11="","",'Daily Closes'!P11/$E11-1)</f>
        <v/>
      </c>
      <c r="Q11" s="18">
        <f>IF('Daily Closes'!Q11="","",'Daily Closes'!Q11/$E11-1)</f>
        <v/>
      </c>
      <c r="R11" s="18">
        <f>IF('Daily Closes'!R11="","",'Daily Closes'!R11/$E11-1)</f>
        <v/>
      </c>
      <c r="S11" s="18">
        <f>IF('Daily Closes'!S11="","",'Daily Closes'!S11/$E11-1)</f>
        <v/>
      </c>
      <c r="T11" s="18">
        <f>IF('Daily Closes'!T11="","",'Daily Closes'!T11/$E11-1)</f>
        <v/>
      </c>
      <c r="U11" s="18">
        <f>IF('Daily Closes'!U11="","",'Daily Closes'!U11/$E11-1)</f>
        <v/>
      </c>
      <c r="V11" s="18">
        <f>IF('Daily Closes'!V11="","",'Daily Closes'!V11/$E11-1)</f>
        <v/>
      </c>
      <c r="W11" s="18">
        <f>IF('Daily Closes'!W11="","",'Daily Closes'!W11/$E11-1)</f>
        <v/>
      </c>
      <c r="X11" s="18">
        <f>IF('Daily Closes'!X11="","",'Daily Closes'!X11/$E11-1)</f>
        <v/>
      </c>
      <c r="Y11" s="18">
        <f>IF('Daily Closes'!Y11="","",'Daily Closes'!Y11/$E11-1)</f>
        <v/>
      </c>
      <c r="Z11" s="18">
        <f>IF('Daily Closes'!Z11="","",'Daily Closes'!Z11/$E11-1)</f>
        <v/>
      </c>
      <c r="AA11" s="18">
        <f>IF('Daily Closes'!AA11="","",'Daily Closes'!AA11/$E11-1)</f>
        <v/>
      </c>
    </row>
    <row r="12">
      <c r="A12" s="50">
        <f>'Daily Closes'!A12</f>
        <v/>
      </c>
      <c r="B12" s="15">
        <f>'Daily Closes'!B12</f>
        <v/>
      </c>
      <c r="C12" s="51">
        <f>'Daily Closes'!C12</f>
        <v/>
      </c>
      <c r="D12" s="50">
        <f>'Daily Closes'!D12</f>
        <v/>
      </c>
      <c r="E12" s="17">
        <f>'Daily Closes'!E12</f>
        <v/>
      </c>
      <c r="F12" s="34" t="inlineStr">
        <is>
          <t>—</t>
        </is>
      </c>
      <c r="G12" s="18">
        <f>IF('Daily Closes'!G12="","",'Daily Closes'!G12/$E12-1)</f>
        <v/>
      </c>
      <c r="H12" s="18">
        <f>IF('Daily Closes'!H12="","",'Daily Closes'!H12/$E12-1)</f>
        <v/>
      </c>
      <c r="I12" s="18">
        <f>IF('Daily Closes'!I12="","",'Daily Closes'!I12/$E12-1)</f>
        <v/>
      </c>
      <c r="J12" s="18">
        <f>IF('Daily Closes'!J12="","",'Daily Closes'!J12/$E12-1)</f>
        <v/>
      </c>
      <c r="K12" s="18">
        <f>IF('Daily Closes'!K12="","",'Daily Closes'!K12/$E12-1)</f>
        <v/>
      </c>
      <c r="L12" s="18">
        <f>IF('Daily Closes'!L12="","",'Daily Closes'!L12/$E12-1)</f>
        <v/>
      </c>
      <c r="M12" s="18">
        <f>IF('Daily Closes'!M12="","",'Daily Closes'!M12/$E12-1)</f>
        <v/>
      </c>
      <c r="N12" s="18">
        <f>IF('Daily Closes'!N12="","",'Daily Closes'!N12/$E12-1)</f>
        <v/>
      </c>
      <c r="O12" s="18">
        <f>IF('Daily Closes'!O12="","",'Daily Closes'!O12/$E12-1)</f>
        <v/>
      </c>
      <c r="P12" s="18">
        <f>IF('Daily Closes'!P12="","",'Daily Closes'!P12/$E12-1)</f>
        <v/>
      </c>
      <c r="Q12" s="18">
        <f>IF('Daily Closes'!Q12="","",'Daily Closes'!Q12/$E12-1)</f>
        <v/>
      </c>
      <c r="R12" s="18">
        <f>IF('Daily Closes'!R12="","",'Daily Closes'!R12/$E12-1)</f>
        <v/>
      </c>
      <c r="S12" s="18">
        <f>IF('Daily Closes'!S12="","",'Daily Closes'!S12/$E12-1)</f>
        <v/>
      </c>
      <c r="T12" s="18">
        <f>IF('Daily Closes'!T12="","",'Daily Closes'!T12/$E12-1)</f>
        <v/>
      </c>
      <c r="U12" s="18">
        <f>IF('Daily Closes'!U12="","",'Daily Closes'!U12/$E12-1)</f>
        <v/>
      </c>
      <c r="V12" s="18">
        <f>IF('Daily Closes'!V12="","",'Daily Closes'!V12/$E12-1)</f>
        <v/>
      </c>
      <c r="W12" s="18">
        <f>IF('Daily Closes'!W12="","",'Daily Closes'!W12/$E12-1)</f>
        <v/>
      </c>
      <c r="X12" s="18">
        <f>IF('Daily Closes'!X12="","",'Daily Closes'!X12/$E12-1)</f>
        <v/>
      </c>
      <c r="Y12" s="18">
        <f>IF('Daily Closes'!Y12="","",'Daily Closes'!Y12/$E12-1)</f>
        <v/>
      </c>
      <c r="Z12" s="18">
        <f>IF('Daily Closes'!Z12="","",'Daily Closes'!Z12/$E12-1)</f>
        <v/>
      </c>
      <c r="AA12" s="18">
        <f>IF('Daily Closes'!AA12="","",'Daily Closes'!AA12/$E12-1)</f>
        <v/>
      </c>
    </row>
    <row r="13">
      <c r="A13" s="50">
        <f>'Daily Closes'!A13</f>
        <v/>
      </c>
      <c r="B13" s="15">
        <f>'Daily Closes'!B13</f>
        <v/>
      </c>
      <c r="C13" s="51">
        <f>'Daily Closes'!C13</f>
        <v/>
      </c>
      <c r="D13" s="50">
        <f>'Daily Closes'!D13</f>
        <v/>
      </c>
      <c r="E13" s="17">
        <f>'Daily Closes'!E13</f>
        <v/>
      </c>
      <c r="F13" s="34" t="inlineStr">
        <is>
          <t>—</t>
        </is>
      </c>
      <c r="G13" s="18">
        <f>IF('Daily Closes'!G13="","",'Daily Closes'!G13/$E13-1)</f>
        <v/>
      </c>
      <c r="H13" s="18">
        <f>IF('Daily Closes'!H13="","",'Daily Closes'!H13/$E13-1)</f>
        <v/>
      </c>
      <c r="I13" s="18">
        <f>IF('Daily Closes'!I13="","",'Daily Closes'!I13/$E13-1)</f>
        <v/>
      </c>
      <c r="J13" s="18">
        <f>IF('Daily Closes'!J13="","",'Daily Closes'!J13/$E13-1)</f>
        <v/>
      </c>
      <c r="K13" s="18">
        <f>IF('Daily Closes'!K13="","",'Daily Closes'!K13/$E13-1)</f>
        <v/>
      </c>
      <c r="L13" s="18">
        <f>IF('Daily Closes'!L13="","",'Daily Closes'!L13/$E13-1)</f>
        <v/>
      </c>
      <c r="M13" s="18">
        <f>IF('Daily Closes'!M13="","",'Daily Closes'!M13/$E13-1)</f>
        <v/>
      </c>
      <c r="N13" s="18">
        <f>IF('Daily Closes'!N13="","",'Daily Closes'!N13/$E13-1)</f>
        <v/>
      </c>
      <c r="O13" s="18">
        <f>IF('Daily Closes'!O13="","",'Daily Closes'!O13/$E13-1)</f>
        <v/>
      </c>
      <c r="P13" s="18">
        <f>IF('Daily Closes'!P13="","",'Daily Closes'!P13/$E13-1)</f>
        <v/>
      </c>
      <c r="Q13" s="18">
        <f>IF('Daily Closes'!Q13="","",'Daily Closes'!Q13/$E13-1)</f>
        <v/>
      </c>
      <c r="R13" s="18">
        <f>IF('Daily Closes'!R13="","",'Daily Closes'!R13/$E13-1)</f>
        <v/>
      </c>
      <c r="S13" s="18">
        <f>IF('Daily Closes'!S13="","",'Daily Closes'!S13/$E13-1)</f>
        <v/>
      </c>
      <c r="T13" s="18">
        <f>IF('Daily Closes'!T13="","",'Daily Closes'!T13/$E13-1)</f>
        <v/>
      </c>
      <c r="U13" s="18">
        <f>IF('Daily Closes'!U13="","",'Daily Closes'!U13/$E13-1)</f>
        <v/>
      </c>
      <c r="V13" s="18">
        <f>IF('Daily Closes'!V13="","",'Daily Closes'!V13/$E13-1)</f>
        <v/>
      </c>
      <c r="W13" s="18">
        <f>IF('Daily Closes'!W13="","",'Daily Closes'!W13/$E13-1)</f>
        <v/>
      </c>
      <c r="X13" s="18">
        <f>IF('Daily Closes'!X13="","",'Daily Closes'!X13/$E13-1)</f>
        <v/>
      </c>
      <c r="Y13" s="18">
        <f>IF('Daily Closes'!Y13="","",'Daily Closes'!Y13/$E13-1)</f>
        <v/>
      </c>
      <c r="Z13" s="18">
        <f>IF('Daily Closes'!Z13="","",'Daily Closes'!Z13/$E13-1)</f>
        <v/>
      </c>
      <c r="AA13" s="18">
        <f>IF('Daily Closes'!AA13="","",'Daily Closes'!AA13/$E13-1)</f>
        <v/>
      </c>
    </row>
    <row r="14">
      <c r="A14" s="50">
        <f>'Daily Closes'!A14</f>
        <v/>
      </c>
      <c r="B14" s="15">
        <f>'Daily Closes'!B14</f>
        <v/>
      </c>
      <c r="C14" s="51">
        <f>'Daily Closes'!C14</f>
        <v/>
      </c>
      <c r="D14" s="50">
        <f>'Daily Closes'!D14</f>
        <v/>
      </c>
      <c r="E14" s="17">
        <f>'Daily Closes'!E14</f>
        <v/>
      </c>
      <c r="F14" s="34" t="inlineStr">
        <is>
          <t>—</t>
        </is>
      </c>
      <c r="G14" s="18">
        <f>IF('Daily Closes'!G14="","",'Daily Closes'!G14/$E14-1)</f>
        <v/>
      </c>
      <c r="H14" s="18">
        <f>IF('Daily Closes'!H14="","",'Daily Closes'!H14/$E14-1)</f>
        <v/>
      </c>
      <c r="I14" s="18">
        <f>IF('Daily Closes'!I14="","",'Daily Closes'!I14/$E14-1)</f>
        <v/>
      </c>
      <c r="J14" s="18">
        <f>IF('Daily Closes'!J14="","",'Daily Closes'!J14/$E14-1)</f>
        <v/>
      </c>
      <c r="K14" s="18">
        <f>IF('Daily Closes'!K14="","",'Daily Closes'!K14/$E14-1)</f>
        <v/>
      </c>
      <c r="L14" s="18">
        <f>IF('Daily Closes'!L14="","",'Daily Closes'!L14/$E14-1)</f>
        <v/>
      </c>
      <c r="M14" s="18">
        <f>IF('Daily Closes'!M14="","",'Daily Closes'!M14/$E14-1)</f>
        <v/>
      </c>
      <c r="N14" s="18">
        <f>IF('Daily Closes'!N14="","",'Daily Closes'!N14/$E14-1)</f>
        <v/>
      </c>
      <c r="O14" s="18">
        <f>IF('Daily Closes'!O14="","",'Daily Closes'!O14/$E14-1)</f>
        <v/>
      </c>
      <c r="P14" s="18">
        <f>IF('Daily Closes'!P14="","",'Daily Closes'!P14/$E14-1)</f>
        <v/>
      </c>
      <c r="Q14" s="18">
        <f>IF('Daily Closes'!Q14="","",'Daily Closes'!Q14/$E14-1)</f>
        <v/>
      </c>
      <c r="R14" s="18">
        <f>IF('Daily Closes'!R14="","",'Daily Closes'!R14/$E14-1)</f>
        <v/>
      </c>
      <c r="S14" s="18">
        <f>IF('Daily Closes'!S14="","",'Daily Closes'!S14/$E14-1)</f>
        <v/>
      </c>
      <c r="T14" s="18">
        <f>IF('Daily Closes'!T14="","",'Daily Closes'!T14/$E14-1)</f>
        <v/>
      </c>
      <c r="U14" s="18">
        <f>IF('Daily Closes'!U14="","",'Daily Closes'!U14/$E14-1)</f>
        <v/>
      </c>
      <c r="V14" s="18">
        <f>IF('Daily Closes'!V14="","",'Daily Closes'!V14/$E14-1)</f>
        <v/>
      </c>
      <c r="W14" s="18">
        <f>IF('Daily Closes'!W14="","",'Daily Closes'!W14/$E14-1)</f>
        <v/>
      </c>
      <c r="X14" s="18">
        <f>IF('Daily Closes'!X14="","",'Daily Closes'!X14/$E14-1)</f>
        <v/>
      </c>
      <c r="Y14" s="18">
        <f>IF('Daily Closes'!Y14="","",'Daily Closes'!Y14/$E14-1)</f>
        <v/>
      </c>
      <c r="Z14" s="18">
        <f>IF('Daily Closes'!Z14="","",'Daily Closes'!Z14/$E14-1)</f>
        <v/>
      </c>
      <c r="AA14" s="18">
        <f>IF('Daily Closes'!AA14="","",'Daily Closes'!AA14/$E14-1)</f>
        <v/>
      </c>
    </row>
    <row r="15">
      <c r="A15" s="50">
        <f>'Daily Closes'!A15</f>
        <v/>
      </c>
      <c r="B15" s="15">
        <f>'Daily Closes'!B15</f>
        <v/>
      </c>
      <c r="C15" s="51">
        <f>'Daily Closes'!C15</f>
        <v/>
      </c>
      <c r="D15" s="50">
        <f>'Daily Closes'!D15</f>
        <v/>
      </c>
      <c r="E15" s="17">
        <f>'Daily Closes'!E15</f>
        <v/>
      </c>
      <c r="F15" s="34" t="inlineStr">
        <is>
          <t>—</t>
        </is>
      </c>
      <c r="G15" s="18">
        <f>IF('Daily Closes'!G15="","",'Daily Closes'!G15/$E15-1)</f>
        <v/>
      </c>
      <c r="H15" s="18">
        <f>IF('Daily Closes'!H15="","",'Daily Closes'!H15/$E15-1)</f>
        <v/>
      </c>
      <c r="I15" s="18">
        <f>IF('Daily Closes'!I15="","",'Daily Closes'!I15/$E15-1)</f>
        <v/>
      </c>
      <c r="J15" s="18">
        <f>IF('Daily Closes'!J15="","",'Daily Closes'!J15/$E15-1)</f>
        <v/>
      </c>
      <c r="K15" s="18">
        <f>IF('Daily Closes'!K15="","",'Daily Closes'!K15/$E15-1)</f>
        <v/>
      </c>
      <c r="L15" s="18">
        <f>IF('Daily Closes'!L15="","",'Daily Closes'!L15/$E15-1)</f>
        <v/>
      </c>
      <c r="M15" s="18">
        <f>IF('Daily Closes'!M15="","",'Daily Closes'!M15/$E15-1)</f>
        <v/>
      </c>
      <c r="N15" s="18">
        <f>IF('Daily Closes'!N15="","",'Daily Closes'!N15/$E15-1)</f>
        <v/>
      </c>
      <c r="O15" s="18">
        <f>IF('Daily Closes'!O15="","",'Daily Closes'!O15/$E15-1)</f>
        <v/>
      </c>
      <c r="P15" s="18">
        <f>IF('Daily Closes'!P15="","",'Daily Closes'!P15/$E15-1)</f>
        <v/>
      </c>
      <c r="Q15" s="18">
        <f>IF('Daily Closes'!Q15="","",'Daily Closes'!Q15/$E15-1)</f>
        <v/>
      </c>
      <c r="R15" s="18">
        <f>IF('Daily Closes'!R15="","",'Daily Closes'!R15/$E15-1)</f>
        <v/>
      </c>
      <c r="S15" s="18">
        <f>IF('Daily Closes'!S15="","",'Daily Closes'!S15/$E15-1)</f>
        <v/>
      </c>
      <c r="T15" s="18">
        <f>IF('Daily Closes'!T15="","",'Daily Closes'!T15/$E15-1)</f>
        <v/>
      </c>
      <c r="U15" s="18">
        <f>IF('Daily Closes'!U15="","",'Daily Closes'!U15/$E15-1)</f>
        <v/>
      </c>
      <c r="V15" s="18">
        <f>IF('Daily Closes'!V15="","",'Daily Closes'!V15/$E15-1)</f>
        <v/>
      </c>
      <c r="W15" s="18">
        <f>IF('Daily Closes'!W15="","",'Daily Closes'!W15/$E15-1)</f>
        <v/>
      </c>
      <c r="X15" s="18">
        <f>IF('Daily Closes'!X15="","",'Daily Closes'!X15/$E15-1)</f>
        <v/>
      </c>
      <c r="Y15" s="18">
        <f>IF('Daily Closes'!Y15="","",'Daily Closes'!Y15/$E15-1)</f>
        <v/>
      </c>
      <c r="Z15" s="18">
        <f>IF('Daily Closes'!Z15="","",'Daily Closes'!Z15/$E15-1)</f>
        <v/>
      </c>
      <c r="AA15" s="18">
        <f>IF('Daily Closes'!AA15="","",'Daily Closes'!AA15/$E15-1)</f>
        <v/>
      </c>
    </row>
    <row r="16">
      <c r="B16" s="15" t="inlineStr">
        <is>
          <t>PORTFOLIO</t>
        </is>
      </c>
      <c r="G16" s="48">
        <f>IF('Daily Closes'!G16="","",'Daily Closes'!G16/'Daily Closes'!$E$16-1)</f>
        <v/>
      </c>
      <c r="H16" s="48">
        <f>IF('Daily Closes'!H16="","",'Daily Closes'!H16/'Daily Closes'!$E$16-1)</f>
        <v/>
      </c>
      <c r="I16" s="48">
        <f>IF('Daily Closes'!I16="","",'Daily Closes'!I16/'Daily Closes'!$E$16-1)</f>
        <v/>
      </c>
      <c r="J16" s="48">
        <f>IF('Daily Closes'!J16="","",'Daily Closes'!J16/'Daily Closes'!$E$16-1)</f>
        <v/>
      </c>
      <c r="K16" s="48">
        <f>IF('Daily Closes'!K16="","",'Daily Closes'!K16/'Daily Closes'!$E$16-1)</f>
        <v/>
      </c>
      <c r="L16" s="48">
        <f>IF('Daily Closes'!L16="","",'Daily Closes'!L16/'Daily Closes'!$E$16-1)</f>
        <v/>
      </c>
      <c r="M16" s="48">
        <f>IF('Daily Closes'!M16="","",'Daily Closes'!M16/'Daily Closes'!$E$16-1)</f>
        <v/>
      </c>
      <c r="N16" s="48">
        <f>IF('Daily Closes'!N16="","",'Daily Closes'!N16/'Daily Closes'!$E$16-1)</f>
        <v/>
      </c>
      <c r="O16" s="48">
        <f>IF('Daily Closes'!O16="","",'Daily Closes'!O16/'Daily Closes'!$E$16-1)</f>
        <v/>
      </c>
      <c r="P16" s="48">
        <f>IF('Daily Closes'!P16="","",'Daily Closes'!P16/'Daily Closes'!$E$16-1)</f>
        <v/>
      </c>
      <c r="Q16" s="48">
        <f>IF('Daily Closes'!Q16="","",'Daily Closes'!Q16/'Daily Closes'!$E$16-1)</f>
        <v/>
      </c>
      <c r="R16" s="48">
        <f>IF('Daily Closes'!R16="","",'Daily Closes'!R16/'Daily Closes'!$E$16-1)</f>
        <v/>
      </c>
      <c r="S16" s="48">
        <f>IF('Daily Closes'!S16="","",'Daily Closes'!S16/'Daily Closes'!$E$16-1)</f>
        <v/>
      </c>
      <c r="T16" s="48">
        <f>IF('Daily Closes'!T16="","",'Daily Closes'!T16/'Daily Closes'!$E$16-1)</f>
        <v/>
      </c>
      <c r="U16" s="48">
        <f>IF('Daily Closes'!U16="","",'Daily Closes'!U16/'Daily Closes'!$E$16-1)</f>
        <v/>
      </c>
      <c r="V16" s="48">
        <f>IF('Daily Closes'!V16="","",'Daily Closes'!V16/'Daily Closes'!$E$16-1)</f>
        <v/>
      </c>
      <c r="W16" s="48">
        <f>IF('Daily Closes'!W16="","",'Daily Closes'!W16/'Daily Closes'!$E$16-1)</f>
        <v/>
      </c>
      <c r="X16" s="48">
        <f>IF('Daily Closes'!X16="","",'Daily Closes'!X16/'Daily Closes'!$E$16-1)</f>
        <v/>
      </c>
      <c r="Y16" s="48">
        <f>IF('Daily Closes'!Y16="","",'Daily Closes'!Y16/'Daily Closes'!$E$16-1)</f>
        <v/>
      </c>
      <c r="Z16" s="48">
        <f>IF('Daily Closes'!Z16="","",'Daily Closes'!Z16/'Daily Closes'!$E$16-1)</f>
        <v/>
      </c>
      <c r="AA16" s="48">
        <f>IF('Daily Closes'!AA16="","",'Daily Closes'!AA16/'Daily Closes'!$E$16-1)</f>
        <v/>
      </c>
    </row>
  </sheetData>
  <mergeCells count="2">
    <mergeCell ref="A1:AA1"/>
    <mergeCell ref="A2:AA2"/>
  </mergeCells>
  <conditionalFormatting sqref="G6:AA16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C9860A"/>
    <outlinePr summaryBelow="1" summaryRight="1"/>
    <pageSetUpPr fitToPage="1"/>
  </sheetPr>
  <dimension ref="A1:AA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</cols>
  <sheetData>
    <row r="1" ht="30" customHeight="1">
      <c r="A1" s="1" t="inlineStr">
        <is>
          <t>Mark-to-Market P&amp;L (₹)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Qty × (close − entry). Gross of costs.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4">
      <c r="A4" s="14" t="inlineStr">
        <is>
          <t>#</t>
        </is>
      </c>
      <c r="B4" s="14" t="inlineStr">
        <is>
          <t>Symbol</t>
        </is>
      </c>
      <c r="C4" s="14" t="inlineStr">
        <is>
          <t>ISIN</t>
        </is>
      </c>
      <c r="D4" s="14" t="inlineStr">
        <is>
          <t>Qty</t>
        </is>
      </c>
      <c r="E4" s="14" t="inlineStr">
        <is>
          <t>Entry ₹</t>
        </is>
      </c>
      <c r="F4" s="14" t="inlineStr">
        <is>
          <t>Day 0</t>
        </is>
      </c>
      <c r="G4" s="29" t="inlineStr">
        <is>
          <t>Day 1</t>
        </is>
      </c>
      <c r="H4" s="14" t="inlineStr">
        <is>
          <t>Day 2</t>
        </is>
      </c>
      <c r="I4" s="14" t="inlineStr">
        <is>
          <t>Day 3</t>
        </is>
      </c>
      <c r="J4" s="14" t="inlineStr">
        <is>
          <t>Day 4</t>
        </is>
      </c>
      <c r="K4" s="14" t="inlineStr">
        <is>
          <t>Day 5</t>
        </is>
      </c>
      <c r="L4" s="14" t="inlineStr">
        <is>
          <t>Day 6</t>
        </is>
      </c>
      <c r="M4" s="14" t="inlineStr">
        <is>
          <t>Day 7</t>
        </is>
      </c>
      <c r="N4" s="14" t="inlineStr">
        <is>
          <t>Day 8</t>
        </is>
      </c>
      <c r="O4" s="14" t="inlineStr">
        <is>
          <t>Day 9</t>
        </is>
      </c>
      <c r="P4" s="14" t="inlineStr">
        <is>
          <t>Day 10</t>
        </is>
      </c>
      <c r="Q4" s="14" t="inlineStr">
        <is>
          <t>Day 11</t>
        </is>
      </c>
      <c r="R4" s="14" t="inlineStr">
        <is>
          <t>Day 12</t>
        </is>
      </c>
      <c r="S4" s="14" t="inlineStr">
        <is>
          <t>Day 13</t>
        </is>
      </c>
      <c r="T4" s="14" t="inlineStr">
        <is>
          <t>Day 14</t>
        </is>
      </c>
      <c r="U4" s="14" t="inlineStr">
        <is>
          <t>Day 15</t>
        </is>
      </c>
      <c r="V4" s="14" t="inlineStr">
        <is>
          <t>Day 16</t>
        </is>
      </c>
      <c r="W4" s="14" t="inlineStr">
        <is>
          <t>Day 17</t>
        </is>
      </c>
      <c r="X4" s="14" t="inlineStr">
        <is>
          <t>Day 18</t>
        </is>
      </c>
      <c r="Y4" s="14" t="inlineStr">
        <is>
          <t>Day 19</t>
        </is>
      </c>
      <c r="Z4" s="14" t="inlineStr">
        <is>
          <t>Day 20</t>
        </is>
      </c>
      <c r="AA4" s="14" t="inlineStr">
        <is>
          <t>Day 21</t>
        </is>
      </c>
    </row>
    <row r="6">
      <c r="A6" s="50">
        <f>'Daily Closes'!A6</f>
        <v/>
      </c>
      <c r="B6" s="15">
        <f>'Daily Closes'!B6</f>
        <v/>
      </c>
      <c r="C6" s="51">
        <f>'Daily Closes'!C6</f>
        <v/>
      </c>
      <c r="D6" s="50">
        <f>'Daily Closes'!D6</f>
        <v/>
      </c>
      <c r="E6" s="17">
        <f>'Daily Closes'!E6</f>
        <v/>
      </c>
      <c r="F6" s="34" t="inlineStr">
        <is>
          <t>—</t>
        </is>
      </c>
      <c r="G6" s="19">
        <f>IF('Daily Closes'!G6="","",$D6*('Daily Closes'!G6-$E6))</f>
        <v/>
      </c>
      <c r="H6" s="19">
        <f>IF('Daily Closes'!H6="","",$D6*('Daily Closes'!H6-$E6))</f>
        <v/>
      </c>
      <c r="I6" s="19">
        <f>IF('Daily Closes'!I6="","",$D6*('Daily Closes'!I6-$E6))</f>
        <v/>
      </c>
      <c r="J6" s="19">
        <f>IF('Daily Closes'!J6="","",$D6*('Daily Closes'!J6-$E6))</f>
        <v/>
      </c>
      <c r="K6" s="19">
        <f>IF('Daily Closes'!K6="","",$D6*('Daily Closes'!K6-$E6))</f>
        <v/>
      </c>
      <c r="L6" s="19">
        <f>IF('Daily Closes'!L6="","",$D6*('Daily Closes'!L6-$E6))</f>
        <v/>
      </c>
      <c r="M6" s="19">
        <f>IF('Daily Closes'!M6="","",$D6*('Daily Closes'!M6-$E6))</f>
        <v/>
      </c>
      <c r="N6" s="19">
        <f>IF('Daily Closes'!N6="","",$D6*('Daily Closes'!N6-$E6))</f>
        <v/>
      </c>
      <c r="O6" s="19">
        <f>IF('Daily Closes'!O6="","",$D6*('Daily Closes'!O6-$E6))</f>
        <v/>
      </c>
      <c r="P6" s="19">
        <f>IF('Daily Closes'!P6="","",$D6*('Daily Closes'!P6-$E6))</f>
        <v/>
      </c>
      <c r="Q6" s="19">
        <f>IF('Daily Closes'!Q6="","",$D6*('Daily Closes'!Q6-$E6))</f>
        <v/>
      </c>
      <c r="R6" s="19">
        <f>IF('Daily Closes'!R6="","",$D6*('Daily Closes'!R6-$E6))</f>
        <v/>
      </c>
      <c r="S6" s="19">
        <f>IF('Daily Closes'!S6="","",$D6*('Daily Closes'!S6-$E6))</f>
        <v/>
      </c>
      <c r="T6" s="19">
        <f>IF('Daily Closes'!T6="","",$D6*('Daily Closes'!T6-$E6))</f>
        <v/>
      </c>
      <c r="U6" s="19">
        <f>IF('Daily Closes'!U6="","",$D6*('Daily Closes'!U6-$E6))</f>
        <v/>
      </c>
      <c r="V6" s="19">
        <f>IF('Daily Closes'!V6="","",$D6*('Daily Closes'!V6-$E6))</f>
        <v/>
      </c>
      <c r="W6" s="19">
        <f>IF('Daily Closes'!W6="","",$D6*('Daily Closes'!W6-$E6))</f>
        <v/>
      </c>
      <c r="X6" s="19">
        <f>IF('Daily Closes'!X6="","",$D6*('Daily Closes'!X6-$E6))</f>
        <v/>
      </c>
      <c r="Y6" s="19">
        <f>IF('Daily Closes'!Y6="","",$D6*('Daily Closes'!Y6-$E6))</f>
        <v/>
      </c>
      <c r="Z6" s="19">
        <f>IF('Daily Closes'!Z6="","",$D6*('Daily Closes'!Z6-$E6))</f>
        <v/>
      </c>
      <c r="AA6" s="19">
        <f>IF('Daily Closes'!AA6="","",$D6*('Daily Closes'!AA6-$E6))</f>
        <v/>
      </c>
    </row>
    <row r="7">
      <c r="A7" s="50">
        <f>'Daily Closes'!A7</f>
        <v/>
      </c>
      <c r="B7" s="15">
        <f>'Daily Closes'!B7</f>
        <v/>
      </c>
      <c r="C7" s="51">
        <f>'Daily Closes'!C7</f>
        <v/>
      </c>
      <c r="D7" s="50">
        <f>'Daily Closes'!D7</f>
        <v/>
      </c>
      <c r="E7" s="17">
        <f>'Daily Closes'!E7</f>
        <v/>
      </c>
      <c r="F7" s="34" t="inlineStr">
        <is>
          <t>—</t>
        </is>
      </c>
      <c r="G7" s="19">
        <f>IF('Daily Closes'!G7="","",$D7*('Daily Closes'!G7-$E7))</f>
        <v/>
      </c>
      <c r="H7" s="19">
        <f>IF('Daily Closes'!H7="","",$D7*('Daily Closes'!H7-$E7))</f>
        <v/>
      </c>
      <c r="I7" s="19">
        <f>IF('Daily Closes'!I7="","",$D7*('Daily Closes'!I7-$E7))</f>
        <v/>
      </c>
      <c r="J7" s="19">
        <f>IF('Daily Closes'!J7="","",$D7*('Daily Closes'!J7-$E7))</f>
        <v/>
      </c>
      <c r="K7" s="19">
        <f>IF('Daily Closes'!K7="","",$D7*('Daily Closes'!K7-$E7))</f>
        <v/>
      </c>
      <c r="L7" s="19">
        <f>IF('Daily Closes'!L7="","",$D7*('Daily Closes'!L7-$E7))</f>
        <v/>
      </c>
      <c r="M7" s="19">
        <f>IF('Daily Closes'!M7="","",$D7*('Daily Closes'!M7-$E7))</f>
        <v/>
      </c>
      <c r="N7" s="19">
        <f>IF('Daily Closes'!N7="","",$D7*('Daily Closes'!N7-$E7))</f>
        <v/>
      </c>
      <c r="O7" s="19">
        <f>IF('Daily Closes'!O7="","",$D7*('Daily Closes'!O7-$E7))</f>
        <v/>
      </c>
      <c r="P7" s="19">
        <f>IF('Daily Closes'!P7="","",$D7*('Daily Closes'!P7-$E7))</f>
        <v/>
      </c>
      <c r="Q7" s="19">
        <f>IF('Daily Closes'!Q7="","",$D7*('Daily Closes'!Q7-$E7))</f>
        <v/>
      </c>
      <c r="R7" s="19">
        <f>IF('Daily Closes'!R7="","",$D7*('Daily Closes'!R7-$E7))</f>
        <v/>
      </c>
      <c r="S7" s="19">
        <f>IF('Daily Closes'!S7="","",$D7*('Daily Closes'!S7-$E7))</f>
        <v/>
      </c>
      <c r="T7" s="19">
        <f>IF('Daily Closes'!T7="","",$D7*('Daily Closes'!T7-$E7))</f>
        <v/>
      </c>
      <c r="U7" s="19">
        <f>IF('Daily Closes'!U7="","",$D7*('Daily Closes'!U7-$E7))</f>
        <v/>
      </c>
      <c r="V7" s="19">
        <f>IF('Daily Closes'!V7="","",$D7*('Daily Closes'!V7-$E7))</f>
        <v/>
      </c>
      <c r="W7" s="19">
        <f>IF('Daily Closes'!W7="","",$D7*('Daily Closes'!W7-$E7))</f>
        <v/>
      </c>
      <c r="X7" s="19">
        <f>IF('Daily Closes'!X7="","",$D7*('Daily Closes'!X7-$E7))</f>
        <v/>
      </c>
      <c r="Y7" s="19">
        <f>IF('Daily Closes'!Y7="","",$D7*('Daily Closes'!Y7-$E7))</f>
        <v/>
      </c>
      <c r="Z7" s="19">
        <f>IF('Daily Closes'!Z7="","",$D7*('Daily Closes'!Z7-$E7))</f>
        <v/>
      </c>
      <c r="AA7" s="19">
        <f>IF('Daily Closes'!AA7="","",$D7*('Daily Closes'!AA7-$E7))</f>
        <v/>
      </c>
    </row>
    <row r="8">
      <c r="A8" s="50">
        <f>'Daily Closes'!A8</f>
        <v/>
      </c>
      <c r="B8" s="15">
        <f>'Daily Closes'!B8</f>
        <v/>
      </c>
      <c r="C8" s="51">
        <f>'Daily Closes'!C8</f>
        <v/>
      </c>
      <c r="D8" s="50">
        <f>'Daily Closes'!D8</f>
        <v/>
      </c>
      <c r="E8" s="17">
        <f>'Daily Closes'!E8</f>
        <v/>
      </c>
      <c r="F8" s="34" t="inlineStr">
        <is>
          <t>—</t>
        </is>
      </c>
      <c r="G8" s="19">
        <f>IF('Daily Closes'!G8="","",$D8*('Daily Closes'!G8-$E8))</f>
        <v/>
      </c>
      <c r="H8" s="19">
        <f>IF('Daily Closes'!H8="","",$D8*('Daily Closes'!H8-$E8))</f>
        <v/>
      </c>
      <c r="I8" s="19">
        <f>IF('Daily Closes'!I8="","",$D8*('Daily Closes'!I8-$E8))</f>
        <v/>
      </c>
      <c r="J8" s="19">
        <f>IF('Daily Closes'!J8="","",$D8*('Daily Closes'!J8-$E8))</f>
        <v/>
      </c>
      <c r="K8" s="19">
        <f>IF('Daily Closes'!K8="","",$D8*('Daily Closes'!K8-$E8))</f>
        <v/>
      </c>
      <c r="L8" s="19">
        <f>IF('Daily Closes'!L8="","",$D8*('Daily Closes'!L8-$E8))</f>
        <v/>
      </c>
      <c r="M8" s="19">
        <f>IF('Daily Closes'!M8="","",$D8*('Daily Closes'!M8-$E8))</f>
        <v/>
      </c>
      <c r="N8" s="19">
        <f>IF('Daily Closes'!N8="","",$D8*('Daily Closes'!N8-$E8))</f>
        <v/>
      </c>
      <c r="O8" s="19">
        <f>IF('Daily Closes'!O8="","",$D8*('Daily Closes'!O8-$E8))</f>
        <v/>
      </c>
      <c r="P8" s="19">
        <f>IF('Daily Closes'!P8="","",$D8*('Daily Closes'!P8-$E8))</f>
        <v/>
      </c>
      <c r="Q8" s="19">
        <f>IF('Daily Closes'!Q8="","",$D8*('Daily Closes'!Q8-$E8))</f>
        <v/>
      </c>
      <c r="R8" s="19">
        <f>IF('Daily Closes'!R8="","",$D8*('Daily Closes'!R8-$E8))</f>
        <v/>
      </c>
      <c r="S8" s="19">
        <f>IF('Daily Closes'!S8="","",$D8*('Daily Closes'!S8-$E8))</f>
        <v/>
      </c>
      <c r="T8" s="19">
        <f>IF('Daily Closes'!T8="","",$D8*('Daily Closes'!T8-$E8))</f>
        <v/>
      </c>
      <c r="U8" s="19">
        <f>IF('Daily Closes'!U8="","",$D8*('Daily Closes'!U8-$E8))</f>
        <v/>
      </c>
      <c r="V8" s="19">
        <f>IF('Daily Closes'!V8="","",$D8*('Daily Closes'!V8-$E8))</f>
        <v/>
      </c>
      <c r="W8" s="19">
        <f>IF('Daily Closes'!W8="","",$D8*('Daily Closes'!W8-$E8))</f>
        <v/>
      </c>
      <c r="X8" s="19">
        <f>IF('Daily Closes'!X8="","",$D8*('Daily Closes'!X8-$E8))</f>
        <v/>
      </c>
      <c r="Y8" s="19">
        <f>IF('Daily Closes'!Y8="","",$D8*('Daily Closes'!Y8-$E8))</f>
        <v/>
      </c>
      <c r="Z8" s="19">
        <f>IF('Daily Closes'!Z8="","",$D8*('Daily Closes'!Z8-$E8))</f>
        <v/>
      </c>
      <c r="AA8" s="19">
        <f>IF('Daily Closes'!AA8="","",$D8*('Daily Closes'!AA8-$E8))</f>
        <v/>
      </c>
    </row>
    <row r="9">
      <c r="A9" s="50">
        <f>'Daily Closes'!A9</f>
        <v/>
      </c>
      <c r="B9" s="15">
        <f>'Daily Closes'!B9</f>
        <v/>
      </c>
      <c r="C9" s="51">
        <f>'Daily Closes'!C9</f>
        <v/>
      </c>
      <c r="D9" s="50">
        <f>'Daily Closes'!D9</f>
        <v/>
      </c>
      <c r="E9" s="17">
        <f>'Daily Closes'!E9</f>
        <v/>
      </c>
      <c r="F9" s="34" t="inlineStr">
        <is>
          <t>—</t>
        </is>
      </c>
      <c r="G9" s="19">
        <f>IF('Daily Closes'!G9="","",$D9*('Daily Closes'!G9-$E9))</f>
        <v/>
      </c>
      <c r="H9" s="19">
        <f>IF('Daily Closes'!H9="","",$D9*('Daily Closes'!H9-$E9))</f>
        <v/>
      </c>
      <c r="I9" s="19">
        <f>IF('Daily Closes'!I9="","",$D9*('Daily Closes'!I9-$E9))</f>
        <v/>
      </c>
      <c r="J9" s="19">
        <f>IF('Daily Closes'!J9="","",$D9*('Daily Closes'!J9-$E9))</f>
        <v/>
      </c>
      <c r="K9" s="19">
        <f>IF('Daily Closes'!K9="","",$D9*('Daily Closes'!K9-$E9))</f>
        <v/>
      </c>
      <c r="L9" s="19">
        <f>IF('Daily Closes'!L9="","",$D9*('Daily Closes'!L9-$E9))</f>
        <v/>
      </c>
      <c r="M9" s="19">
        <f>IF('Daily Closes'!M9="","",$D9*('Daily Closes'!M9-$E9))</f>
        <v/>
      </c>
      <c r="N9" s="19">
        <f>IF('Daily Closes'!N9="","",$D9*('Daily Closes'!N9-$E9))</f>
        <v/>
      </c>
      <c r="O9" s="19">
        <f>IF('Daily Closes'!O9="","",$D9*('Daily Closes'!O9-$E9))</f>
        <v/>
      </c>
      <c r="P9" s="19">
        <f>IF('Daily Closes'!P9="","",$D9*('Daily Closes'!P9-$E9))</f>
        <v/>
      </c>
      <c r="Q9" s="19">
        <f>IF('Daily Closes'!Q9="","",$D9*('Daily Closes'!Q9-$E9))</f>
        <v/>
      </c>
      <c r="R9" s="19">
        <f>IF('Daily Closes'!R9="","",$D9*('Daily Closes'!R9-$E9))</f>
        <v/>
      </c>
      <c r="S9" s="19">
        <f>IF('Daily Closes'!S9="","",$D9*('Daily Closes'!S9-$E9))</f>
        <v/>
      </c>
      <c r="T9" s="19">
        <f>IF('Daily Closes'!T9="","",$D9*('Daily Closes'!T9-$E9))</f>
        <v/>
      </c>
      <c r="U9" s="19">
        <f>IF('Daily Closes'!U9="","",$D9*('Daily Closes'!U9-$E9))</f>
        <v/>
      </c>
      <c r="V9" s="19">
        <f>IF('Daily Closes'!V9="","",$D9*('Daily Closes'!V9-$E9))</f>
        <v/>
      </c>
      <c r="W9" s="19">
        <f>IF('Daily Closes'!W9="","",$D9*('Daily Closes'!W9-$E9))</f>
        <v/>
      </c>
      <c r="X9" s="19">
        <f>IF('Daily Closes'!X9="","",$D9*('Daily Closes'!X9-$E9))</f>
        <v/>
      </c>
      <c r="Y9" s="19">
        <f>IF('Daily Closes'!Y9="","",$D9*('Daily Closes'!Y9-$E9))</f>
        <v/>
      </c>
      <c r="Z9" s="19">
        <f>IF('Daily Closes'!Z9="","",$D9*('Daily Closes'!Z9-$E9))</f>
        <v/>
      </c>
      <c r="AA9" s="19">
        <f>IF('Daily Closes'!AA9="","",$D9*('Daily Closes'!AA9-$E9))</f>
        <v/>
      </c>
    </row>
    <row r="10">
      <c r="A10" s="50">
        <f>'Daily Closes'!A10</f>
        <v/>
      </c>
      <c r="B10" s="15">
        <f>'Daily Closes'!B10</f>
        <v/>
      </c>
      <c r="C10" s="51">
        <f>'Daily Closes'!C10</f>
        <v/>
      </c>
      <c r="D10" s="50">
        <f>'Daily Closes'!D10</f>
        <v/>
      </c>
      <c r="E10" s="17">
        <f>'Daily Closes'!E10</f>
        <v/>
      </c>
      <c r="F10" s="34" t="inlineStr">
        <is>
          <t>—</t>
        </is>
      </c>
      <c r="G10" s="19">
        <f>IF('Daily Closes'!G10="","",$D10*('Daily Closes'!G10-$E10))</f>
        <v/>
      </c>
      <c r="H10" s="19">
        <f>IF('Daily Closes'!H10="","",$D10*('Daily Closes'!H10-$E10))</f>
        <v/>
      </c>
      <c r="I10" s="19">
        <f>IF('Daily Closes'!I10="","",$D10*('Daily Closes'!I10-$E10))</f>
        <v/>
      </c>
      <c r="J10" s="19">
        <f>IF('Daily Closes'!J10="","",$D10*('Daily Closes'!J10-$E10))</f>
        <v/>
      </c>
      <c r="K10" s="19">
        <f>IF('Daily Closes'!K10="","",$D10*('Daily Closes'!K10-$E10))</f>
        <v/>
      </c>
      <c r="L10" s="19">
        <f>IF('Daily Closes'!L10="","",$D10*('Daily Closes'!L10-$E10))</f>
        <v/>
      </c>
      <c r="M10" s="19">
        <f>IF('Daily Closes'!M10="","",$D10*('Daily Closes'!M10-$E10))</f>
        <v/>
      </c>
      <c r="N10" s="19">
        <f>IF('Daily Closes'!N10="","",$D10*('Daily Closes'!N10-$E10))</f>
        <v/>
      </c>
      <c r="O10" s="19">
        <f>IF('Daily Closes'!O10="","",$D10*('Daily Closes'!O10-$E10))</f>
        <v/>
      </c>
      <c r="P10" s="19">
        <f>IF('Daily Closes'!P10="","",$D10*('Daily Closes'!P10-$E10))</f>
        <v/>
      </c>
      <c r="Q10" s="19">
        <f>IF('Daily Closes'!Q10="","",$D10*('Daily Closes'!Q10-$E10))</f>
        <v/>
      </c>
      <c r="R10" s="19">
        <f>IF('Daily Closes'!R10="","",$D10*('Daily Closes'!R10-$E10))</f>
        <v/>
      </c>
      <c r="S10" s="19">
        <f>IF('Daily Closes'!S10="","",$D10*('Daily Closes'!S10-$E10))</f>
        <v/>
      </c>
      <c r="T10" s="19">
        <f>IF('Daily Closes'!T10="","",$D10*('Daily Closes'!T10-$E10))</f>
        <v/>
      </c>
      <c r="U10" s="19">
        <f>IF('Daily Closes'!U10="","",$D10*('Daily Closes'!U10-$E10))</f>
        <v/>
      </c>
      <c r="V10" s="19">
        <f>IF('Daily Closes'!V10="","",$D10*('Daily Closes'!V10-$E10))</f>
        <v/>
      </c>
      <c r="W10" s="19">
        <f>IF('Daily Closes'!W10="","",$D10*('Daily Closes'!W10-$E10))</f>
        <v/>
      </c>
      <c r="X10" s="19">
        <f>IF('Daily Closes'!X10="","",$D10*('Daily Closes'!X10-$E10))</f>
        <v/>
      </c>
      <c r="Y10" s="19">
        <f>IF('Daily Closes'!Y10="","",$D10*('Daily Closes'!Y10-$E10))</f>
        <v/>
      </c>
      <c r="Z10" s="19">
        <f>IF('Daily Closes'!Z10="","",$D10*('Daily Closes'!Z10-$E10))</f>
        <v/>
      </c>
      <c r="AA10" s="19">
        <f>IF('Daily Closes'!AA10="","",$D10*('Daily Closes'!AA10-$E10))</f>
        <v/>
      </c>
    </row>
    <row r="11">
      <c r="A11" s="50">
        <f>'Daily Closes'!A11</f>
        <v/>
      </c>
      <c r="B11" s="15">
        <f>'Daily Closes'!B11</f>
        <v/>
      </c>
      <c r="C11" s="51">
        <f>'Daily Closes'!C11</f>
        <v/>
      </c>
      <c r="D11" s="50">
        <f>'Daily Closes'!D11</f>
        <v/>
      </c>
      <c r="E11" s="17">
        <f>'Daily Closes'!E11</f>
        <v/>
      </c>
      <c r="F11" s="34" t="inlineStr">
        <is>
          <t>—</t>
        </is>
      </c>
      <c r="G11" s="19">
        <f>IF('Daily Closes'!G11="","",$D11*('Daily Closes'!G11-$E11))</f>
        <v/>
      </c>
      <c r="H11" s="19">
        <f>IF('Daily Closes'!H11="","",$D11*('Daily Closes'!H11-$E11))</f>
        <v/>
      </c>
      <c r="I11" s="19">
        <f>IF('Daily Closes'!I11="","",$D11*('Daily Closes'!I11-$E11))</f>
        <v/>
      </c>
      <c r="J11" s="19">
        <f>IF('Daily Closes'!J11="","",$D11*('Daily Closes'!J11-$E11))</f>
        <v/>
      </c>
      <c r="K11" s="19">
        <f>IF('Daily Closes'!K11="","",$D11*('Daily Closes'!K11-$E11))</f>
        <v/>
      </c>
      <c r="L11" s="19">
        <f>IF('Daily Closes'!L11="","",$D11*('Daily Closes'!L11-$E11))</f>
        <v/>
      </c>
      <c r="M11" s="19">
        <f>IF('Daily Closes'!M11="","",$D11*('Daily Closes'!M11-$E11))</f>
        <v/>
      </c>
      <c r="N11" s="19">
        <f>IF('Daily Closes'!N11="","",$D11*('Daily Closes'!N11-$E11))</f>
        <v/>
      </c>
      <c r="O11" s="19">
        <f>IF('Daily Closes'!O11="","",$D11*('Daily Closes'!O11-$E11))</f>
        <v/>
      </c>
      <c r="P11" s="19">
        <f>IF('Daily Closes'!P11="","",$D11*('Daily Closes'!P11-$E11))</f>
        <v/>
      </c>
      <c r="Q11" s="19">
        <f>IF('Daily Closes'!Q11="","",$D11*('Daily Closes'!Q11-$E11))</f>
        <v/>
      </c>
      <c r="R11" s="19">
        <f>IF('Daily Closes'!R11="","",$D11*('Daily Closes'!R11-$E11))</f>
        <v/>
      </c>
      <c r="S11" s="19">
        <f>IF('Daily Closes'!S11="","",$D11*('Daily Closes'!S11-$E11))</f>
        <v/>
      </c>
      <c r="T11" s="19">
        <f>IF('Daily Closes'!T11="","",$D11*('Daily Closes'!T11-$E11))</f>
        <v/>
      </c>
      <c r="U11" s="19">
        <f>IF('Daily Closes'!U11="","",$D11*('Daily Closes'!U11-$E11))</f>
        <v/>
      </c>
      <c r="V11" s="19">
        <f>IF('Daily Closes'!V11="","",$D11*('Daily Closes'!V11-$E11))</f>
        <v/>
      </c>
      <c r="W11" s="19">
        <f>IF('Daily Closes'!W11="","",$D11*('Daily Closes'!W11-$E11))</f>
        <v/>
      </c>
      <c r="X11" s="19">
        <f>IF('Daily Closes'!X11="","",$D11*('Daily Closes'!X11-$E11))</f>
        <v/>
      </c>
      <c r="Y11" s="19">
        <f>IF('Daily Closes'!Y11="","",$D11*('Daily Closes'!Y11-$E11))</f>
        <v/>
      </c>
      <c r="Z11" s="19">
        <f>IF('Daily Closes'!Z11="","",$D11*('Daily Closes'!Z11-$E11))</f>
        <v/>
      </c>
      <c r="AA11" s="19">
        <f>IF('Daily Closes'!AA11="","",$D11*('Daily Closes'!AA11-$E11))</f>
        <v/>
      </c>
    </row>
    <row r="12">
      <c r="A12" s="50">
        <f>'Daily Closes'!A12</f>
        <v/>
      </c>
      <c r="B12" s="15">
        <f>'Daily Closes'!B12</f>
        <v/>
      </c>
      <c r="C12" s="51">
        <f>'Daily Closes'!C12</f>
        <v/>
      </c>
      <c r="D12" s="50">
        <f>'Daily Closes'!D12</f>
        <v/>
      </c>
      <c r="E12" s="17">
        <f>'Daily Closes'!E12</f>
        <v/>
      </c>
      <c r="F12" s="34" t="inlineStr">
        <is>
          <t>—</t>
        </is>
      </c>
      <c r="G12" s="19">
        <f>IF('Daily Closes'!G12="","",$D12*('Daily Closes'!G12-$E12))</f>
        <v/>
      </c>
      <c r="H12" s="19">
        <f>IF('Daily Closes'!H12="","",$D12*('Daily Closes'!H12-$E12))</f>
        <v/>
      </c>
      <c r="I12" s="19">
        <f>IF('Daily Closes'!I12="","",$D12*('Daily Closes'!I12-$E12))</f>
        <v/>
      </c>
      <c r="J12" s="19">
        <f>IF('Daily Closes'!J12="","",$D12*('Daily Closes'!J12-$E12))</f>
        <v/>
      </c>
      <c r="K12" s="19">
        <f>IF('Daily Closes'!K12="","",$D12*('Daily Closes'!K12-$E12))</f>
        <v/>
      </c>
      <c r="L12" s="19">
        <f>IF('Daily Closes'!L12="","",$D12*('Daily Closes'!L12-$E12))</f>
        <v/>
      </c>
      <c r="M12" s="19">
        <f>IF('Daily Closes'!M12="","",$D12*('Daily Closes'!M12-$E12))</f>
        <v/>
      </c>
      <c r="N12" s="19">
        <f>IF('Daily Closes'!N12="","",$D12*('Daily Closes'!N12-$E12))</f>
        <v/>
      </c>
      <c r="O12" s="19">
        <f>IF('Daily Closes'!O12="","",$D12*('Daily Closes'!O12-$E12))</f>
        <v/>
      </c>
      <c r="P12" s="19">
        <f>IF('Daily Closes'!P12="","",$D12*('Daily Closes'!P12-$E12))</f>
        <v/>
      </c>
      <c r="Q12" s="19">
        <f>IF('Daily Closes'!Q12="","",$D12*('Daily Closes'!Q12-$E12))</f>
        <v/>
      </c>
      <c r="R12" s="19">
        <f>IF('Daily Closes'!R12="","",$D12*('Daily Closes'!R12-$E12))</f>
        <v/>
      </c>
      <c r="S12" s="19">
        <f>IF('Daily Closes'!S12="","",$D12*('Daily Closes'!S12-$E12))</f>
        <v/>
      </c>
      <c r="T12" s="19">
        <f>IF('Daily Closes'!T12="","",$D12*('Daily Closes'!T12-$E12))</f>
        <v/>
      </c>
      <c r="U12" s="19">
        <f>IF('Daily Closes'!U12="","",$D12*('Daily Closes'!U12-$E12))</f>
        <v/>
      </c>
      <c r="V12" s="19">
        <f>IF('Daily Closes'!V12="","",$D12*('Daily Closes'!V12-$E12))</f>
        <v/>
      </c>
      <c r="W12" s="19">
        <f>IF('Daily Closes'!W12="","",$D12*('Daily Closes'!W12-$E12))</f>
        <v/>
      </c>
      <c r="X12" s="19">
        <f>IF('Daily Closes'!X12="","",$D12*('Daily Closes'!X12-$E12))</f>
        <v/>
      </c>
      <c r="Y12" s="19">
        <f>IF('Daily Closes'!Y12="","",$D12*('Daily Closes'!Y12-$E12))</f>
        <v/>
      </c>
      <c r="Z12" s="19">
        <f>IF('Daily Closes'!Z12="","",$D12*('Daily Closes'!Z12-$E12))</f>
        <v/>
      </c>
      <c r="AA12" s="19">
        <f>IF('Daily Closes'!AA12="","",$D12*('Daily Closes'!AA12-$E12))</f>
        <v/>
      </c>
    </row>
    <row r="13">
      <c r="A13" s="50">
        <f>'Daily Closes'!A13</f>
        <v/>
      </c>
      <c r="B13" s="15">
        <f>'Daily Closes'!B13</f>
        <v/>
      </c>
      <c r="C13" s="51">
        <f>'Daily Closes'!C13</f>
        <v/>
      </c>
      <c r="D13" s="50">
        <f>'Daily Closes'!D13</f>
        <v/>
      </c>
      <c r="E13" s="17">
        <f>'Daily Closes'!E13</f>
        <v/>
      </c>
      <c r="F13" s="34" t="inlineStr">
        <is>
          <t>—</t>
        </is>
      </c>
      <c r="G13" s="19">
        <f>IF('Daily Closes'!G13="","",$D13*('Daily Closes'!G13-$E13))</f>
        <v/>
      </c>
      <c r="H13" s="19">
        <f>IF('Daily Closes'!H13="","",$D13*('Daily Closes'!H13-$E13))</f>
        <v/>
      </c>
      <c r="I13" s="19">
        <f>IF('Daily Closes'!I13="","",$D13*('Daily Closes'!I13-$E13))</f>
        <v/>
      </c>
      <c r="J13" s="19">
        <f>IF('Daily Closes'!J13="","",$D13*('Daily Closes'!J13-$E13))</f>
        <v/>
      </c>
      <c r="K13" s="19">
        <f>IF('Daily Closes'!K13="","",$D13*('Daily Closes'!K13-$E13))</f>
        <v/>
      </c>
      <c r="L13" s="19">
        <f>IF('Daily Closes'!L13="","",$D13*('Daily Closes'!L13-$E13))</f>
        <v/>
      </c>
      <c r="M13" s="19">
        <f>IF('Daily Closes'!M13="","",$D13*('Daily Closes'!M13-$E13))</f>
        <v/>
      </c>
      <c r="N13" s="19">
        <f>IF('Daily Closes'!N13="","",$D13*('Daily Closes'!N13-$E13))</f>
        <v/>
      </c>
      <c r="O13" s="19">
        <f>IF('Daily Closes'!O13="","",$D13*('Daily Closes'!O13-$E13))</f>
        <v/>
      </c>
      <c r="P13" s="19">
        <f>IF('Daily Closes'!P13="","",$D13*('Daily Closes'!P13-$E13))</f>
        <v/>
      </c>
      <c r="Q13" s="19">
        <f>IF('Daily Closes'!Q13="","",$D13*('Daily Closes'!Q13-$E13))</f>
        <v/>
      </c>
      <c r="R13" s="19">
        <f>IF('Daily Closes'!R13="","",$D13*('Daily Closes'!R13-$E13))</f>
        <v/>
      </c>
      <c r="S13" s="19">
        <f>IF('Daily Closes'!S13="","",$D13*('Daily Closes'!S13-$E13))</f>
        <v/>
      </c>
      <c r="T13" s="19">
        <f>IF('Daily Closes'!T13="","",$D13*('Daily Closes'!T13-$E13))</f>
        <v/>
      </c>
      <c r="U13" s="19">
        <f>IF('Daily Closes'!U13="","",$D13*('Daily Closes'!U13-$E13))</f>
        <v/>
      </c>
      <c r="V13" s="19">
        <f>IF('Daily Closes'!V13="","",$D13*('Daily Closes'!V13-$E13))</f>
        <v/>
      </c>
      <c r="W13" s="19">
        <f>IF('Daily Closes'!W13="","",$D13*('Daily Closes'!W13-$E13))</f>
        <v/>
      </c>
      <c r="X13" s="19">
        <f>IF('Daily Closes'!X13="","",$D13*('Daily Closes'!X13-$E13))</f>
        <v/>
      </c>
      <c r="Y13" s="19">
        <f>IF('Daily Closes'!Y13="","",$D13*('Daily Closes'!Y13-$E13))</f>
        <v/>
      </c>
      <c r="Z13" s="19">
        <f>IF('Daily Closes'!Z13="","",$D13*('Daily Closes'!Z13-$E13))</f>
        <v/>
      </c>
      <c r="AA13" s="19">
        <f>IF('Daily Closes'!AA13="","",$D13*('Daily Closes'!AA13-$E13))</f>
        <v/>
      </c>
    </row>
    <row r="14">
      <c r="A14" s="50">
        <f>'Daily Closes'!A14</f>
        <v/>
      </c>
      <c r="B14" s="15">
        <f>'Daily Closes'!B14</f>
        <v/>
      </c>
      <c r="C14" s="51">
        <f>'Daily Closes'!C14</f>
        <v/>
      </c>
      <c r="D14" s="50">
        <f>'Daily Closes'!D14</f>
        <v/>
      </c>
      <c r="E14" s="17">
        <f>'Daily Closes'!E14</f>
        <v/>
      </c>
      <c r="F14" s="34" t="inlineStr">
        <is>
          <t>—</t>
        </is>
      </c>
      <c r="G14" s="19">
        <f>IF('Daily Closes'!G14="","",$D14*('Daily Closes'!G14-$E14))</f>
        <v/>
      </c>
      <c r="H14" s="19">
        <f>IF('Daily Closes'!H14="","",$D14*('Daily Closes'!H14-$E14))</f>
        <v/>
      </c>
      <c r="I14" s="19">
        <f>IF('Daily Closes'!I14="","",$D14*('Daily Closes'!I14-$E14))</f>
        <v/>
      </c>
      <c r="J14" s="19">
        <f>IF('Daily Closes'!J14="","",$D14*('Daily Closes'!J14-$E14))</f>
        <v/>
      </c>
      <c r="K14" s="19">
        <f>IF('Daily Closes'!K14="","",$D14*('Daily Closes'!K14-$E14))</f>
        <v/>
      </c>
      <c r="L14" s="19">
        <f>IF('Daily Closes'!L14="","",$D14*('Daily Closes'!L14-$E14))</f>
        <v/>
      </c>
      <c r="M14" s="19">
        <f>IF('Daily Closes'!M14="","",$D14*('Daily Closes'!M14-$E14))</f>
        <v/>
      </c>
      <c r="N14" s="19">
        <f>IF('Daily Closes'!N14="","",$D14*('Daily Closes'!N14-$E14))</f>
        <v/>
      </c>
      <c r="O14" s="19">
        <f>IF('Daily Closes'!O14="","",$D14*('Daily Closes'!O14-$E14))</f>
        <v/>
      </c>
      <c r="P14" s="19">
        <f>IF('Daily Closes'!P14="","",$D14*('Daily Closes'!P14-$E14))</f>
        <v/>
      </c>
      <c r="Q14" s="19">
        <f>IF('Daily Closes'!Q14="","",$D14*('Daily Closes'!Q14-$E14))</f>
        <v/>
      </c>
      <c r="R14" s="19">
        <f>IF('Daily Closes'!R14="","",$D14*('Daily Closes'!R14-$E14))</f>
        <v/>
      </c>
      <c r="S14" s="19">
        <f>IF('Daily Closes'!S14="","",$D14*('Daily Closes'!S14-$E14))</f>
        <v/>
      </c>
      <c r="T14" s="19">
        <f>IF('Daily Closes'!T14="","",$D14*('Daily Closes'!T14-$E14))</f>
        <v/>
      </c>
      <c r="U14" s="19">
        <f>IF('Daily Closes'!U14="","",$D14*('Daily Closes'!U14-$E14))</f>
        <v/>
      </c>
      <c r="V14" s="19">
        <f>IF('Daily Closes'!V14="","",$D14*('Daily Closes'!V14-$E14))</f>
        <v/>
      </c>
      <c r="W14" s="19">
        <f>IF('Daily Closes'!W14="","",$D14*('Daily Closes'!W14-$E14))</f>
        <v/>
      </c>
      <c r="X14" s="19">
        <f>IF('Daily Closes'!X14="","",$D14*('Daily Closes'!X14-$E14))</f>
        <v/>
      </c>
      <c r="Y14" s="19">
        <f>IF('Daily Closes'!Y14="","",$D14*('Daily Closes'!Y14-$E14))</f>
        <v/>
      </c>
      <c r="Z14" s="19">
        <f>IF('Daily Closes'!Z14="","",$D14*('Daily Closes'!Z14-$E14))</f>
        <v/>
      </c>
      <c r="AA14" s="19">
        <f>IF('Daily Closes'!AA14="","",$D14*('Daily Closes'!AA14-$E14))</f>
        <v/>
      </c>
    </row>
    <row r="15">
      <c r="A15" s="50">
        <f>'Daily Closes'!A15</f>
        <v/>
      </c>
      <c r="B15" s="15">
        <f>'Daily Closes'!B15</f>
        <v/>
      </c>
      <c r="C15" s="51">
        <f>'Daily Closes'!C15</f>
        <v/>
      </c>
      <c r="D15" s="50">
        <f>'Daily Closes'!D15</f>
        <v/>
      </c>
      <c r="E15" s="17">
        <f>'Daily Closes'!E15</f>
        <v/>
      </c>
      <c r="F15" s="34" t="inlineStr">
        <is>
          <t>—</t>
        </is>
      </c>
      <c r="G15" s="19">
        <f>IF('Daily Closes'!G15="","",$D15*('Daily Closes'!G15-$E15))</f>
        <v/>
      </c>
      <c r="H15" s="19">
        <f>IF('Daily Closes'!H15="","",$D15*('Daily Closes'!H15-$E15))</f>
        <v/>
      </c>
      <c r="I15" s="19">
        <f>IF('Daily Closes'!I15="","",$D15*('Daily Closes'!I15-$E15))</f>
        <v/>
      </c>
      <c r="J15" s="19">
        <f>IF('Daily Closes'!J15="","",$D15*('Daily Closes'!J15-$E15))</f>
        <v/>
      </c>
      <c r="K15" s="19">
        <f>IF('Daily Closes'!K15="","",$D15*('Daily Closes'!K15-$E15))</f>
        <v/>
      </c>
      <c r="L15" s="19">
        <f>IF('Daily Closes'!L15="","",$D15*('Daily Closes'!L15-$E15))</f>
        <v/>
      </c>
      <c r="M15" s="19">
        <f>IF('Daily Closes'!M15="","",$D15*('Daily Closes'!M15-$E15))</f>
        <v/>
      </c>
      <c r="N15" s="19">
        <f>IF('Daily Closes'!N15="","",$D15*('Daily Closes'!N15-$E15))</f>
        <v/>
      </c>
      <c r="O15" s="19">
        <f>IF('Daily Closes'!O15="","",$D15*('Daily Closes'!O15-$E15))</f>
        <v/>
      </c>
      <c r="P15" s="19">
        <f>IF('Daily Closes'!P15="","",$D15*('Daily Closes'!P15-$E15))</f>
        <v/>
      </c>
      <c r="Q15" s="19">
        <f>IF('Daily Closes'!Q15="","",$D15*('Daily Closes'!Q15-$E15))</f>
        <v/>
      </c>
      <c r="R15" s="19">
        <f>IF('Daily Closes'!R15="","",$D15*('Daily Closes'!R15-$E15))</f>
        <v/>
      </c>
      <c r="S15" s="19">
        <f>IF('Daily Closes'!S15="","",$D15*('Daily Closes'!S15-$E15))</f>
        <v/>
      </c>
      <c r="T15" s="19">
        <f>IF('Daily Closes'!T15="","",$D15*('Daily Closes'!T15-$E15))</f>
        <v/>
      </c>
      <c r="U15" s="19">
        <f>IF('Daily Closes'!U15="","",$D15*('Daily Closes'!U15-$E15))</f>
        <v/>
      </c>
      <c r="V15" s="19">
        <f>IF('Daily Closes'!V15="","",$D15*('Daily Closes'!V15-$E15))</f>
        <v/>
      </c>
      <c r="W15" s="19">
        <f>IF('Daily Closes'!W15="","",$D15*('Daily Closes'!W15-$E15))</f>
        <v/>
      </c>
      <c r="X15" s="19">
        <f>IF('Daily Closes'!X15="","",$D15*('Daily Closes'!X15-$E15))</f>
        <v/>
      </c>
      <c r="Y15" s="19">
        <f>IF('Daily Closes'!Y15="","",$D15*('Daily Closes'!Y15-$E15))</f>
        <v/>
      </c>
      <c r="Z15" s="19">
        <f>IF('Daily Closes'!Z15="","",$D15*('Daily Closes'!Z15-$E15))</f>
        <v/>
      </c>
      <c r="AA15" s="19">
        <f>IF('Daily Closes'!AA15="","",$D15*('Daily Closes'!AA15-$E15))</f>
        <v/>
      </c>
    </row>
    <row r="16">
      <c r="B16" s="15" t="inlineStr">
        <is>
          <t>TOTAL</t>
        </is>
      </c>
      <c r="G16" s="47">
        <f>IF(COUNT(G6:G15)=0,"",SUM(G6:G15))</f>
        <v/>
      </c>
      <c r="H16" s="47">
        <f>IF(COUNT(H6:H15)=0,"",SUM(H6:H15))</f>
        <v/>
      </c>
      <c r="I16" s="47">
        <f>IF(COUNT(I6:I15)=0,"",SUM(I6:I15))</f>
        <v/>
      </c>
      <c r="J16" s="47">
        <f>IF(COUNT(J6:J15)=0,"",SUM(J6:J15))</f>
        <v/>
      </c>
      <c r="K16" s="47">
        <f>IF(COUNT(K6:K15)=0,"",SUM(K6:K15))</f>
        <v/>
      </c>
      <c r="L16" s="47">
        <f>IF(COUNT(L6:L15)=0,"",SUM(L6:L15))</f>
        <v/>
      </c>
      <c r="M16" s="47">
        <f>IF(COUNT(M6:M15)=0,"",SUM(M6:M15))</f>
        <v/>
      </c>
      <c r="N16" s="47">
        <f>IF(COUNT(N6:N15)=0,"",SUM(N6:N15))</f>
        <v/>
      </c>
      <c r="O16" s="47">
        <f>IF(COUNT(O6:O15)=0,"",SUM(O6:O15))</f>
        <v/>
      </c>
      <c r="P16" s="47">
        <f>IF(COUNT(P6:P15)=0,"",SUM(P6:P15))</f>
        <v/>
      </c>
      <c r="Q16" s="47">
        <f>IF(COUNT(Q6:Q15)=0,"",SUM(Q6:Q15))</f>
        <v/>
      </c>
      <c r="R16" s="47">
        <f>IF(COUNT(R6:R15)=0,"",SUM(R6:R15))</f>
        <v/>
      </c>
      <c r="S16" s="47">
        <f>IF(COUNT(S6:S15)=0,"",SUM(S6:S15))</f>
        <v/>
      </c>
      <c r="T16" s="47">
        <f>IF(COUNT(T6:T15)=0,"",SUM(T6:T15))</f>
        <v/>
      </c>
      <c r="U16" s="47">
        <f>IF(COUNT(U6:U15)=0,"",SUM(U6:U15))</f>
        <v/>
      </c>
      <c r="V16" s="47">
        <f>IF(COUNT(V6:V15)=0,"",SUM(V6:V15))</f>
        <v/>
      </c>
      <c r="W16" s="47">
        <f>IF(COUNT(W6:W15)=0,"",SUM(W6:W15))</f>
        <v/>
      </c>
      <c r="X16" s="47">
        <f>IF(COUNT(X6:X15)=0,"",SUM(X6:X15))</f>
        <v/>
      </c>
      <c r="Y16" s="47">
        <f>IF(COUNT(Y6:Y15)=0,"",SUM(Y6:Y15))</f>
        <v/>
      </c>
      <c r="Z16" s="47">
        <f>IF(COUNT(Z6:Z15)=0,"",SUM(Z6:Z15))</f>
        <v/>
      </c>
      <c r="AA16" s="47">
        <f>IF(COUNT(AA6:AA15)=0,"",SUM(AA6:AA15))</f>
        <v/>
      </c>
    </row>
  </sheetData>
  <mergeCells count="2">
    <mergeCell ref="A1:AA1"/>
    <mergeCell ref="A2:AA2"/>
  </mergeCells>
  <conditionalFormatting sqref="G6:AA16">
    <cfRule type="cellIs" priority="1" operator="greaterThan" dxfId="4">
      <formula>0</formula>
    </cfRule>
    <cfRule type="cellIs" priority="2" operator="lessThan" dxfId="5">
      <formula>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8" customWidth="1" min="4" max="4"/>
    <col width="14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 ht="30" customHeight="1">
      <c r="A1" s="1" t="inlineStr">
        <is>
          <t>Portfolio Path — Day by Day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Value, P&amp;L, return, drawdown and Nifty 50 comparison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4" t="inlineStr">
        <is>
          <t>Day</t>
        </is>
      </c>
      <c r="B4" s="14" t="inlineStr">
        <is>
          <t>Date</t>
        </is>
      </c>
      <c r="C4" s="14" t="inlineStr">
        <is>
          <t>Status</t>
        </is>
      </c>
      <c r="D4" s="14" t="inlineStr">
        <is>
          <t>Portfolio Value ₹</t>
        </is>
      </c>
      <c r="E4" s="14" t="inlineStr">
        <is>
          <t>P&amp;L ₹</t>
        </is>
      </c>
      <c r="F4" s="14" t="inlineStr">
        <is>
          <t>Return %</t>
        </is>
      </c>
      <c r="G4" s="14" t="inlineStr">
        <is>
          <t>Daily %</t>
        </is>
      </c>
      <c r="H4" s="14" t="inlineStr">
        <is>
          <t>Drawdown %</t>
        </is>
      </c>
      <c r="I4" s="14" t="inlineStr">
        <is>
          <t>Nifty 50 %</t>
        </is>
      </c>
    </row>
    <row r="5">
      <c r="A5" s="52" t="n">
        <v>0</v>
      </c>
      <c r="B5" s="34" t="inlineStr">
        <is>
          <t>2026-10-29</t>
        </is>
      </c>
      <c r="C5" s="51" t="inlineStr">
        <is>
          <t>Signal</t>
        </is>
      </c>
      <c r="D5" s="19" t="n">
        <v>136261.05</v>
      </c>
      <c r="E5" s="19" t="n">
        <v>0</v>
      </c>
      <c r="F5" s="18" t="n">
        <v>0</v>
      </c>
      <c r="G5" s="18" t="n"/>
      <c r="H5" s="18" t="n"/>
      <c r="I5" s="18" t="n">
        <v>0</v>
      </c>
    </row>
    <row r="6">
      <c r="A6" s="53" t="n">
        <v>1</v>
      </c>
      <c r="B6" s="54" t="inlineStr">
        <is>
          <t>2026-10-30</t>
        </is>
      </c>
      <c r="C6" s="55" t="inlineStr">
        <is>
          <t>Entry</t>
        </is>
      </c>
      <c r="D6" s="56" t="n">
        <v>134486.75</v>
      </c>
      <c r="E6" s="56" t="n">
        <v>-2297.05</v>
      </c>
      <c r="F6" s="57" t="n">
        <v>-0.016793</v>
      </c>
      <c r="G6" s="57" t="n"/>
      <c r="H6" s="57" t="n">
        <v>0</v>
      </c>
      <c r="I6" s="57" t="n">
        <v>0.005073</v>
      </c>
    </row>
    <row r="7">
      <c r="A7" s="58" t="n">
        <v>2</v>
      </c>
      <c r="B7" s="59" t="inlineStr">
        <is>
          <t>2026-11-02</t>
        </is>
      </c>
      <c r="C7" s="60" t="inlineStr">
        <is>
          <t>Hold (upcoming)</t>
        </is>
      </c>
      <c r="D7" s="61" t="n"/>
      <c r="E7" s="61" t="n"/>
      <c r="F7" s="62" t="n"/>
      <c r="G7" s="62" t="n"/>
      <c r="H7" s="62" t="n"/>
      <c r="I7" s="62" t="n"/>
    </row>
    <row r="8">
      <c r="A8" s="58" t="n">
        <v>3</v>
      </c>
      <c r="B8" s="59" t="inlineStr">
        <is>
          <t>2026-11-03</t>
        </is>
      </c>
      <c r="C8" s="60" t="inlineStr">
        <is>
          <t>Hold (upcoming)</t>
        </is>
      </c>
      <c r="D8" s="61" t="n"/>
      <c r="E8" s="61" t="n"/>
      <c r="F8" s="62" t="n"/>
      <c r="G8" s="62" t="n"/>
      <c r="H8" s="62" t="n"/>
      <c r="I8" s="62" t="n"/>
    </row>
    <row r="9">
      <c r="A9" s="58" t="n">
        <v>4</v>
      </c>
      <c r="B9" s="59" t="inlineStr">
        <is>
          <t>2026-11-04</t>
        </is>
      </c>
      <c r="C9" s="60" t="inlineStr">
        <is>
          <t>Hold (upcoming)</t>
        </is>
      </c>
      <c r="D9" s="61" t="n"/>
      <c r="E9" s="61" t="n"/>
      <c r="F9" s="62" t="n"/>
      <c r="G9" s="62" t="n"/>
      <c r="H9" s="62" t="n"/>
      <c r="I9" s="62" t="n"/>
    </row>
    <row r="10">
      <c r="A10" s="58" t="n">
        <v>5</v>
      </c>
      <c r="B10" s="59" t="inlineStr">
        <is>
          <t>2026-11-05</t>
        </is>
      </c>
      <c r="C10" s="60" t="inlineStr">
        <is>
          <t>Hold (upcoming)</t>
        </is>
      </c>
      <c r="D10" s="61" t="n"/>
      <c r="E10" s="61" t="n"/>
      <c r="F10" s="62" t="n"/>
      <c r="G10" s="62" t="n"/>
      <c r="H10" s="62" t="n"/>
      <c r="I10" s="62" t="n"/>
    </row>
    <row r="11">
      <c r="A11" s="58" t="n">
        <v>6</v>
      </c>
      <c r="B11" s="59" t="inlineStr">
        <is>
          <t>2026-11-06</t>
        </is>
      </c>
      <c r="C11" s="60" t="inlineStr">
        <is>
          <t>Hold (upcoming)</t>
        </is>
      </c>
      <c r="D11" s="61" t="n"/>
      <c r="E11" s="61" t="n"/>
      <c r="F11" s="62" t="n"/>
      <c r="G11" s="62" t="n"/>
      <c r="H11" s="62" t="n"/>
      <c r="I11" s="62" t="n"/>
    </row>
    <row r="12">
      <c r="A12" s="58" t="n">
        <v>7</v>
      </c>
      <c r="B12" s="59" t="inlineStr">
        <is>
          <t>2026-11-09</t>
        </is>
      </c>
      <c r="C12" s="60" t="inlineStr">
        <is>
          <t>Hold (upcoming)</t>
        </is>
      </c>
      <c r="D12" s="61" t="n"/>
      <c r="E12" s="61" t="n"/>
      <c r="F12" s="62" t="n"/>
      <c r="G12" s="62" t="n"/>
      <c r="H12" s="62" t="n"/>
      <c r="I12" s="62" t="n"/>
    </row>
    <row r="13">
      <c r="A13" s="58" t="n">
        <v>8</v>
      </c>
      <c r="B13" s="59" t="inlineStr">
        <is>
          <t>2026-11-11</t>
        </is>
      </c>
      <c r="C13" s="60" t="inlineStr">
        <is>
          <t>Hold (upcoming)</t>
        </is>
      </c>
      <c r="D13" s="61" t="n"/>
      <c r="E13" s="61" t="n"/>
      <c r="F13" s="62" t="n"/>
      <c r="G13" s="62" t="n"/>
      <c r="H13" s="62" t="n"/>
      <c r="I13" s="62" t="n"/>
    </row>
    <row r="14">
      <c r="A14" s="58" t="n">
        <v>9</v>
      </c>
      <c r="B14" s="59" t="inlineStr">
        <is>
          <t>2026-11-12</t>
        </is>
      </c>
      <c r="C14" s="60" t="inlineStr">
        <is>
          <t>Hold (upcoming)</t>
        </is>
      </c>
      <c r="D14" s="61" t="n"/>
      <c r="E14" s="61" t="n"/>
      <c r="F14" s="62" t="n"/>
      <c r="G14" s="62" t="n"/>
      <c r="H14" s="62" t="n"/>
      <c r="I14" s="62" t="n"/>
    </row>
    <row r="15">
      <c r="A15" s="58" t="n">
        <v>10</v>
      </c>
      <c r="B15" s="59" t="inlineStr">
        <is>
          <t>2026-11-13</t>
        </is>
      </c>
      <c r="C15" s="60" t="inlineStr">
        <is>
          <t>Hold (upcoming)</t>
        </is>
      </c>
      <c r="D15" s="61" t="n"/>
      <c r="E15" s="61" t="n"/>
      <c r="F15" s="62" t="n"/>
      <c r="G15" s="62" t="n"/>
      <c r="H15" s="62" t="n"/>
      <c r="I15" s="62" t="n"/>
    </row>
    <row r="16">
      <c r="A16" s="58" t="n">
        <v>11</v>
      </c>
      <c r="B16" s="59" t="inlineStr">
        <is>
          <t>2026-11-16</t>
        </is>
      </c>
      <c r="C16" s="60" t="inlineStr">
        <is>
          <t>Hold (upcoming)</t>
        </is>
      </c>
      <c r="D16" s="61" t="n"/>
      <c r="E16" s="61" t="n"/>
      <c r="F16" s="62" t="n"/>
      <c r="G16" s="62" t="n"/>
      <c r="H16" s="62" t="n"/>
      <c r="I16" s="62" t="n"/>
    </row>
    <row r="17">
      <c r="A17" s="58" t="n">
        <v>12</v>
      </c>
      <c r="B17" s="59" t="inlineStr">
        <is>
          <t>2026-11-17</t>
        </is>
      </c>
      <c r="C17" s="60" t="inlineStr">
        <is>
          <t>Hold (upcoming)</t>
        </is>
      </c>
      <c r="D17" s="61" t="n"/>
      <c r="E17" s="61" t="n"/>
      <c r="F17" s="62" t="n"/>
      <c r="G17" s="62" t="n"/>
      <c r="H17" s="62" t="n"/>
      <c r="I17" s="62" t="n"/>
    </row>
    <row r="18">
      <c r="A18" s="58" t="n">
        <v>13</v>
      </c>
      <c r="B18" s="59" t="inlineStr">
        <is>
          <t>2026-11-18</t>
        </is>
      </c>
      <c r="C18" s="60" t="inlineStr">
        <is>
          <t>Hold (upcoming)</t>
        </is>
      </c>
      <c r="D18" s="61" t="n"/>
      <c r="E18" s="61" t="n"/>
      <c r="F18" s="62" t="n"/>
      <c r="G18" s="62" t="n"/>
      <c r="H18" s="62" t="n"/>
      <c r="I18" s="62" t="n"/>
    </row>
    <row r="19">
      <c r="A19" s="58" t="n">
        <v>14</v>
      </c>
      <c r="B19" s="59" t="inlineStr">
        <is>
          <t>2026-11-19</t>
        </is>
      </c>
      <c r="C19" s="60" t="inlineStr">
        <is>
          <t>Hold (upcoming)</t>
        </is>
      </c>
      <c r="D19" s="61" t="n"/>
      <c r="E19" s="61" t="n"/>
      <c r="F19" s="62" t="n"/>
      <c r="G19" s="62" t="n"/>
      <c r="H19" s="62" t="n"/>
      <c r="I19" s="62" t="n"/>
    </row>
    <row r="20">
      <c r="A20" s="58" t="n">
        <v>15</v>
      </c>
      <c r="B20" s="59" t="inlineStr">
        <is>
          <t>2026-11-20</t>
        </is>
      </c>
      <c r="C20" s="60" t="inlineStr">
        <is>
          <t>Hold (upcoming)</t>
        </is>
      </c>
      <c r="D20" s="61" t="n"/>
      <c r="E20" s="61" t="n"/>
      <c r="F20" s="62" t="n"/>
      <c r="G20" s="62" t="n"/>
      <c r="H20" s="62" t="n"/>
      <c r="I20" s="62" t="n"/>
    </row>
    <row r="21">
      <c r="A21" s="58" t="n">
        <v>16</v>
      </c>
      <c r="B21" s="59" t="inlineStr">
        <is>
          <t>2026-11-23</t>
        </is>
      </c>
      <c r="C21" s="60" t="inlineStr">
        <is>
          <t>Hold (upcoming)</t>
        </is>
      </c>
      <c r="D21" s="61" t="n"/>
      <c r="E21" s="61" t="n"/>
      <c r="F21" s="62" t="n"/>
      <c r="G21" s="62" t="n"/>
      <c r="H21" s="62" t="n"/>
      <c r="I21" s="62" t="n"/>
    </row>
    <row r="22">
      <c r="A22" s="58" t="n">
        <v>17</v>
      </c>
      <c r="B22" s="59" t="inlineStr">
        <is>
          <t>2026-11-25</t>
        </is>
      </c>
      <c r="C22" s="60" t="inlineStr">
        <is>
          <t>Hold (upcoming)</t>
        </is>
      </c>
      <c r="D22" s="61" t="n"/>
      <c r="E22" s="61" t="n"/>
      <c r="F22" s="62" t="n"/>
      <c r="G22" s="62" t="n"/>
      <c r="H22" s="62" t="n"/>
      <c r="I22" s="62" t="n"/>
    </row>
    <row r="23">
      <c r="A23" s="58" t="n">
        <v>18</v>
      </c>
      <c r="B23" s="59" t="inlineStr">
        <is>
          <t>2026-11-26</t>
        </is>
      </c>
      <c r="C23" s="60" t="inlineStr">
        <is>
          <t>Hold (upcoming)</t>
        </is>
      </c>
      <c r="D23" s="61" t="n"/>
      <c r="E23" s="61" t="n"/>
      <c r="F23" s="62" t="n"/>
      <c r="G23" s="62" t="n"/>
      <c r="H23" s="62" t="n"/>
      <c r="I23" s="62" t="n"/>
    </row>
    <row r="24">
      <c r="A24" s="58" t="n">
        <v>19</v>
      </c>
      <c r="B24" s="59" t="inlineStr">
        <is>
          <t>2026-11-27</t>
        </is>
      </c>
      <c r="C24" s="60" t="inlineStr">
        <is>
          <t>Hold (upcoming)</t>
        </is>
      </c>
      <c r="D24" s="61" t="n"/>
      <c r="E24" s="61" t="n"/>
      <c r="F24" s="62" t="n"/>
      <c r="G24" s="62" t="n"/>
      <c r="H24" s="62" t="n"/>
      <c r="I24" s="62" t="n"/>
    </row>
    <row r="25">
      <c r="A25" s="58" t="n">
        <v>20</v>
      </c>
      <c r="B25" s="59" t="inlineStr">
        <is>
          <t>2026-11-30</t>
        </is>
      </c>
      <c r="C25" s="60" t="inlineStr">
        <is>
          <t>Exit reminder (upcoming)</t>
        </is>
      </c>
      <c r="D25" s="61" t="n"/>
      <c r="E25" s="61" t="n"/>
      <c r="F25" s="62" t="n"/>
      <c r="G25" s="62" t="n"/>
      <c r="H25" s="62" t="n"/>
      <c r="I25" s="62" t="n"/>
    </row>
    <row r="26">
      <c r="A26" s="58" t="n">
        <v>21</v>
      </c>
      <c r="B26" s="59" t="inlineStr">
        <is>
          <t>2026-12-01</t>
        </is>
      </c>
      <c r="C26" s="60" t="inlineStr">
        <is>
          <t>Exit (upcoming)</t>
        </is>
      </c>
      <c r="D26" s="61" t="n"/>
      <c r="E26" s="61" t="n"/>
      <c r="F26" s="62" t="n"/>
      <c r="G26" s="62" t="n"/>
      <c r="H26" s="62" t="n"/>
      <c r="I26" s="62" t="n"/>
    </row>
  </sheetData>
  <mergeCells count="2">
    <mergeCell ref="A1:I1"/>
    <mergeCell ref="A2:I2"/>
  </mergeCells>
  <conditionalFormatting sqref="E5:I26">
    <cfRule type="cellIs" priority="1" operator="greaterThan" dxfId="4">
      <formula>0</formula>
    </cfRule>
    <cfRule type="cellIs" priority="2" operator="lessThan" dxfId="5">
      <formula>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P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1" t="inlineStr">
        <is>
          <t>Batch Details (from SwingScope HTML)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SwingScope batch 2026-10-29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21" t="inlineStr">
        <is>
          <t>Batch ID</t>
        </is>
      </c>
      <c r="C4" s="51" t="inlineStr">
        <is>
          <t>2026-10-29</t>
        </is>
      </c>
      <c r="D4" s="63" t="n"/>
      <c r="E4" s="63" t="n"/>
      <c r="F4" s="63" t="n"/>
      <c r="G4" s="63" t="n"/>
      <c r="H4" s="64" t="n"/>
    </row>
    <row r="5">
      <c r="B5" s="21" t="inlineStr">
        <is>
          <t>Signal date (Day 0)</t>
        </is>
      </c>
      <c r="C5" s="51" t="inlineStr">
        <is>
          <t>2026-10-29</t>
        </is>
      </c>
      <c r="D5" s="63" t="n"/>
      <c r="E5" s="63" t="n"/>
      <c r="F5" s="63" t="n"/>
      <c r="G5" s="63" t="n"/>
      <c r="H5" s="64" t="n"/>
    </row>
    <row r="6">
      <c r="B6" s="21" t="inlineStr">
        <is>
          <t>Exit (HTML estimate)</t>
        </is>
      </c>
      <c r="C6" s="51" t="inlineStr">
        <is>
          <t>2026-12-01</t>
        </is>
      </c>
      <c r="D6" s="63" t="n"/>
      <c r="E6" s="63" t="n"/>
      <c r="F6" s="63" t="n"/>
      <c r="G6" s="63" t="n"/>
      <c r="H6" s="64" t="n"/>
    </row>
    <row r="7">
      <c r="B7" s="21" t="inlineStr">
        <is>
          <t>Exit (projected, NSE calendar)</t>
        </is>
      </c>
      <c r="C7" s="51" t="inlineStr">
        <is>
          <t>2026-12-01</t>
        </is>
      </c>
      <c r="D7" s="63" t="n"/>
      <c r="E7" s="63" t="n"/>
      <c r="F7" s="63" t="n"/>
      <c r="G7" s="63" t="n"/>
      <c r="H7" s="64" t="n"/>
    </row>
    <row r="8">
      <c r="B8" s="21" t="inlineStr">
        <is>
          <t>Hold</t>
        </is>
      </c>
      <c r="C8" s="51" t="inlineStr">
        <is>
          <t>21 sessions — no stop, no target</t>
        </is>
      </c>
      <c r="D8" s="63" t="n"/>
      <c r="E8" s="63" t="n"/>
      <c r="F8" s="63" t="n"/>
      <c r="G8" s="63" t="n"/>
      <c r="H8" s="64" t="n"/>
    </row>
    <row r="9">
      <c r="B9" s="21" t="inlineStr">
        <is>
          <t>Universe</t>
        </is>
      </c>
      <c r="C9" s="51" t="inlineStr">
        <is>
          <t>liquidity top 400 of all NSE stocks</t>
        </is>
      </c>
      <c r="D9" s="63" t="n"/>
      <c r="E9" s="63" t="n"/>
      <c r="F9" s="63" t="n"/>
      <c r="G9" s="63" t="n"/>
      <c r="H9" s="64" t="n"/>
    </row>
    <row r="10">
      <c r="B10" s="21" t="inlineStr">
        <is>
          <t>Capital committed (at signal close)</t>
        </is>
      </c>
      <c r="C10" s="65" t="n">
        <v>136261</v>
      </c>
      <c r="D10" s="63" t="n"/>
      <c r="E10" s="63" t="n"/>
      <c r="F10" s="63" t="n"/>
      <c r="G10" s="63" t="n"/>
      <c r="H10" s="64" t="n"/>
    </row>
    <row r="11">
      <c r="B11" s="21" t="inlineStr">
        <is>
          <t>Estimated costs</t>
        </is>
      </c>
      <c r="C11" s="51" t="n"/>
      <c r="D11" s="63" t="n"/>
      <c r="E11" s="63" t="n"/>
      <c r="F11" s="63" t="n"/>
      <c r="G11" s="63" t="n"/>
      <c r="H11" s="64" t="n"/>
    </row>
    <row r="12">
      <c r="B12" s="21" t="inlineStr">
        <is>
          <t>Cost %</t>
        </is>
      </c>
      <c r="C12" s="51" t="inlineStr">
        <is>
          <t>0.6%</t>
        </is>
      </c>
      <c r="D12" s="63" t="n"/>
      <c r="E12" s="63" t="n"/>
      <c r="F12" s="63" t="n"/>
      <c r="G12" s="63" t="n"/>
      <c r="H12" s="64" t="n"/>
    </row>
    <row r="13">
      <c r="B13" s="21" t="inlineStr">
        <is>
          <t>Market regime</t>
        </is>
      </c>
      <c r="C13" s="51" t="inlineStr">
        <is>
          <t>Down — the signal's weakest regime historically</t>
        </is>
      </c>
      <c r="D13" s="63" t="n"/>
      <c r="E13" s="63" t="n"/>
      <c r="F13" s="63" t="n"/>
      <c r="G13" s="63" t="n"/>
      <c r="H13" s="64" t="n"/>
    </row>
    <row r="14">
      <c r="B14" s="21" t="inlineStr">
        <is>
          <t>Stocks with a warning</t>
        </is>
      </c>
      <c r="C14" s="51" t="inlineStr">
        <is>
          <t>5 of 10</t>
        </is>
      </c>
      <c r="D14" s="63" t="n"/>
      <c r="E14" s="63" t="n"/>
      <c r="F14" s="63" t="n"/>
      <c r="G14" s="63" t="n"/>
      <c r="H14" s="64" t="n"/>
    </row>
    <row r="17">
      <c r="B17" s="14" t="inlineStr">
        <is>
          <t>#</t>
        </is>
      </c>
      <c r="C17" s="14" t="inlineStr">
        <is>
          <t>Symbol</t>
        </is>
      </c>
      <c r="D17" s="14" t="inlineStr">
        <is>
          <t>ISIN</t>
        </is>
      </c>
      <c r="E17" s="14" t="inlineStr">
        <is>
          <t>Qty</t>
        </is>
      </c>
      <c r="F17" s="14" t="inlineStr">
        <is>
          <t>Signal close</t>
        </is>
      </c>
      <c r="G17" s="14" t="inlineStr">
        <is>
          <t>Amount</t>
        </is>
      </c>
      <c r="H17" s="14" t="inlineStr">
        <is>
          <t>12-1 %</t>
        </is>
      </c>
      <c r="I17" s="14" t="inlineStr">
        <is>
          <t>6-1 %</t>
        </is>
      </c>
      <c r="J17" s="14" t="inlineStr">
        <is>
          <t>3-1 %</t>
        </is>
      </c>
      <c r="K17" s="14" t="inlineStr">
        <is>
          <t>Vol %</t>
        </is>
      </c>
      <c r="L17" s="14" t="inlineStr">
        <is>
          <t>Traded daily (cr)</t>
        </is>
      </c>
      <c r="M17" s="14" t="inlineStr">
        <is>
          <t>From 12m high %</t>
        </is>
      </c>
      <c r="N17" s="14" t="inlineStr">
        <is>
          <t>Signal rank</t>
        </is>
      </c>
      <c r="O17" s="14" t="inlineStr">
        <is>
          <t>Data quality</t>
        </is>
      </c>
      <c r="P17" s="14" t="inlineStr">
        <is>
          <t>Watch</t>
        </is>
      </c>
    </row>
    <row r="18">
      <c r="B18" s="50" t="n">
        <v>1</v>
      </c>
      <c r="C18" s="51" t="inlineStr">
        <is>
          <t>AEROFLEX</t>
        </is>
      </c>
      <c r="D18" s="51" t="inlineStr">
        <is>
          <t>INE024001021</t>
        </is>
      </c>
      <c r="E18" s="50" t="n">
        <v>29</v>
      </c>
      <c r="F18" s="17" t="n">
        <v>538.35</v>
      </c>
      <c r="G18" s="17" t="n">
        <v>15612</v>
      </c>
      <c r="H18" s="50" t="n">
        <v>207</v>
      </c>
      <c r="I18" s="50" t="n">
        <v>75.2</v>
      </c>
      <c r="J18" s="50" t="n">
        <v>13.9</v>
      </c>
      <c r="K18" s="50" t="n">
        <v>70.5</v>
      </c>
      <c r="L18" s="50" t="n">
        <v>64</v>
      </c>
      <c r="M18" s="50" t="n">
        <v>-6.1</v>
      </c>
      <c r="N18" s="50" t="n">
        <v>7</v>
      </c>
      <c r="O18" s="51" t="inlineStr">
        <is>
          <t>Green</t>
        </is>
      </c>
      <c r="P18" s="51" t="inlineStr">
        <is>
          <t>Nothing flagged</t>
        </is>
      </c>
    </row>
    <row r="19">
      <c r="B19" s="50" t="n">
        <v>2</v>
      </c>
      <c r="C19" s="51" t="inlineStr">
        <is>
          <t>CPPLUS</t>
        </is>
      </c>
      <c r="D19" s="51" t="inlineStr">
        <is>
          <t>INE819V01029</t>
        </is>
      </c>
      <c r="E19" s="50" t="n">
        <v>3</v>
      </c>
      <c r="F19" s="17" t="n">
        <v>3951.7</v>
      </c>
      <c r="G19" s="17" t="n">
        <v>11855</v>
      </c>
      <c r="H19" s="50" t="n">
        <v>162</v>
      </c>
      <c r="I19" s="50" t="n">
        <v>61.4</v>
      </c>
      <c r="J19" s="50" t="n">
        <v>8.699999999999999</v>
      </c>
      <c r="K19" s="50" t="n">
        <v>45.4</v>
      </c>
      <c r="L19" s="50" t="n">
        <v>89</v>
      </c>
      <c r="M19" s="50" t="n">
        <v>-11</v>
      </c>
      <c r="N19" s="50" t="n">
        <v>10</v>
      </c>
      <c r="O19" s="51" t="inlineStr">
        <is>
          <t>Green</t>
        </is>
      </c>
      <c r="P19" s="51" t="inlineStr">
        <is>
          <t>Nothing flagged</t>
        </is>
      </c>
    </row>
    <row r="20">
      <c r="B20" s="50" t="n">
        <v>3</v>
      </c>
      <c r="C20" s="51" t="inlineStr">
        <is>
          <t>THANGAMAYL</t>
        </is>
      </c>
      <c r="D20" s="51" t="inlineStr">
        <is>
          <t>INE085J01014</t>
        </is>
      </c>
      <c r="E20" s="50" t="n">
        <v>2</v>
      </c>
      <c r="F20" s="17" t="n">
        <v>4630.5</v>
      </c>
      <c r="G20" s="17" t="n">
        <v>9261</v>
      </c>
      <c r="H20" s="50" t="n">
        <v>155</v>
      </c>
      <c r="I20" s="50" t="n">
        <v>26.3</v>
      </c>
      <c r="J20" s="50" t="n">
        <v>-22.3</v>
      </c>
      <c r="K20" s="50" t="n">
        <v>58.1</v>
      </c>
      <c r="L20" s="50" t="n">
        <v>37</v>
      </c>
      <c r="M20" s="50" t="n">
        <v>-36.7</v>
      </c>
      <c r="N20" s="50" t="n">
        <v>11</v>
      </c>
      <c r="O20" s="51" t="inlineStr">
        <is>
          <t>Green</t>
        </is>
      </c>
      <c r="P20" s="51" t="inlineStr">
        <is>
          <t>Results expected 2026-11-04 (inside the hold)</t>
        </is>
      </c>
    </row>
    <row r="21">
      <c r="B21" s="50" t="n">
        <v>4</v>
      </c>
      <c r="C21" s="51" t="inlineStr">
        <is>
          <t>KIRLOSENG</t>
        </is>
      </c>
      <c r="D21" s="51" t="inlineStr">
        <is>
          <t>INE146L01010</t>
        </is>
      </c>
      <c r="E21" s="50" t="n">
        <v>7</v>
      </c>
      <c r="F21" s="17" t="n">
        <v>1890.3</v>
      </c>
      <c r="G21" s="17" t="n">
        <v>13232</v>
      </c>
      <c r="H21" s="50" t="n">
        <v>143</v>
      </c>
      <c r="I21" s="50" t="n">
        <v>24.2</v>
      </c>
      <c r="J21" s="50" t="n">
        <v>-1.8</v>
      </c>
      <c r="K21" s="50" t="n">
        <v>51.9</v>
      </c>
      <c r="L21" s="50" t="n">
        <v>82</v>
      </c>
      <c r="M21" s="50" t="n">
        <v>-26.3</v>
      </c>
      <c r="N21" s="50" t="n">
        <v>13</v>
      </c>
      <c r="O21" s="51" t="inlineStr">
        <is>
          <t>Green</t>
        </is>
      </c>
      <c r="P21" s="51" t="inlineStr">
        <is>
          <t>Results expected 2026-11-04 (inside the hold)</t>
        </is>
      </c>
    </row>
    <row r="22">
      <c r="B22" s="50" t="n">
        <v>5</v>
      </c>
      <c r="C22" s="51" t="inlineStr">
        <is>
          <t>SMLMAH</t>
        </is>
      </c>
      <c r="D22" s="51" t="inlineStr">
        <is>
          <t>INE294B01019</t>
        </is>
      </c>
      <c r="E22" s="50" t="n">
        <v>3</v>
      </c>
      <c r="F22" s="17" t="n">
        <v>4848</v>
      </c>
      <c r="G22" s="17" t="n">
        <v>14544</v>
      </c>
      <c r="H22" s="50" t="n">
        <v>132</v>
      </c>
      <c r="I22" s="50" t="n">
        <v>68.2</v>
      </c>
      <c r="J22" s="50" t="n">
        <v>42.7</v>
      </c>
      <c r="K22" s="50" t="n">
        <v>62.4</v>
      </c>
      <c r="L22" s="50" t="n">
        <v>38</v>
      </c>
      <c r="M22" s="50" t="n">
        <v>-29</v>
      </c>
      <c r="N22" s="50" t="n">
        <v>15</v>
      </c>
      <c r="O22" s="51" t="inlineStr">
        <is>
          <t>Green</t>
        </is>
      </c>
      <c r="P22" s="51" t="inlineStr">
        <is>
          <t>Nothing flagged</t>
        </is>
      </c>
    </row>
    <row r="23">
      <c r="B23" s="50" t="n">
        <v>6</v>
      </c>
      <c r="C23" s="51" t="inlineStr">
        <is>
          <t>AETHER</t>
        </is>
      </c>
      <c r="D23" s="51" t="inlineStr">
        <is>
          <t>INE0BWX01014</t>
        </is>
      </c>
      <c r="E23" s="50" t="n">
        <v>9</v>
      </c>
      <c r="F23" s="17" t="n">
        <v>1581</v>
      </c>
      <c r="G23" s="17" t="n">
        <v>14229</v>
      </c>
      <c r="H23" s="50" t="n">
        <v>132</v>
      </c>
      <c r="I23" s="50" t="n">
        <v>48.6</v>
      </c>
      <c r="J23" s="50" t="n">
        <v>16.7</v>
      </c>
      <c r="K23" s="50" t="n">
        <v>39.6</v>
      </c>
      <c r="L23" s="50" t="n">
        <v>39</v>
      </c>
      <c r="M23" s="50" t="n">
        <v>-12.2</v>
      </c>
      <c r="N23" s="50" t="n">
        <v>16</v>
      </c>
      <c r="O23" s="51" t="inlineStr">
        <is>
          <t>Green</t>
        </is>
      </c>
      <c r="P23" s="51" t="inlineStr">
        <is>
          <t>Results expected 2026-10-30 (inside the hold)</t>
        </is>
      </c>
    </row>
    <row r="24">
      <c r="B24" s="50" t="n">
        <v>7</v>
      </c>
      <c r="C24" s="51" t="inlineStr">
        <is>
          <t>SBC</t>
        </is>
      </c>
      <c r="D24" s="51" t="inlineStr">
        <is>
          <t>INE04AK01028</t>
        </is>
      </c>
      <c r="E24" s="50" t="n">
        <v>225</v>
      </c>
      <c r="F24" s="17" t="n">
        <v>66.52</v>
      </c>
      <c r="G24" s="17" t="n">
        <v>14967</v>
      </c>
      <c r="H24" s="50" t="n">
        <v>132</v>
      </c>
      <c r="I24" s="50" t="n">
        <v>60.3</v>
      </c>
      <c r="J24" s="50" t="n">
        <v>27.2</v>
      </c>
      <c r="K24" s="50" t="n">
        <v>35.6</v>
      </c>
      <c r="L24" s="50" t="n">
        <v>48</v>
      </c>
      <c r="M24" s="50" t="n">
        <v>0</v>
      </c>
      <c r="N24" s="50" t="n">
        <v>17</v>
      </c>
      <c r="O24" s="51" t="inlineStr">
        <is>
          <t>Green</t>
        </is>
      </c>
      <c r="P24" s="51" t="inlineStr">
        <is>
          <t>Nothing flagged</t>
        </is>
      </c>
    </row>
    <row r="25">
      <c r="B25" s="50" t="n">
        <v>8</v>
      </c>
      <c r="C25" s="51" t="inlineStr">
        <is>
          <t>SYRMA</t>
        </is>
      </c>
      <c r="D25" s="51" t="inlineStr">
        <is>
          <t>INE0DYJ01015</t>
        </is>
      </c>
      <c r="E25" s="50" t="n">
        <v>8</v>
      </c>
      <c r="F25" s="17" t="n">
        <v>1669</v>
      </c>
      <c r="G25" s="17" t="n">
        <v>13352</v>
      </c>
      <c r="H25" s="50" t="n">
        <v>124</v>
      </c>
      <c r="I25" s="50" t="n">
        <v>79.8</v>
      </c>
      <c r="J25" s="50" t="n">
        <v>30</v>
      </c>
      <c r="K25" s="50" t="n">
        <v>45.6</v>
      </c>
      <c r="L25" s="50" t="n">
        <v>168</v>
      </c>
      <c r="M25" s="50" t="n">
        <v>-6.4</v>
      </c>
      <c r="N25" s="50" t="n">
        <v>19</v>
      </c>
      <c r="O25" s="51" t="inlineStr">
        <is>
          <t>Green</t>
        </is>
      </c>
      <c r="P25" s="51" t="inlineStr">
        <is>
          <t>Results expected 2026-10-30 (inside the hold)</t>
        </is>
      </c>
    </row>
    <row r="26">
      <c r="B26" s="50" t="n">
        <v>9</v>
      </c>
      <c r="C26" s="51" t="inlineStr">
        <is>
          <t>TDPOWERSYS</t>
        </is>
      </c>
      <c r="D26" s="51" t="inlineStr">
        <is>
          <t>INE419M01035</t>
        </is>
      </c>
      <c r="E26" s="50" t="n">
        <v>20</v>
      </c>
      <c r="F26" s="17" t="n">
        <v>719.45</v>
      </c>
      <c r="G26" s="17" t="n">
        <v>14389</v>
      </c>
      <c r="H26" s="50" t="n">
        <v>124</v>
      </c>
      <c r="I26" s="50" t="n">
        <v>26.1</v>
      </c>
      <c r="J26" s="50" t="n">
        <v>39.4</v>
      </c>
      <c r="K26" s="50" t="n">
        <v>62.6</v>
      </c>
      <c r="L26" s="50" t="n">
        <v>176</v>
      </c>
      <c r="M26" s="50" t="n">
        <v>-12.9</v>
      </c>
      <c r="N26" s="50" t="n">
        <v>20</v>
      </c>
      <c r="O26" s="51" t="inlineStr">
        <is>
          <t>Green</t>
        </is>
      </c>
      <c r="P26" s="51" t="inlineStr">
        <is>
          <t>Nothing flagged</t>
        </is>
      </c>
    </row>
    <row r="27">
      <c r="B27" s="50" t="n">
        <v>10</v>
      </c>
      <c r="C27" s="51" t="inlineStr">
        <is>
          <t>RATNAVEER</t>
        </is>
      </c>
      <c r="D27" s="51" t="inlineStr">
        <is>
          <t>INE05CZ01011</t>
        </is>
      </c>
      <c r="E27" s="50" t="n">
        <v>42</v>
      </c>
      <c r="F27" s="17" t="n">
        <v>352.85</v>
      </c>
      <c r="G27" s="17" t="n">
        <v>14820</v>
      </c>
      <c r="H27" s="50" t="n">
        <v>119</v>
      </c>
      <c r="I27" s="50" t="n">
        <v>106</v>
      </c>
      <c r="J27" s="50" t="n">
        <v>77.90000000000001</v>
      </c>
      <c r="K27" s="50" t="n">
        <v>54.3</v>
      </c>
      <c r="L27" s="50" t="n">
        <v>178</v>
      </c>
      <c r="M27" s="50" t="n">
        <v>0</v>
      </c>
      <c r="N27" s="50" t="n">
        <v>21</v>
      </c>
      <c r="O27" s="51" t="inlineStr">
        <is>
          <t>Green</t>
        </is>
      </c>
      <c r="P27" s="51" t="inlineStr">
        <is>
          <t>Results expected 2026-10-30 (inside the hold)</t>
        </is>
      </c>
    </row>
    <row r="30">
      <c r="B30" s="13" t="inlineStr">
        <is>
          <t>Evidence behind the rule (backtest, from HTML)</t>
        </is>
      </c>
    </row>
    <row r="31" ht="60" customHeight="1">
      <c r="B31" s="66" t="inlineStr">
        <is>
          <t>Backtest, 2017–2026 | Replayed point in time on your survivorship-free archive. Not live results. | Signal strength | IC +0.041 | rank IC over 113 monthly dates, 2017-2026 (t 2.52); validated benchmark 0.026 | Top vs bottom decile | +1.89% | per 21-session hold, before costs (t 2.94) | Top-10 picks | +1.45% | per hold after 0.60% costs; Nifty 50 earned +1.02% before costs | Entry timing | Open wins | buying at the open beat all 30 support-entry rules (best -0.12% per hold) | Down markets | IC +0.009 | over 27 down-regime dates, against +0.050 over 86 up-regime dates</t>
        </is>
      </c>
    </row>
    <row r="32" ht="60" customHeight="1">
      <c r="B32" s="66" t="inlineStr">
        <is>
          <t>Live record | No results yet | The first live result arrives when this system finishes its first batch. Live results are kept apart from the backtest and never mixed in.</t>
        </is>
      </c>
    </row>
    <row r="34">
      <c r="B34" s="13" t="inlineStr">
        <is>
          <t>Corporate actions (splits, bonuses, dividends)</t>
        </is>
      </c>
    </row>
    <row r="35">
      <c r="B35" s="27" t="inlineStr">
        <is>
          <t>None recorded during this hold.</t>
        </is>
      </c>
    </row>
  </sheetData>
  <mergeCells count="15">
    <mergeCell ref="C11:H11"/>
    <mergeCell ref="C6:H6"/>
    <mergeCell ref="C10:H10"/>
    <mergeCell ref="C14:H14"/>
    <mergeCell ref="C5:H5"/>
    <mergeCell ref="A2:H2"/>
    <mergeCell ref="C9:H9"/>
    <mergeCell ref="C13:H13"/>
    <mergeCell ref="B31:P31"/>
    <mergeCell ref="C8:H8"/>
    <mergeCell ref="C4:H4"/>
    <mergeCell ref="B32:P32"/>
    <mergeCell ref="A1:H1"/>
    <mergeCell ref="C12:H12"/>
    <mergeCell ref="C7:H7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20" customWidth="1" min="4" max="4"/>
    <col width="12" customWidth="1" min="5" max="5"/>
    <col width="58" customWidth="1" min="6" max="6"/>
    <col width="15" customWidth="1" min="7" max="7"/>
    <col width="16" customWidth="1" min="8" max="8"/>
  </cols>
  <sheetData>
    <row r="1" ht="30" customHeight="1">
      <c r="A1" s="1" t="inlineStr">
        <is>
          <t>Stock-by-Stock Research &amp; Swing-Trade Shortlist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Views from auto-generated · written 2026-10-30 18:08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4" t="inlineStr">
        <is>
          <t>Rank</t>
        </is>
      </c>
      <c r="B4" s="14" t="inlineStr">
        <is>
          <t>Symbol</t>
        </is>
      </c>
      <c r="C4" s="14" t="inlineStr">
        <is>
          <t>Company</t>
        </is>
      </c>
      <c r="D4" s="14" t="inlineStr">
        <is>
          <t>View</t>
        </is>
      </c>
      <c r="E4" s="14" t="inlineStr">
        <is>
          <t>Conviction</t>
        </is>
      </c>
      <c r="F4" s="14" t="inlineStr">
        <is>
          <t>Why</t>
        </is>
      </c>
      <c r="G4" s="14" t="inlineStr">
        <is>
          <t>Since entry %</t>
        </is>
      </c>
      <c r="H4" s="14" t="inlineStr">
        <is>
          <t>Call check</t>
        </is>
      </c>
    </row>
    <row r="5" ht="30" customHeight="1">
      <c r="A5" s="50" t="n">
        <v>1</v>
      </c>
      <c r="B5" s="15" t="inlineStr">
        <is>
          <t>SBC</t>
        </is>
      </c>
      <c r="C5" s="51" t="inlineStr">
        <is>
          <t>SBC EXPORTS LIMITED</t>
        </is>
      </c>
      <c r="D5" s="67" t="inlineStr">
        <is>
          <t>Strongest, bullish</t>
        </is>
      </c>
      <c r="E5" s="68" t="n">
        <v>2</v>
      </c>
      <c r="F5" s="69" t="inlineStr">
        <is>
          <t>Near highs, accelerating momentum, thin liquidity</t>
        </is>
      </c>
      <c r="G5" s="18" t="n">
        <v>-0.01342281879194618</v>
      </c>
      <c r="H5" s="51" t="inlineStr">
        <is>
          <t>✗ Off track</t>
        </is>
      </c>
    </row>
    <row r="6" ht="30" customHeight="1">
      <c r="A6" s="50" t="n">
        <v>2</v>
      </c>
      <c r="B6" s="15" t="inlineStr">
        <is>
          <t>RATNAVEER</t>
        </is>
      </c>
      <c r="C6" s="51" t="inlineStr">
        <is>
          <t>RATNAVEER PRECISION ENG L</t>
        </is>
      </c>
      <c r="D6" s="67" t="inlineStr">
        <is>
          <t>Strongest, bullish</t>
        </is>
      </c>
      <c r="E6" s="68" t="n">
        <v>1.8</v>
      </c>
      <c r="F6" s="69" t="inlineStr">
        <is>
          <t>Near highs, very strong 6-1</t>
        </is>
      </c>
      <c r="G6" s="18" t="n">
        <v>0.01708074534161486</v>
      </c>
      <c r="H6" s="51" t="inlineStr">
        <is>
          <t>✓ On track</t>
        </is>
      </c>
    </row>
    <row r="7" ht="30" customHeight="1">
      <c r="A7" s="50" t="n">
        <v>3</v>
      </c>
      <c r="B7" s="15" t="inlineStr">
        <is>
          <t>SYRMA</t>
        </is>
      </c>
      <c r="C7" s="51" t="inlineStr">
        <is>
          <t>SYRMA SGS TECHNOLOGY LTD</t>
        </is>
      </c>
      <c r="D7" s="70" t="inlineStr">
        <is>
          <t>Bullish</t>
        </is>
      </c>
      <c r="E7" s="68" t="n">
        <v>1.54</v>
      </c>
      <c r="F7" s="69" t="inlineStr">
        <is>
          <t>Shallow pullback, accelerating momentum</t>
        </is>
      </c>
      <c r="G7" s="18" t="n">
        <v>-0.02967164179104476</v>
      </c>
      <c r="H7" s="51" t="inlineStr">
        <is>
          <t>✗ Off track</t>
        </is>
      </c>
    </row>
    <row r="8" ht="30" customHeight="1">
      <c r="A8" s="50" t="n">
        <v>4</v>
      </c>
      <c r="B8" s="15" t="inlineStr">
        <is>
          <t>AEROFLEX</t>
        </is>
      </c>
      <c r="C8" s="51" t="inlineStr">
        <is>
          <t>AEROFLEX INDUSTRIES LTD</t>
        </is>
      </c>
      <c r="D8" s="71" t="inlineStr">
        <is>
          <t>Moderately bullish</t>
        </is>
      </c>
      <c r="E8" s="68" t="n">
        <v>0.85</v>
      </c>
      <c r="F8" s="69" t="inlineStr">
        <is>
          <t>Shallow pullback, strong earnings growth, highest volatility</t>
        </is>
      </c>
      <c r="G8" s="18" t="n">
        <v>-0.003622178879910898</v>
      </c>
      <c r="H8" s="51" t="inlineStr">
        <is>
          <t>✗ Off track</t>
        </is>
      </c>
    </row>
    <row r="9" ht="30" customHeight="1">
      <c r="A9" s="50" t="n">
        <v>5</v>
      </c>
      <c r="B9" s="15" t="inlineStr">
        <is>
          <t>TDPOWERSYS</t>
        </is>
      </c>
      <c r="C9" s="51" t="inlineStr">
        <is>
          <t>TD POWER SYSTEMS LTD.</t>
        </is>
      </c>
      <c r="D9" s="72" t="inlineStr">
        <is>
          <t>Neutral to bullish</t>
        </is>
      </c>
      <c r="E9" s="68" t="n">
        <v>0.5</v>
      </c>
      <c r="F9" s="69" t="inlineStr">
        <is>
          <t>Accelerating momentum, strong earnings growth, high volatility</t>
        </is>
      </c>
      <c r="G9" s="18" t="n">
        <v>-0.00771422614497197</v>
      </c>
      <c r="H9" s="51" t="inlineStr">
        <is>
          <t>• Neutral call</t>
        </is>
      </c>
    </row>
    <row r="10" ht="30" customHeight="1">
      <c r="A10" s="50" t="n">
        <v>6</v>
      </c>
      <c r="B10" s="15" t="inlineStr">
        <is>
          <t>CPPLUS</t>
        </is>
      </c>
      <c r="C10" s="51" t="inlineStr">
        <is>
          <t>ADITYA INFOTECH LIMITED</t>
        </is>
      </c>
      <c r="D10" s="72" t="inlineStr">
        <is>
          <t>Neutral to bullish</t>
        </is>
      </c>
      <c r="E10" s="68" t="n">
        <v>0.4</v>
      </c>
      <c r="F10" s="69" t="inlineStr">
        <is>
          <t>Shallow pullback, strong earnings growth, stretched valuation</t>
        </is>
      </c>
      <c r="G10" s="18" t="n">
        <v>-0.03067063401235981</v>
      </c>
      <c r="H10" s="51" t="inlineStr">
        <is>
          <t>↓ Lagging</t>
        </is>
      </c>
    </row>
    <row r="11" ht="30" customHeight="1">
      <c r="A11" s="50" t="n">
        <v>7</v>
      </c>
      <c r="B11" s="15" t="inlineStr">
        <is>
          <t>AETHER</t>
        </is>
      </c>
      <c r="C11" s="51" t="inlineStr">
        <is>
          <t>AETHER INDUSTRIES LIMITED</t>
        </is>
      </c>
      <c r="D11" s="73" t="inlineStr">
        <is>
          <t>Neutral</t>
        </is>
      </c>
      <c r="E11" s="68" t="n">
        <v>-0.46</v>
      </c>
      <c r="F11" s="69" t="inlineStr">
        <is>
          <t>Results, thin liquidity, stretched valuation</t>
        </is>
      </c>
      <c r="G11" s="18" t="n">
        <v>0.01176912482784531</v>
      </c>
      <c r="H11" s="51" t="inlineStr">
        <is>
          <t>• Neutral call</t>
        </is>
      </c>
    </row>
    <row r="12" ht="30" customHeight="1">
      <c r="A12" s="50" t="n">
        <v>8</v>
      </c>
      <c r="B12" s="15" t="inlineStr">
        <is>
          <t>THANGAMAYL</t>
        </is>
      </c>
      <c r="C12" s="51" t="inlineStr">
        <is>
          <t>THANGAMAYIL JEWELLERY LTD</t>
        </is>
      </c>
      <c r="D12" s="74" t="inlineStr">
        <is>
          <t>Neutral to bearish</t>
        </is>
      </c>
      <c r="E12" s="68" t="n">
        <v>-0.91</v>
      </c>
      <c r="F12" s="69" t="inlineStr">
        <is>
          <t>Strong earnings growth, results, deep drawdown, negative recent leg</t>
        </is>
      </c>
      <c r="G12" s="18" t="n">
        <v>-0.03790087463556846</v>
      </c>
      <c r="H12" s="51" t="inlineStr">
        <is>
          <t>✓ On track</t>
        </is>
      </c>
    </row>
    <row r="13" ht="30" customHeight="1">
      <c r="A13" s="50" t="n">
        <v>9</v>
      </c>
      <c r="B13" s="15" t="inlineStr">
        <is>
          <t>KIRLOSENG</t>
        </is>
      </c>
      <c r="C13" s="51" t="inlineStr">
        <is>
          <t>KIRLOSKAR OIL ENG LTD</t>
        </is>
      </c>
      <c r="D13" s="74" t="inlineStr">
        <is>
          <t>Neutral to bearish</t>
        </is>
      </c>
      <c r="E13" s="68" t="n">
        <v>-1.2</v>
      </c>
      <c r="F13" s="69" t="inlineStr">
        <is>
          <t>Deep drawdown</t>
        </is>
      </c>
      <c r="G13" s="18" t="n">
        <v>-0.04983335978416125</v>
      </c>
      <c r="H13" s="51" t="inlineStr">
        <is>
          <t>✓ On track</t>
        </is>
      </c>
    </row>
    <row r="14" ht="30" customHeight="1">
      <c r="A14" s="50" t="n">
        <v>10</v>
      </c>
      <c r="B14" s="15" t="inlineStr">
        <is>
          <t>SMLMAH</t>
        </is>
      </c>
      <c r="C14" s="51" t="inlineStr">
        <is>
          <t>SML MAHINDRA LIMITED</t>
        </is>
      </c>
      <c r="D14" s="75" t="inlineStr">
        <is>
          <t>Bearish</t>
        </is>
      </c>
      <c r="E14" s="68" t="n">
        <v>-1.78</v>
      </c>
      <c r="F14" s="69" t="inlineStr">
        <is>
          <t>Accelerating momentum, deep drawdown, high volatility</t>
        </is>
      </c>
      <c r="G14" s="18" t="n">
        <v>-0.03934526230174873</v>
      </c>
      <c r="H14" s="51" t="inlineStr">
        <is>
          <t>✓ On track</t>
        </is>
      </c>
    </row>
    <row r="16">
      <c r="A16" s="76" t="inlineStr">
        <is>
          <t>STOCK BY STOCK — catalysts, risks and sources</t>
        </is>
      </c>
    </row>
    <row r="17">
      <c r="A17" s="14" t="inlineStr">
        <is>
          <t>Rank</t>
        </is>
      </c>
      <c r="B17" s="14" t="inlineStr">
        <is>
          <t>Symbol</t>
        </is>
      </c>
      <c r="C17" s="14" t="inlineStr">
        <is>
          <t>Company</t>
        </is>
      </c>
      <c r="D17" s="14" t="inlineStr">
        <is>
          <t>Type</t>
        </is>
      </c>
      <c r="E17" s="14" t="inlineStr">
        <is>
          <t>Point</t>
        </is>
      </c>
      <c r="F17" s="14" t="inlineStr"/>
      <c r="G17" s="14" t="inlineStr">
        <is>
          <t>Source</t>
        </is>
      </c>
      <c r="H17" s="14" t="inlineStr">
        <is>
          <t>Link</t>
        </is>
      </c>
    </row>
    <row r="18" ht="30" customHeight="1">
      <c r="A18" s="50" t="n">
        <v>1</v>
      </c>
      <c r="B18" s="51" t="inlineStr">
        <is>
          <t>SBC</t>
        </is>
      </c>
      <c r="C18" s="51" t="inlineStr">
        <is>
          <t>SBC EXPORTS LIMITED</t>
        </is>
      </c>
      <c r="D18" s="77" t="inlineStr">
        <is>
          <t>Catalyst</t>
        </is>
      </c>
      <c r="E18" s="69" t="inlineStr">
        <is>
          <t>Close is only -0.0% below its 12-month high — relative strength near highs.</t>
        </is>
      </c>
      <c r="F18" s="64" t="n"/>
      <c r="G18" s="51" t="inlineStr">
        <is>
          <t>SwingScope data</t>
        </is>
      </c>
      <c r="H18" s="51" t="n"/>
    </row>
    <row r="19" ht="30" customHeight="1">
      <c r="A19" s="50" t="n">
        <v>1</v>
      </c>
      <c r="B19" s="51" t="inlineStr">
        <is>
          <t>SBC</t>
        </is>
      </c>
      <c r="C19" s="51" t="inlineStr">
        <is>
          <t>SBC EXPORTS LIMITED</t>
        </is>
      </c>
      <c r="D19" s="77" t="inlineStr">
        <is>
          <t>Catalyst</t>
        </is>
      </c>
      <c r="E19" s="69" t="inlineStr">
        <is>
          <t>3-1 month return +27.2% — recent momentum is accelerating.</t>
        </is>
      </c>
      <c r="F19" s="64" t="n"/>
      <c r="G19" s="51" t="inlineStr">
        <is>
          <t>SwingScope data</t>
        </is>
      </c>
      <c r="H19" s="51" t="n"/>
    </row>
    <row r="20" ht="30" customHeight="1">
      <c r="A20" s="50" t="n">
        <v>1</v>
      </c>
      <c r="B20" s="51" t="inlineStr">
        <is>
          <t>SBC</t>
        </is>
      </c>
      <c r="C20" s="51" t="inlineStr">
        <is>
          <t>SBC EXPORTS LIMITED</t>
        </is>
      </c>
      <c r="D20" s="77" t="inlineStr">
        <is>
          <t>Catalyst</t>
        </is>
      </c>
      <c r="E20" s="69" t="inlineStr">
        <is>
          <t>Lowest volatility of the batch (36%).</t>
        </is>
      </c>
      <c r="F20" s="64" t="n"/>
      <c r="G20" s="51" t="inlineStr">
        <is>
          <t>SwingScope data</t>
        </is>
      </c>
      <c r="H20" s="51" t="n"/>
    </row>
    <row r="21" ht="30" customHeight="1">
      <c r="A21" s="50" t="n">
        <v>1</v>
      </c>
      <c r="B21" s="51" t="inlineStr">
        <is>
          <t>SBC</t>
        </is>
      </c>
      <c r="C21" s="51" t="inlineStr">
        <is>
          <t>SBC EXPORTS LIMITED</t>
        </is>
      </c>
      <c r="D21" s="78" t="inlineStr">
        <is>
          <t>Risk</t>
        </is>
      </c>
      <c r="E21" s="69" t="inlineStr">
        <is>
          <t>Thin liquidity (₹48 cr/day) — gap risk in a falling market.</t>
        </is>
      </c>
      <c r="F21" s="64" t="n"/>
      <c r="G21" s="51" t="inlineStr">
        <is>
          <t>SwingScope data</t>
        </is>
      </c>
      <c r="H21" s="51" t="n"/>
    </row>
    <row r="22" ht="30" customHeight="1">
      <c r="A22" s="50" t="n">
        <v>1</v>
      </c>
      <c r="B22" s="51" t="inlineStr">
        <is>
          <t>SBC</t>
        </is>
      </c>
      <c r="C22" s="51" t="inlineStr">
        <is>
          <t>SBC EXPORTS LIMITED</t>
        </is>
      </c>
      <c r="D22" s="79" t="inlineStr">
        <is>
          <t>Context</t>
        </is>
      </c>
      <c r="E22" s="69" t="inlineStr">
        <is>
          <t>Premium valuation (P/E ≈ 78).</t>
        </is>
      </c>
      <c r="F22" s="64" t="n"/>
      <c r="G22" s="51" t="inlineStr">
        <is>
          <t>SwingScope data</t>
        </is>
      </c>
      <c r="H22" s="51" t="n"/>
    </row>
    <row r="23" ht="30" customHeight="1">
      <c r="A23" s="50" t="n">
        <v>1</v>
      </c>
      <c r="B23" s="51" t="inlineStr">
        <is>
          <t>SBC</t>
        </is>
      </c>
      <c r="C23" s="51" t="inlineStr">
        <is>
          <t>SBC EXPORTS LIMITED</t>
        </is>
      </c>
      <c r="D23" s="78" t="inlineStr">
        <is>
          <t>Risk</t>
        </is>
      </c>
      <c r="E23" s="69" t="inlineStr">
        <is>
          <t>Since entry: -1.34% (Day 1).</t>
        </is>
      </c>
      <c r="F23" s="64" t="n"/>
      <c r="G23" s="51" t="inlineStr">
        <is>
          <t>SwingScope data</t>
        </is>
      </c>
      <c r="H23" s="51" t="n"/>
    </row>
    <row r="24" ht="30" customHeight="1">
      <c r="A24" s="50" t="n">
        <v>2</v>
      </c>
      <c r="B24" s="51" t="inlineStr">
        <is>
          <t>RATNAVEER</t>
        </is>
      </c>
      <c r="C24" s="51" t="inlineStr">
        <is>
          <t>RATNAVEER PRECISION ENG L</t>
        </is>
      </c>
      <c r="D24" s="77" t="inlineStr">
        <is>
          <t>Catalyst</t>
        </is>
      </c>
      <c r="E24" s="69" t="inlineStr">
        <is>
          <t>Close is only -0.0% below its 12-month high — relative strength near highs.</t>
        </is>
      </c>
      <c r="F24" s="64" t="n"/>
      <c r="G24" s="51" t="inlineStr">
        <is>
          <t>SwingScope data</t>
        </is>
      </c>
      <c r="H24" s="51" t="n"/>
    </row>
    <row r="25" ht="30" customHeight="1">
      <c r="A25" s="50" t="n">
        <v>2</v>
      </c>
      <c r="B25" s="51" t="inlineStr">
        <is>
          <t>RATNAVEER</t>
        </is>
      </c>
      <c r="C25" s="51" t="inlineStr">
        <is>
          <t>RATNAVEER PRECISION ENG L</t>
        </is>
      </c>
      <c r="D25" s="77" t="inlineStr">
        <is>
          <t>Catalyst</t>
        </is>
      </c>
      <c r="E25" s="69" t="inlineStr">
        <is>
          <t>6-1 month return +106% — very strong medium-term momentum.</t>
        </is>
      </c>
      <c r="F25" s="64" t="n"/>
      <c r="G25" s="51" t="inlineStr">
        <is>
          <t>SwingScope data</t>
        </is>
      </c>
      <c r="H25" s="51" t="n"/>
    </row>
    <row r="26" ht="30" customHeight="1">
      <c r="A26" s="50" t="n">
        <v>2</v>
      </c>
      <c r="B26" s="51" t="inlineStr">
        <is>
          <t>RATNAVEER</t>
        </is>
      </c>
      <c r="C26" s="51" t="inlineStr">
        <is>
          <t>RATNAVEER PRECISION ENG L</t>
        </is>
      </c>
      <c r="D26" s="77" t="inlineStr">
        <is>
          <t>Catalyst</t>
        </is>
      </c>
      <c r="E26" s="69" t="inlineStr">
        <is>
          <t>3-1 month return +77.9% — recent momentum is accelerating.</t>
        </is>
      </c>
      <c r="F26" s="64" t="n"/>
      <c r="G26" s="51" t="inlineStr">
        <is>
          <t>SwingScope data</t>
        </is>
      </c>
      <c r="H26" s="51" t="n"/>
    </row>
    <row r="27" ht="30" customHeight="1">
      <c r="A27" s="50" t="n">
        <v>2</v>
      </c>
      <c r="B27" s="51" t="inlineStr">
        <is>
          <t>RATNAVEER</t>
        </is>
      </c>
      <c r="C27" s="51" t="inlineStr">
        <is>
          <t>RATNAVEER PRECISION ENG L</t>
        </is>
      </c>
      <c r="D27" s="79" t="inlineStr">
        <is>
          <t>Context</t>
        </is>
      </c>
      <c r="E27" s="69" t="inlineStr">
        <is>
          <t>Most liquid name in the batch (₹178 cr/day).</t>
        </is>
      </c>
      <c r="F27" s="64" t="n"/>
      <c r="G27" s="51" t="inlineStr">
        <is>
          <t>SwingScope data</t>
        </is>
      </c>
      <c r="H27" s="51" t="n"/>
    </row>
    <row r="28" ht="30" customHeight="1">
      <c r="A28" s="50" t="n">
        <v>2</v>
      </c>
      <c r="B28" s="51" t="inlineStr">
        <is>
          <t>RATNAVEER</t>
        </is>
      </c>
      <c r="C28" s="51" t="inlineStr">
        <is>
          <t>RATNAVEER PRECISION ENG L</t>
        </is>
      </c>
      <c r="D28" s="79" t="inlineStr">
        <is>
          <t>Context</t>
        </is>
      </c>
      <c r="E28" s="69" t="inlineStr">
        <is>
          <t>[Results] Ratnaveer Precision Engineering Q2 FY27 Earnings Call on 3 Nov</t>
        </is>
      </c>
      <c r="F28" s="64" t="n"/>
      <c r="G28" s="51" t="inlineStr">
        <is>
          <t>Kalkine India</t>
        </is>
      </c>
      <c r="H28" s="80" t="inlineStr">
        <is>
          <t>open ↗</t>
        </is>
      </c>
    </row>
    <row r="29" ht="30" customHeight="1">
      <c r="A29" s="50" t="n">
        <v>2</v>
      </c>
      <c r="B29" s="51" t="inlineStr">
        <is>
          <t>RATNAVEER</t>
        </is>
      </c>
      <c r="C29" s="51" t="inlineStr">
        <is>
          <t>RATNAVEER PRECISION ENG L</t>
        </is>
      </c>
      <c r="D29" s="77" t="inlineStr">
        <is>
          <t>Catalyst</t>
        </is>
      </c>
      <c r="E29" s="69" t="inlineStr">
        <is>
          <t>Since entry: +1.71% (Day 1).</t>
        </is>
      </c>
      <c r="F29" s="64" t="n"/>
      <c r="G29" s="51" t="inlineStr">
        <is>
          <t>SwingScope data</t>
        </is>
      </c>
      <c r="H29" s="51" t="n"/>
    </row>
    <row r="30" ht="30" customHeight="1">
      <c r="A30" s="50" t="n">
        <v>3</v>
      </c>
      <c r="B30" s="51" t="inlineStr">
        <is>
          <t>SYRMA</t>
        </is>
      </c>
      <c r="C30" s="51" t="inlineStr">
        <is>
          <t>SYRMA SGS TECHNOLOGY LTD</t>
        </is>
      </c>
      <c r="D30" s="77" t="inlineStr">
        <is>
          <t>Catalyst</t>
        </is>
      </c>
      <c r="E30" s="69" t="inlineStr">
        <is>
          <t>6.4% below its 12-month high: a shallow pullback inside the uptrend.</t>
        </is>
      </c>
      <c r="F30" s="64" t="n"/>
      <c r="G30" s="51" t="inlineStr">
        <is>
          <t>SwingScope data</t>
        </is>
      </c>
      <c r="H30" s="51" t="n"/>
    </row>
    <row r="31" ht="30" customHeight="1">
      <c r="A31" s="50" t="n">
        <v>3</v>
      </c>
      <c r="B31" s="51" t="inlineStr">
        <is>
          <t>SYRMA</t>
        </is>
      </c>
      <c r="C31" s="51" t="inlineStr">
        <is>
          <t>SYRMA SGS TECHNOLOGY LTD</t>
        </is>
      </c>
      <c r="D31" s="77" t="inlineStr">
        <is>
          <t>Catalyst</t>
        </is>
      </c>
      <c r="E31" s="69" t="inlineStr">
        <is>
          <t>3-1 month return +30.0% — recent momentum is accelerating.</t>
        </is>
      </c>
      <c r="F31" s="64" t="n"/>
      <c r="G31" s="51" t="inlineStr">
        <is>
          <t>SwingScope data</t>
        </is>
      </c>
      <c r="H31" s="51" t="n"/>
    </row>
    <row r="32" ht="30" customHeight="1">
      <c r="A32" s="50" t="n">
        <v>3</v>
      </c>
      <c r="B32" s="51" t="inlineStr">
        <is>
          <t>SYRMA</t>
        </is>
      </c>
      <c r="C32" s="51" t="inlineStr">
        <is>
          <t>SYRMA SGS TECHNOLOGY LTD</t>
        </is>
      </c>
      <c r="D32" s="79" t="inlineStr">
        <is>
          <t>Context</t>
        </is>
      </c>
      <c r="E32" s="69" t="inlineStr">
        <is>
          <t>Premium valuation (P/E ≈ 85).</t>
        </is>
      </c>
      <c r="F32" s="64" t="n"/>
      <c r="G32" s="51" t="inlineStr">
        <is>
          <t>SwingScope data</t>
        </is>
      </c>
      <c r="H32" s="51" t="n"/>
    </row>
    <row r="33" ht="30" customHeight="1">
      <c r="A33" s="50" t="n">
        <v>3</v>
      </c>
      <c r="B33" s="51" t="inlineStr">
        <is>
          <t>SYRMA</t>
        </is>
      </c>
      <c r="C33" s="51" t="inlineStr">
        <is>
          <t>SYRMA SGS TECHNOLOGY LTD</t>
        </is>
      </c>
      <c r="D33" s="77" t="inlineStr">
        <is>
          <t>Catalyst</t>
        </is>
      </c>
      <c r="E33" s="69" t="inlineStr">
        <is>
          <t>Earnings growth ≈ 86% YoY (latest quarter).</t>
        </is>
      </c>
      <c r="F33" s="64" t="n"/>
      <c r="G33" s="51" t="inlineStr">
        <is>
          <t>SwingScope data</t>
        </is>
      </c>
      <c r="H33" s="51" t="n"/>
    </row>
    <row r="34" ht="30" customHeight="1">
      <c r="A34" s="50" t="n">
        <v>3</v>
      </c>
      <c r="B34" s="51" t="inlineStr">
        <is>
          <t>SYRMA</t>
        </is>
      </c>
      <c r="C34" s="51" t="inlineStr">
        <is>
          <t>SYRMA SGS TECHNOLOGY LTD</t>
        </is>
      </c>
      <c r="D34" s="77" t="inlineStr">
        <is>
          <t>Catalyst</t>
        </is>
      </c>
      <c r="E34" s="69" t="inlineStr">
        <is>
          <t>[Results] Syrma SGS Q2 results: Profit nearly doubles to ₹117 crore, revenue jumps 74%</t>
        </is>
      </c>
      <c r="F34" s="64" t="n"/>
      <c r="G34" s="51" t="inlineStr">
        <is>
          <t>CNBC TV18</t>
        </is>
      </c>
      <c r="H34" s="80" t="inlineStr">
        <is>
          <t>open ↗</t>
        </is>
      </c>
    </row>
    <row r="35" ht="30" customHeight="1">
      <c r="A35" s="50" t="n">
        <v>3</v>
      </c>
      <c r="B35" s="51" t="inlineStr">
        <is>
          <t>SYRMA</t>
        </is>
      </c>
      <c r="C35" s="51" t="inlineStr">
        <is>
          <t>SYRMA SGS TECHNOLOGY LTD</t>
        </is>
      </c>
      <c r="D35" s="78" t="inlineStr">
        <is>
          <t>Risk</t>
        </is>
      </c>
      <c r="E35" s="69" t="inlineStr">
        <is>
          <t>Since entry: -2.97% (Day 1).</t>
        </is>
      </c>
      <c r="F35" s="64" t="n"/>
      <c r="G35" s="51" t="inlineStr">
        <is>
          <t>SwingScope data</t>
        </is>
      </c>
      <c r="H35" s="51" t="n"/>
    </row>
    <row r="36" ht="30" customHeight="1">
      <c r="A36" s="50" t="n">
        <v>4</v>
      </c>
      <c r="B36" s="51" t="inlineStr">
        <is>
          <t>AEROFLEX</t>
        </is>
      </c>
      <c r="C36" s="51" t="inlineStr">
        <is>
          <t>AEROFLEX INDUSTRIES LTD</t>
        </is>
      </c>
      <c r="D36" s="77" t="inlineStr">
        <is>
          <t>Catalyst</t>
        </is>
      </c>
      <c r="E36" s="69" t="inlineStr">
        <is>
          <t>6.1% below its 12-month high: a shallow pullback inside the uptrend.</t>
        </is>
      </c>
      <c r="F36" s="64" t="n"/>
      <c r="G36" s="51" t="inlineStr">
        <is>
          <t>SwingScope data</t>
        </is>
      </c>
      <c r="H36" s="51" t="n"/>
    </row>
    <row r="37" ht="30" customHeight="1">
      <c r="A37" s="50" t="n">
        <v>4</v>
      </c>
      <c r="B37" s="51" t="inlineStr">
        <is>
          <t>AEROFLEX</t>
        </is>
      </c>
      <c r="C37" s="51" t="inlineStr">
        <is>
          <t>AEROFLEX INDUSTRIES LTD</t>
        </is>
      </c>
      <c r="D37" s="78" t="inlineStr">
        <is>
          <t>Risk</t>
        </is>
      </c>
      <c r="E37" s="69" t="inlineStr">
        <is>
          <t>Highest volatility of the batch (70%) — expect big swings.</t>
        </is>
      </c>
      <c r="F37" s="64" t="n"/>
      <c r="G37" s="51" t="inlineStr">
        <is>
          <t>SwingScope data</t>
        </is>
      </c>
      <c r="H37" s="51" t="n"/>
    </row>
    <row r="38" ht="30" customHeight="1">
      <c r="A38" s="50" t="n">
        <v>4</v>
      </c>
      <c r="B38" s="51" t="inlineStr">
        <is>
          <t>AEROFLEX</t>
        </is>
      </c>
      <c r="C38" s="51" t="inlineStr">
        <is>
          <t>AEROFLEX INDUSTRIES LTD</t>
        </is>
      </c>
      <c r="D38" s="79" t="inlineStr">
        <is>
          <t>Context</t>
        </is>
      </c>
      <c r="E38" s="69" t="inlineStr">
        <is>
          <t>Premium valuation (P/E ≈ 79).</t>
        </is>
      </c>
      <c r="F38" s="64" t="n"/>
      <c r="G38" s="51" t="inlineStr">
        <is>
          <t>SwingScope data</t>
        </is>
      </c>
      <c r="H38" s="51" t="n"/>
    </row>
    <row r="39" ht="30" customHeight="1">
      <c r="A39" s="50" t="n">
        <v>4</v>
      </c>
      <c r="B39" s="51" t="inlineStr">
        <is>
          <t>AEROFLEX</t>
        </is>
      </c>
      <c r="C39" s="51" t="inlineStr">
        <is>
          <t>AEROFLEX INDUSTRIES LTD</t>
        </is>
      </c>
      <c r="D39" s="77" t="inlineStr">
        <is>
          <t>Catalyst</t>
        </is>
      </c>
      <c r="E39" s="69" t="inlineStr">
        <is>
          <t>Earnings growth ≈ 151% YoY (latest quarter).</t>
        </is>
      </c>
      <c r="F39" s="64" t="n"/>
      <c r="G39" s="51" t="inlineStr">
        <is>
          <t>SwingScope data</t>
        </is>
      </c>
      <c r="H39" s="51" t="n"/>
    </row>
    <row r="40" ht="44" customHeight="1">
      <c r="A40" s="50" t="n">
        <v>4</v>
      </c>
      <c r="B40" s="51" t="inlineStr">
        <is>
          <t>AEROFLEX</t>
        </is>
      </c>
      <c r="C40" s="51" t="inlineStr">
        <is>
          <t>AEROFLEX INDUSTRIES LTD</t>
        </is>
      </c>
      <c r="D40" s="77" t="inlineStr">
        <is>
          <t>Catalyst</t>
        </is>
      </c>
      <c r="E40" s="69" t="inlineStr">
        <is>
          <t>[Results] Aeroflex Industries Share Price Surges 14% After Q2: Profit Jumps 157%, Why the Depreciation Change Matters</t>
        </is>
      </c>
      <c r="F40" s="64" t="n"/>
      <c r="G40" s="51" t="inlineStr">
        <is>
          <t>Univest</t>
        </is>
      </c>
      <c r="H40" s="80" t="inlineStr">
        <is>
          <t>open ↗</t>
        </is>
      </c>
    </row>
    <row r="41" ht="30" customHeight="1">
      <c r="A41" s="50" t="n">
        <v>4</v>
      </c>
      <c r="B41" s="51" t="inlineStr">
        <is>
          <t>AEROFLEX</t>
        </is>
      </c>
      <c r="C41" s="51" t="inlineStr">
        <is>
          <t>AEROFLEX INDUSTRIES LTD</t>
        </is>
      </c>
      <c r="D41" s="78" t="inlineStr">
        <is>
          <t>Risk</t>
        </is>
      </c>
      <c r="E41" s="69" t="inlineStr">
        <is>
          <t>Since entry: -0.36% (Day 1).</t>
        </is>
      </c>
      <c r="F41" s="64" t="n"/>
      <c r="G41" s="51" t="inlineStr">
        <is>
          <t>SwingScope data</t>
        </is>
      </c>
      <c r="H41" s="51" t="n"/>
    </row>
    <row r="42" ht="30" customHeight="1">
      <c r="A42" s="50" t="n">
        <v>5</v>
      </c>
      <c r="B42" s="51" t="inlineStr">
        <is>
          <t>TDPOWERSYS</t>
        </is>
      </c>
      <c r="C42" s="51" t="inlineStr">
        <is>
          <t>TD POWER SYSTEMS LTD.</t>
        </is>
      </c>
      <c r="D42" s="79" t="inlineStr">
        <is>
          <t>Context</t>
        </is>
      </c>
      <c r="E42" s="69" t="inlineStr">
        <is>
          <t>12.9% below its 12-month high — consolidating after a big run.</t>
        </is>
      </c>
      <c r="F42" s="64" t="n"/>
      <c r="G42" s="51" t="inlineStr">
        <is>
          <t>SwingScope data</t>
        </is>
      </c>
      <c r="H42" s="51" t="n"/>
    </row>
    <row r="43" ht="30" customHeight="1">
      <c r="A43" s="50" t="n">
        <v>5</v>
      </c>
      <c r="B43" s="51" t="inlineStr">
        <is>
          <t>TDPOWERSYS</t>
        </is>
      </c>
      <c r="C43" s="51" t="inlineStr">
        <is>
          <t>TD POWER SYSTEMS LTD.</t>
        </is>
      </c>
      <c r="D43" s="77" t="inlineStr">
        <is>
          <t>Catalyst</t>
        </is>
      </c>
      <c r="E43" s="69" t="inlineStr">
        <is>
          <t>3-1 month return +39.4% — recent momentum is accelerating.</t>
        </is>
      </c>
      <c r="F43" s="64" t="n"/>
      <c r="G43" s="51" t="inlineStr">
        <is>
          <t>SwingScope data</t>
        </is>
      </c>
      <c r="H43" s="51" t="n"/>
    </row>
    <row r="44" ht="30" customHeight="1">
      <c r="A44" s="50" t="n">
        <v>5</v>
      </c>
      <c r="B44" s="51" t="inlineStr">
        <is>
          <t>TDPOWERSYS</t>
        </is>
      </c>
      <c r="C44" s="51" t="inlineStr">
        <is>
          <t>TD POWER SYSTEMS LTD.</t>
        </is>
      </c>
      <c r="D44" s="78" t="inlineStr">
        <is>
          <t>Risk</t>
        </is>
      </c>
      <c r="E44" s="69" t="inlineStr">
        <is>
          <t>High volatility (63%).</t>
        </is>
      </c>
      <c r="F44" s="64" t="n"/>
      <c r="G44" s="51" t="inlineStr">
        <is>
          <t>SwingScope data</t>
        </is>
      </c>
      <c r="H44" s="51" t="n"/>
    </row>
    <row r="45" ht="30" customHeight="1">
      <c r="A45" s="50" t="n">
        <v>5</v>
      </c>
      <c r="B45" s="51" t="inlineStr">
        <is>
          <t>TDPOWERSYS</t>
        </is>
      </c>
      <c r="C45" s="51" t="inlineStr">
        <is>
          <t>TD POWER SYSTEMS LTD.</t>
        </is>
      </c>
      <c r="D45" s="79" t="inlineStr">
        <is>
          <t>Context</t>
        </is>
      </c>
      <c r="E45" s="69" t="inlineStr">
        <is>
          <t>Premium valuation (P/E ≈ 81).</t>
        </is>
      </c>
      <c r="F45" s="64" t="n"/>
      <c r="G45" s="51" t="inlineStr">
        <is>
          <t>SwingScope data</t>
        </is>
      </c>
      <c r="H45" s="51" t="n"/>
    </row>
    <row r="46" ht="30" customHeight="1">
      <c r="A46" s="50" t="n">
        <v>5</v>
      </c>
      <c r="B46" s="51" t="inlineStr">
        <is>
          <t>TDPOWERSYS</t>
        </is>
      </c>
      <c r="C46" s="51" t="inlineStr">
        <is>
          <t>TD POWER SYSTEMS LTD.</t>
        </is>
      </c>
      <c r="D46" s="77" t="inlineStr">
        <is>
          <t>Catalyst</t>
        </is>
      </c>
      <c r="E46" s="69" t="inlineStr">
        <is>
          <t>Earnings growth ≈ 72% YoY (latest quarter).</t>
        </is>
      </c>
      <c r="F46" s="64" t="n"/>
      <c r="G46" s="51" t="inlineStr">
        <is>
          <t>SwingScope data</t>
        </is>
      </c>
      <c r="H46" s="51" t="n"/>
    </row>
    <row r="47" ht="30" customHeight="1">
      <c r="A47" s="50" t="n">
        <v>5</v>
      </c>
      <c r="B47" s="51" t="inlineStr">
        <is>
          <t>TDPOWERSYS</t>
        </is>
      </c>
      <c r="C47" s="51" t="inlineStr">
        <is>
          <t>TD POWER SYSTEMS LTD.</t>
        </is>
      </c>
      <c r="D47" s="78" t="inlineStr">
        <is>
          <t>Risk</t>
        </is>
      </c>
      <c r="E47" s="69" t="inlineStr">
        <is>
          <t>Since entry: -0.77% (Day 1).</t>
        </is>
      </c>
      <c r="F47" s="64" t="n"/>
      <c r="G47" s="51" t="inlineStr">
        <is>
          <t>SwingScope data</t>
        </is>
      </c>
      <c r="H47" s="51" t="n"/>
    </row>
    <row r="48" ht="30" customHeight="1">
      <c r="A48" s="50" t="n">
        <v>6</v>
      </c>
      <c r="B48" s="51" t="inlineStr">
        <is>
          <t>CPPLUS</t>
        </is>
      </c>
      <c r="C48" s="51" t="inlineStr">
        <is>
          <t>ADITYA INFOTECH LIMITED</t>
        </is>
      </c>
      <c r="D48" s="77" t="inlineStr">
        <is>
          <t>Catalyst</t>
        </is>
      </c>
      <c r="E48" s="69" t="inlineStr">
        <is>
          <t>11.0% below its 12-month high: a shallow pullback inside the uptrend.</t>
        </is>
      </c>
      <c r="F48" s="64" t="n"/>
      <c r="G48" s="51" t="inlineStr">
        <is>
          <t>SwingScope data</t>
        </is>
      </c>
      <c r="H48" s="51" t="n"/>
    </row>
    <row r="49" ht="30" customHeight="1">
      <c r="A49" s="50" t="n">
        <v>6</v>
      </c>
      <c r="B49" s="51" t="inlineStr">
        <is>
          <t>CPPLUS</t>
        </is>
      </c>
      <c r="C49" s="51" t="inlineStr">
        <is>
          <t>ADITYA INFOTECH LIMITED</t>
        </is>
      </c>
      <c r="D49" s="78" t="inlineStr">
        <is>
          <t>Risk</t>
        </is>
      </c>
      <c r="E49" s="69" t="inlineStr">
        <is>
          <t>Valuation is stretched (P/E ≈ 93).</t>
        </is>
      </c>
      <c r="F49" s="64" t="n"/>
      <c r="G49" s="51" t="inlineStr">
        <is>
          <t>SwingScope data</t>
        </is>
      </c>
      <c r="H49" s="51" t="n"/>
    </row>
    <row r="50" ht="30" customHeight="1">
      <c r="A50" s="50" t="n">
        <v>6</v>
      </c>
      <c r="B50" s="51" t="inlineStr">
        <is>
          <t>CPPLUS</t>
        </is>
      </c>
      <c r="C50" s="51" t="inlineStr">
        <is>
          <t>ADITYA INFOTECH LIMITED</t>
        </is>
      </c>
      <c r="D50" s="77" t="inlineStr">
        <is>
          <t>Catalyst</t>
        </is>
      </c>
      <c r="E50" s="69" t="inlineStr">
        <is>
          <t>Earnings growth ≈ 304% YoY (latest quarter).</t>
        </is>
      </c>
      <c r="F50" s="64" t="n"/>
      <c r="G50" s="51" t="inlineStr">
        <is>
          <t>SwingScope data</t>
        </is>
      </c>
      <c r="H50" s="51" t="n"/>
    </row>
    <row r="51" ht="30" customHeight="1">
      <c r="A51" s="50" t="n">
        <v>6</v>
      </c>
      <c r="B51" s="51" t="inlineStr">
        <is>
          <t>CPPLUS</t>
        </is>
      </c>
      <c r="C51" s="51" t="inlineStr">
        <is>
          <t>ADITYA INFOTECH LIMITED</t>
        </is>
      </c>
      <c r="D51" s="79" t="inlineStr">
        <is>
          <t>Context</t>
        </is>
      </c>
      <c r="E51" s="69" t="inlineStr">
        <is>
          <t>[Results] Do Aditya Infotech's (NSE:CPPLUS) Earnings Warrant Your Attention?</t>
        </is>
      </c>
      <c r="F51" s="64" t="n"/>
      <c r="G51" s="51" t="inlineStr">
        <is>
          <t>Simply Wall St</t>
        </is>
      </c>
      <c r="H51" s="80" t="inlineStr">
        <is>
          <t>open ↗</t>
        </is>
      </c>
    </row>
    <row r="52" ht="30" customHeight="1">
      <c r="A52" s="50" t="n">
        <v>6</v>
      </c>
      <c r="B52" s="51" t="inlineStr">
        <is>
          <t>CPPLUS</t>
        </is>
      </c>
      <c r="C52" s="51" t="inlineStr">
        <is>
          <t>ADITYA INFOTECH LIMITED</t>
        </is>
      </c>
      <c r="D52" s="78" t="inlineStr">
        <is>
          <t>Risk</t>
        </is>
      </c>
      <c r="E52" s="69" t="inlineStr">
        <is>
          <t>Since entry: -3.07% (Day 1).</t>
        </is>
      </c>
      <c r="F52" s="64" t="n"/>
      <c r="G52" s="51" t="inlineStr">
        <is>
          <t>SwingScope data</t>
        </is>
      </c>
      <c r="H52" s="51" t="n"/>
    </row>
    <row r="53" ht="30" customHeight="1">
      <c r="A53" s="50" t="n">
        <v>7</v>
      </c>
      <c r="B53" s="51" t="inlineStr">
        <is>
          <t>AETHER</t>
        </is>
      </c>
      <c r="C53" s="51" t="inlineStr">
        <is>
          <t>AETHER INDUSTRIES LIMITED</t>
        </is>
      </c>
      <c r="D53" s="79" t="inlineStr">
        <is>
          <t>Context</t>
        </is>
      </c>
      <c r="E53" s="69" t="inlineStr">
        <is>
          <t>12.2% below its 12-month high — consolidating after a big run.</t>
        </is>
      </c>
      <c r="F53" s="64" t="n"/>
      <c r="G53" s="51" t="inlineStr">
        <is>
          <t>SwingScope data</t>
        </is>
      </c>
      <c r="H53" s="51" t="n"/>
    </row>
    <row r="54" ht="30" customHeight="1">
      <c r="A54" s="50" t="n">
        <v>7</v>
      </c>
      <c r="B54" s="51" t="inlineStr">
        <is>
          <t>AETHER</t>
        </is>
      </c>
      <c r="C54" s="51" t="inlineStr">
        <is>
          <t>AETHER INDUSTRIES LIMITED</t>
        </is>
      </c>
      <c r="D54" s="78" t="inlineStr">
        <is>
          <t>Risk</t>
        </is>
      </c>
      <c r="E54" s="69" t="inlineStr">
        <is>
          <t>Thin liquidity (₹39 cr/day) — gap risk in a falling market.</t>
        </is>
      </c>
      <c r="F54" s="64" t="n"/>
      <c r="G54" s="51" t="inlineStr">
        <is>
          <t>SwingScope data</t>
        </is>
      </c>
      <c r="H54" s="51" t="n"/>
    </row>
    <row r="55" ht="30" customHeight="1">
      <c r="A55" s="50" t="n">
        <v>7</v>
      </c>
      <c r="B55" s="51" t="inlineStr">
        <is>
          <t>AETHER</t>
        </is>
      </c>
      <c r="C55" s="51" t="inlineStr">
        <is>
          <t>AETHER INDUSTRIES LIMITED</t>
        </is>
      </c>
      <c r="D55" s="78" t="inlineStr">
        <is>
          <t>Risk</t>
        </is>
      </c>
      <c r="E55" s="69" t="inlineStr">
        <is>
          <t>Valuation is stretched (P/E ≈ 91).</t>
        </is>
      </c>
      <c r="F55" s="64" t="n"/>
      <c r="G55" s="51" t="inlineStr">
        <is>
          <t>SwingScope data</t>
        </is>
      </c>
      <c r="H55" s="51" t="n"/>
    </row>
    <row r="56" ht="44" customHeight="1">
      <c r="A56" s="50" t="n">
        <v>7</v>
      </c>
      <c r="B56" s="51" t="inlineStr">
        <is>
          <t>AETHER</t>
        </is>
      </c>
      <c r="C56" s="51" t="inlineStr">
        <is>
          <t>AETHER INDUSTRIES LIMITED</t>
        </is>
      </c>
      <c r="D56" s="77" t="inlineStr">
        <is>
          <t>Catalyst</t>
        </is>
      </c>
      <c r="E56" s="69" t="inlineStr">
        <is>
          <t>[Results] Aether Industries Q2 FY27: Net profit rises 26% to ₹68 crore as revenue climbs 24% to ₹347 crore</t>
        </is>
      </c>
      <c r="F56" s="64" t="n"/>
      <c r="G56" s="51" t="inlineStr">
        <is>
          <t>Business Upturn</t>
        </is>
      </c>
      <c r="H56" s="80" t="inlineStr">
        <is>
          <t>open ↗</t>
        </is>
      </c>
    </row>
    <row r="57" ht="30" customHeight="1">
      <c r="A57" s="50" t="n">
        <v>7</v>
      </c>
      <c r="B57" s="51" t="inlineStr">
        <is>
          <t>AETHER</t>
        </is>
      </c>
      <c r="C57" s="51" t="inlineStr">
        <is>
          <t>AETHER INDUSTRIES LIMITED</t>
        </is>
      </c>
      <c r="D57" s="77" t="inlineStr">
        <is>
          <t>Catalyst</t>
        </is>
      </c>
      <c r="E57" s="69" t="inlineStr">
        <is>
          <t>Since entry: +1.18% (Day 1).</t>
        </is>
      </c>
      <c r="F57" s="64" t="n"/>
      <c r="G57" s="51" t="inlineStr">
        <is>
          <t>SwingScope data</t>
        </is>
      </c>
      <c r="H57" s="51" t="n"/>
    </row>
    <row r="58" ht="30" customHeight="1">
      <c r="A58" s="50" t="n">
        <v>8</v>
      </c>
      <c r="B58" s="51" t="inlineStr">
        <is>
          <t>THANGAMAYL</t>
        </is>
      </c>
      <c r="C58" s="51" t="inlineStr">
        <is>
          <t>THANGAMAYIL JEWELLERY LTD</t>
        </is>
      </c>
      <c r="D58" s="78" t="inlineStr">
        <is>
          <t>Risk</t>
        </is>
      </c>
      <c r="E58" s="69" t="inlineStr">
        <is>
          <t>36.7% below its 12-month high — a deep drawdown; the trend is weakening.</t>
        </is>
      </c>
      <c r="F58" s="64" t="n"/>
      <c r="G58" s="51" t="inlineStr">
        <is>
          <t>SwingScope data</t>
        </is>
      </c>
      <c r="H58" s="51" t="n"/>
    </row>
    <row r="59" ht="30" customHeight="1">
      <c r="A59" s="50" t="n">
        <v>8</v>
      </c>
      <c r="B59" s="51" t="inlineStr">
        <is>
          <t>THANGAMAYL</t>
        </is>
      </c>
      <c r="C59" s="51" t="inlineStr">
        <is>
          <t>THANGAMAYIL JEWELLERY LTD</t>
        </is>
      </c>
      <c r="D59" s="78" t="inlineStr">
        <is>
          <t>Risk</t>
        </is>
      </c>
      <c r="E59" s="69" t="inlineStr">
        <is>
          <t>3-1 month return -22.3% — the recent leg is negative.</t>
        </is>
      </c>
      <c r="F59" s="64" t="n"/>
      <c r="G59" s="51" t="inlineStr">
        <is>
          <t>SwingScope data</t>
        </is>
      </c>
      <c r="H59" s="51" t="n"/>
    </row>
    <row r="60" ht="30" customHeight="1">
      <c r="A60" s="50" t="n">
        <v>8</v>
      </c>
      <c r="B60" s="51" t="inlineStr">
        <is>
          <t>THANGAMAYL</t>
        </is>
      </c>
      <c r="C60" s="51" t="inlineStr">
        <is>
          <t>THANGAMAYIL JEWELLERY LTD</t>
        </is>
      </c>
      <c r="D60" s="78" t="inlineStr">
        <is>
          <t>Risk</t>
        </is>
      </c>
      <c r="E60" s="69" t="inlineStr">
        <is>
          <t>High volatility (58%).</t>
        </is>
      </c>
      <c r="F60" s="64" t="n"/>
      <c r="G60" s="51" t="inlineStr">
        <is>
          <t>SwingScope data</t>
        </is>
      </c>
      <c r="H60" s="51" t="n"/>
    </row>
    <row r="61" ht="30" customHeight="1">
      <c r="A61" s="50" t="n">
        <v>8</v>
      </c>
      <c r="B61" s="51" t="inlineStr">
        <is>
          <t>THANGAMAYL</t>
        </is>
      </c>
      <c r="C61" s="51" t="inlineStr">
        <is>
          <t>THANGAMAYIL JEWELLERY LTD</t>
        </is>
      </c>
      <c r="D61" s="78" t="inlineStr">
        <is>
          <t>Risk</t>
        </is>
      </c>
      <c r="E61" s="69" t="inlineStr">
        <is>
          <t>Thin liquidity (₹37 cr/day) — gap risk in a falling market.</t>
        </is>
      </c>
      <c r="F61" s="64" t="n"/>
      <c r="G61" s="51" t="inlineStr">
        <is>
          <t>SwingScope data</t>
        </is>
      </c>
      <c r="H61" s="51" t="n"/>
    </row>
    <row r="62" ht="30" customHeight="1">
      <c r="A62" s="50" t="n">
        <v>8</v>
      </c>
      <c r="B62" s="51" t="inlineStr">
        <is>
          <t>THANGAMAYL</t>
        </is>
      </c>
      <c r="C62" s="51" t="inlineStr">
        <is>
          <t>THANGAMAYIL JEWELLERY LTD</t>
        </is>
      </c>
      <c r="D62" s="77" t="inlineStr">
        <is>
          <t>Catalyst</t>
        </is>
      </c>
      <c r="E62" s="69" t="inlineStr">
        <is>
          <t>Earnings growth ≈ 86% YoY (latest quarter).</t>
        </is>
      </c>
      <c r="F62" s="64" t="n"/>
      <c r="G62" s="51" t="inlineStr">
        <is>
          <t>SwingScope data</t>
        </is>
      </c>
      <c r="H62" s="51" t="n"/>
    </row>
    <row r="63" ht="30" customHeight="1">
      <c r="A63" s="50" t="n">
        <v>8</v>
      </c>
      <c r="B63" s="51" t="inlineStr">
        <is>
          <t>THANGAMAYL</t>
        </is>
      </c>
      <c r="C63" s="51" t="inlineStr">
        <is>
          <t>THANGAMAYIL JEWELLERY LTD</t>
        </is>
      </c>
      <c r="D63" s="77" t="inlineStr">
        <is>
          <t>Catalyst</t>
        </is>
      </c>
      <c r="E63" s="69" t="inlineStr">
        <is>
          <t>[Results] Thangamayil FY26 Net Profit Jumps 196% to ₹35,165 Lakhs</t>
        </is>
      </c>
      <c r="F63" s="64" t="n"/>
      <c r="G63" s="51" t="inlineStr">
        <is>
          <t>scanx.trade</t>
        </is>
      </c>
      <c r="H63" s="80" t="inlineStr">
        <is>
          <t>open ↗</t>
        </is>
      </c>
    </row>
    <row r="64" ht="30" customHeight="1">
      <c r="A64" s="50" t="n">
        <v>8</v>
      </c>
      <c r="B64" s="51" t="inlineStr">
        <is>
          <t>THANGAMAYL</t>
        </is>
      </c>
      <c r="C64" s="51" t="inlineStr">
        <is>
          <t>THANGAMAYIL JEWELLERY LTD</t>
        </is>
      </c>
      <c r="D64" s="78" t="inlineStr">
        <is>
          <t>Risk</t>
        </is>
      </c>
      <c r="E64" s="69" t="inlineStr">
        <is>
          <t>Since entry: -3.79% (Day 1).</t>
        </is>
      </c>
      <c r="F64" s="64" t="n"/>
      <c r="G64" s="51" t="inlineStr">
        <is>
          <t>SwingScope data</t>
        </is>
      </c>
      <c r="H64" s="51" t="n"/>
    </row>
    <row r="65" ht="30" customHeight="1">
      <c r="A65" s="50" t="n">
        <v>9</v>
      </c>
      <c r="B65" s="51" t="inlineStr">
        <is>
          <t>KIRLOSENG</t>
        </is>
      </c>
      <c r="C65" s="51" t="inlineStr">
        <is>
          <t>KIRLOSKAR OIL ENG LTD</t>
        </is>
      </c>
      <c r="D65" s="78" t="inlineStr">
        <is>
          <t>Risk</t>
        </is>
      </c>
      <c r="E65" s="69" t="inlineStr">
        <is>
          <t>26.3% below its 12-month high — a deep drawdown; the trend is weakening.</t>
        </is>
      </c>
      <c r="F65" s="64" t="n"/>
      <c r="G65" s="51" t="inlineStr">
        <is>
          <t>SwingScope data</t>
        </is>
      </c>
      <c r="H65" s="51" t="n"/>
    </row>
    <row r="66" ht="30" customHeight="1">
      <c r="A66" s="50" t="n">
        <v>9</v>
      </c>
      <c r="B66" s="51" t="inlineStr">
        <is>
          <t>KIRLOSENG</t>
        </is>
      </c>
      <c r="C66" s="51" t="inlineStr">
        <is>
          <t>KIRLOSKAR OIL ENG LTD</t>
        </is>
      </c>
      <c r="D66" s="78" t="inlineStr">
        <is>
          <t>Risk</t>
        </is>
      </c>
      <c r="E66" s="69" t="inlineStr">
        <is>
          <t>Since entry: -4.98% (Day 1).</t>
        </is>
      </c>
      <c r="F66" s="64" t="n"/>
      <c r="G66" s="51" t="inlineStr">
        <is>
          <t>SwingScope data</t>
        </is>
      </c>
      <c r="H66" s="51" t="n"/>
    </row>
    <row r="67" ht="30" customHeight="1">
      <c r="A67" s="50" t="n">
        <v>10</v>
      </c>
      <c r="B67" s="51" t="inlineStr">
        <is>
          <t>SMLMAH</t>
        </is>
      </c>
      <c r="C67" s="51" t="inlineStr">
        <is>
          <t>SML MAHINDRA LIMITED</t>
        </is>
      </c>
      <c r="D67" s="78" t="inlineStr">
        <is>
          <t>Risk</t>
        </is>
      </c>
      <c r="E67" s="69" t="inlineStr">
        <is>
          <t>29.0% below its 12-month high — a deep drawdown; the trend is weakening.</t>
        </is>
      </c>
      <c r="F67" s="64" t="n"/>
      <c r="G67" s="51" t="inlineStr">
        <is>
          <t>SwingScope data</t>
        </is>
      </c>
      <c r="H67" s="51" t="n"/>
    </row>
    <row r="68" ht="30" customHeight="1">
      <c r="A68" s="50" t="n">
        <v>10</v>
      </c>
      <c r="B68" s="51" t="inlineStr">
        <is>
          <t>SMLMAH</t>
        </is>
      </c>
      <c r="C68" s="51" t="inlineStr">
        <is>
          <t>SML MAHINDRA LIMITED</t>
        </is>
      </c>
      <c r="D68" s="77" t="inlineStr">
        <is>
          <t>Catalyst</t>
        </is>
      </c>
      <c r="E68" s="69" t="inlineStr">
        <is>
          <t>3-1 month return +42.7% — recent momentum is accelerating.</t>
        </is>
      </c>
      <c r="F68" s="64" t="n"/>
      <c r="G68" s="51" t="inlineStr">
        <is>
          <t>SwingScope data</t>
        </is>
      </c>
      <c r="H68" s="51" t="n"/>
    </row>
    <row r="69" ht="30" customHeight="1">
      <c r="A69" s="50" t="n">
        <v>10</v>
      </c>
      <c r="B69" s="51" t="inlineStr">
        <is>
          <t>SMLMAH</t>
        </is>
      </c>
      <c r="C69" s="51" t="inlineStr">
        <is>
          <t>SML MAHINDRA LIMITED</t>
        </is>
      </c>
      <c r="D69" s="78" t="inlineStr">
        <is>
          <t>Risk</t>
        </is>
      </c>
      <c r="E69" s="69" t="inlineStr">
        <is>
          <t>High volatility (62%).</t>
        </is>
      </c>
      <c r="F69" s="64" t="n"/>
      <c r="G69" s="51" t="inlineStr">
        <is>
          <t>SwingScope data</t>
        </is>
      </c>
      <c r="H69" s="51" t="n"/>
    </row>
    <row r="70" ht="30" customHeight="1">
      <c r="A70" s="50" t="n">
        <v>10</v>
      </c>
      <c r="B70" s="51" t="inlineStr">
        <is>
          <t>SMLMAH</t>
        </is>
      </c>
      <c r="C70" s="51" t="inlineStr">
        <is>
          <t>SML MAHINDRA LIMITED</t>
        </is>
      </c>
      <c r="D70" s="78" t="inlineStr">
        <is>
          <t>Risk</t>
        </is>
      </c>
      <c r="E70" s="69" t="inlineStr">
        <is>
          <t>Thin liquidity (₹38 cr/day) — gap risk in a falling market.</t>
        </is>
      </c>
      <c r="F70" s="64" t="n"/>
      <c r="G70" s="51" t="inlineStr">
        <is>
          <t>SwingScope data</t>
        </is>
      </c>
      <c r="H70" s="51" t="n"/>
    </row>
    <row r="71" ht="30" customHeight="1">
      <c r="A71" s="50" t="n">
        <v>10</v>
      </c>
      <c r="B71" s="51" t="inlineStr">
        <is>
          <t>SMLMAH</t>
        </is>
      </c>
      <c r="C71" s="51" t="inlineStr">
        <is>
          <t>SML MAHINDRA LIMITED</t>
        </is>
      </c>
      <c r="D71" s="78" t="inlineStr">
        <is>
          <t>Risk</t>
        </is>
      </c>
      <c r="E71" s="69" t="inlineStr">
        <is>
          <t>Since entry: -3.93% (Day 1).</t>
        </is>
      </c>
      <c r="F71" s="64" t="n"/>
      <c r="G71" s="51" t="inlineStr">
        <is>
          <t>SwingScope data</t>
        </is>
      </c>
      <c r="H71" s="51" t="n"/>
    </row>
  </sheetData>
  <mergeCells count="56">
    <mergeCell ref="E43:F43"/>
    <mergeCell ref="E50:F50"/>
    <mergeCell ref="E55:F55"/>
    <mergeCell ref="E24:F24"/>
    <mergeCell ref="E62:F62"/>
    <mergeCell ref="E68:F68"/>
    <mergeCell ref="E33:F33"/>
    <mergeCell ref="E71:F71"/>
    <mergeCell ref="E67:F67"/>
    <mergeCell ref="E42:F42"/>
    <mergeCell ref="E23:F23"/>
    <mergeCell ref="E52:F52"/>
    <mergeCell ref="E48:F48"/>
    <mergeCell ref="E39:F39"/>
    <mergeCell ref="E64:F64"/>
    <mergeCell ref="E44:F44"/>
    <mergeCell ref="E35:F35"/>
    <mergeCell ref="E51:F51"/>
    <mergeCell ref="E20:F20"/>
    <mergeCell ref="A2:I2"/>
    <mergeCell ref="E38:F38"/>
    <mergeCell ref="E29:F29"/>
    <mergeCell ref="E19:F19"/>
    <mergeCell ref="E63:F63"/>
    <mergeCell ref="E28:F28"/>
    <mergeCell ref="E69:F69"/>
    <mergeCell ref="E60:F60"/>
    <mergeCell ref="E40:F40"/>
    <mergeCell ref="E31:F31"/>
    <mergeCell ref="E56:F56"/>
    <mergeCell ref="E65:F65"/>
    <mergeCell ref="E34:F34"/>
    <mergeCell ref="E59:F59"/>
    <mergeCell ref="E30:F30"/>
    <mergeCell ref="E46:F46"/>
    <mergeCell ref="E58:F58"/>
    <mergeCell ref="E49:F49"/>
    <mergeCell ref="E27:F27"/>
    <mergeCell ref="E45:F45"/>
    <mergeCell ref="E36:F36"/>
    <mergeCell ref="E61:F61"/>
    <mergeCell ref="E26:F26"/>
    <mergeCell ref="E70:F70"/>
    <mergeCell ref="E57:F57"/>
    <mergeCell ref="E54:F54"/>
    <mergeCell ref="E32:F32"/>
    <mergeCell ref="E25:F25"/>
    <mergeCell ref="E41:F41"/>
    <mergeCell ref="A1:I1"/>
    <mergeCell ref="E37:F37"/>
    <mergeCell ref="E22:F22"/>
    <mergeCell ref="E53:F53"/>
    <mergeCell ref="E66:F66"/>
    <mergeCell ref="E18:F18"/>
    <mergeCell ref="E47:F47"/>
    <mergeCell ref="E21:F21"/>
  </mergeCells>
  <conditionalFormatting sqref="E5:E14">
    <cfRule type="dataBar" priority="1">
      <dataBar showValue="1">
        <cfvo type="num" val="-2"/>
        <cfvo type="num" val="2"/>
        <color rgb="001F9D63"/>
      </dataBar>
    </cfRule>
  </conditionalFormatting>
  <conditionalFormatting sqref="G5:G14">
    <cfRule type="cellIs" priority="2" operator="greaterThan" dxfId="2">
      <formula>0</formula>
    </cfRule>
    <cfRule type="cellIs" priority="3" operator="lessThan" dxfId="3">
      <formula>0</formula>
    </cfRule>
  </conditionalFormatting>
  <hyperlinks>
    <hyperlink xmlns:r="http://schemas.openxmlformats.org/officeDocument/2006/relationships" ref="H28" r:id="rId1"/>
    <hyperlink xmlns:r="http://schemas.openxmlformats.org/officeDocument/2006/relationships" ref="H34" r:id="rId2"/>
    <hyperlink xmlns:r="http://schemas.openxmlformats.org/officeDocument/2006/relationships" ref="H40" r:id="rId3"/>
    <hyperlink xmlns:r="http://schemas.openxmlformats.org/officeDocument/2006/relationships" ref="H51" r:id="rId4"/>
    <hyperlink xmlns:r="http://schemas.openxmlformats.org/officeDocument/2006/relationships" ref="H56" r:id="rId5"/>
    <hyperlink xmlns:r="http://schemas.openxmlformats.org/officeDocument/2006/relationships" ref="H63" r:id="rId6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G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0" customWidth="1" min="3" max="3"/>
    <col width="20" customWidth="1" min="4" max="4"/>
    <col width="10" customWidth="1" min="5" max="5"/>
    <col width="10" customWidth="1" min="6" max="6"/>
    <col width="9" customWidth="1" min="7" max="7"/>
  </cols>
  <sheetData>
    <row r="1" ht="30" customHeight="1">
      <c r="A1" s="1" t="inlineStr">
        <is>
          <t>Positive News &amp; Sentiment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Fetched 2026-10-30 18:08</t>
        </is>
      </c>
      <c r="B2" s="2" t="n"/>
      <c r="C2" s="2" t="n"/>
      <c r="D2" s="2" t="n"/>
      <c r="E2" s="2" t="n"/>
      <c r="F2" s="2" t="n"/>
      <c r="G2" s="2" t="n"/>
    </row>
    <row r="4">
      <c r="A4" s="14" t="inlineStr">
        <is>
          <t>Symbol</t>
        </is>
      </c>
      <c r="B4" s="14" t="inlineStr">
        <is>
          <t>Published</t>
        </is>
      </c>
      <c r="C4" s="14" t="inlineStr">
        <is>
          <t>Headline</t>
        </is>
      </c>
      <c r="D4" s="14" t="inlineStr">
        <is>
          <t>Source</t>
        </is>
      </c>
      <c r="E4" s="14" t="inlineStr">
        <is>
          <t>Sentiment</t>
        </is>
      </c>
      <c r="F4" s="14" t="inlineStr">
        <is>
          <t>Label</t>
        </is>
      </c>
      <c r="G4" s="14" t="inlineStr">
        <is>
          <t>Link</t>
        </is>
      </c>
    </row>
    <row r="5">
      <c r="A5" s="51" t="inlineStr">
        <is>
          <t>MARKET</t>
        </is>
      </c>
      <c r="B5" s="51" t="inlineStr">
        <is>
          <t>2026-10-30 17:26</t>
        </is>
      </c>
      <c r="C5" s="51" t="inlineStr">
        <is>
          <t>Markets hit 6-month high in Oct on IT rally, Jio Platforms IPO frenzy</t>
        </is>
      </c>
      <c r="D5" s="51" t="inlineStr">
        <is>
          <t>Business Standard</t>
        </is>
      </c>
      <c r="E5" s="81" t="n">
        <v>0.226</v>
      </c>
      <c r="F5" s="51" t="inlineStr">
        <is>
          <t>Positive</t>
        </is>
      </c>
      <c r="G5" s="82" t="inlineStr">
        <is>
          <t>open ↗</t>
        </is>
      </c>
    </row>
    <row r="6">
      <c r="A6" s="51" t="inlineStr">
        <is>
          <t>SYRMA</t>
        </is>
      </c>
      <c r="B6" s="51" t="inlineStr">
        <is>
          <t>2026-10-30 16:35</t>
        </is>
      </c>
      <c r="C6" s="51" t="inlineStr">
        <is>
          <t>Syrma SGS reports best-ever quarter; Q2 revenue up 73% to Rs 1,999.5 crore</t>
        </is>
      </c>
      <c r="D6" s="51" t="inlineStr">
        <is>
          <t>The Economic Times</t>
        </is>
      </c>
      <c r="E6" s="81" t="n">
        <v>0</v>
      </c>
      <c r="F6" s="51" t="inlineStr">
        <is>
          <t>Neutral</t>
        </is>
      </c>
      <c r="G6" s="82" t="inlineStr">
        <is>
          <t>open ↗</t>
        </is>
      </c>
    </row>
    <row r="7">
      <c r="A7" s="51" t="inlineStr">
        <is>
          <t>MARKET</t>
        </is>
      </c>
      <c r="B7" s="51" t="inlineStr">
        <is>
          <t>2026-10-30 16:07</t>
        </is>
      </c>
      <c r="C7" s="51" t="inlineStr">
        <is>
          <t>Sensex Gains 308 Points, Nifty Reclaims 23,000 as IT and Pharma Stocks Lead Recovery</t>
        </is>
      </c>
      <c r="D7" s="51" t="inlineStr">
        <is>
          <t>The Indian Awaaz</t>
        </is>
      </c>
      <c r="E7" s="81" t="n">
        <v>0.649</v>
      </c>
      <c r="F7" s="51" t="inlineStr">
        <is>
          <t>Positive</t>
        </is>
      </c>
      <c r="G7" s="82" t="inlineStr">
        <is>
          <t>open ↗</t>
        </is>
      </c>
    </row>
    <row r="8">
      <c r="A8" s="51" t="inlineStr">
        <is>
          <t>MARKET</t>
        </is>
      </c>
      <c r="B8" s="51" t="inlineStr">
        <is>
          <t>2026-10-30 16:01</t>
        </is>
      </c>
      <c r="C8" s="51" t="inlineStr">
        <is>
          <t>Indian Shares Snap Two-Month Losing Streak, Nifty And Sensex Gain In October</t>
        </is>
      </c>
      <c r="D8" s="51" t="inlineStr">
        <is>
          <t>TradingView</t>
        </is>
      </c>
      <c r="E8" s="81" t="n">
        <v>0.361</v>
      </c>
      <c r="F8" s="51" t="inlineStr">
        <is>
          <t>Positive</t>
        </is>
      </c>
      <c r="G8" s="82" t="inlineStr">
        <is>
          <t>open ↗</t>
        </is>
      </c>
    </row>
    <row r="9">
      <c r="A9" s="51" t="inlineStr">
        <is>
          <t>MARKET</t>
        </is>
      </c>
      <c r="B9" s="51" t="inlineStr">
        <is>
          <t>2026-10-30 15:13</t>
        </is>
      </c>
      <c r="C9" s="51" t="inlineStr">
        <is>
          <t>Sensex Gains 308 Points, Nifty Closes Above 23,000 as IT and Pharma Stocks Lead Rally</t>
        </is>
      </c>
      <c r="D9" s="51" t="inlineStr">
        <is>
          <t>INDIA New England News</t>
        </is>
      </c>
      <c r="E9" s="81" t="n">
        <v>0.8070000000000001</v>
      </c>
      <c r="F9" s="51" t="inlineStr">
        <is>
          <t>Positive</t>
        </is>
      </c>
      <c r="G9" s="82" t="inlineStr">
        <is>
          <t>open ↗</t>
        </is>
      </c>
    </row>
    <row r="10">
      <c r="A10" s="51" t="inlineStr">
        <is>
          <t>SYRMA</t>
        </is>
      </c>
      <c r="B10" s="51" t="inlineStr">
        <is>
          <t>2026-10-30 13:51</t>
        </is>
      </c>
      <c r="C10" s="51" t="inlineStr">
        <is>
          <t>Syrma SGS Q2 results: Profit nearly doubles to ₹117 crore, revenue jumps 74%</t>
        </is>
      </c>
      <c r="D10" s="51" t="inlineStr">
        <is>
          <t>CNBC TV18</t>
        </is>
      </c>
      <c r="E10" s="81" t="n">
        <v>0.66</v>
      </c>
      <c r="F10" s="51" t="inlineStr">
        <is>
          <t>Positive</t>
        </is>
      </c>
      <c r="G10" s="82" t="inlineStr">
        <is>
          <t>open ↗</t>
        </is>
      </c>
    </row>
    <row r="11">
      <c r="A11" s="51" t="inlineStr">
        <is>
          <t>AETHER</t>
        </is>
      </c>
      <c r="B11" s="51" t="inlineStr">
        <is>
          <t>2026-10-30 12:34</t>
        </is>
      </c>
      <c r="C11" s="51" t="inlineStr">
        <is>
          <t>Aether Industries (NSE:AETHER): What Do Aether Industries’ September-Quarter Results Show?</t>
        </is>
      </c>
      <c r="D11" s="51" t="inlineStr">
        <is>
          <t>Kalkine India</t>
        </is>
      </c>
      <c r="E11" s="81" t="n">
        <v>0</v>
      </c>
      <c r="F11" s="51" t="inlineStr">
        <is>
          <t>Neutral</t>
        </is>
      </c>
      <c r="G11" s="82" t="inlineStr">
        <is>
          <t>open ↗</t>
        </is>
      </c>
    </row>
    <row r="12">
      <c r="A12" s="51" t="inlineStr">
        <is>
          <t>MARKET</t>
        </is>
      </c>
      <c r="B12" s="51" t="inlineStr">
        <is>
          <t>2026-10-30 12:12</t>
        </is>
      </c>
      <c r="C12" s="51" t="inlineStr">
        <is>
          <t>Stock markets rise for 2nd session; Sensex gains 300 points on buying in IT stocks</t>
        </is>
      </c>
      <c r="D12" s="51" t="inlineStr">
        <is>
          <t>The Tribune</t>
        </is>
      </c>
      <c r="E12" s="81" t="n">
        <v>0.382</v>
      </c>
      <c r="F12" s="51" t="inlineStr">
        <is>
          <t>Positive</t>
        </is>
      </c>
      <c r="G12" s="82" t="inlineStr">
        <is>
          <t>open ↗</t>
        </is>
      </c>
    </row>
    <row r="13">
      <c r="A13" s="51" t="inlineStr">
        <is>
          <t>MARKET</t>
        </is>
      </c>
      <c r="B13" s="51" t="inlineStr">
        <is>
          <t>2026-10-30 12:05</t>
        </is>
      </c>
      <c r="C13" s="51" t="inlineStr">
        <is>
          <t>Rupee gains 33 paise as dollar weakens, Sensex and Nifty end higher</t>
        </is>
      </c>
      <c r="D13" s="51" t="inlineStr">
        <is>
          <t>The Times of India</t>
        </is>
      </c>
      <c r="E13" s="81" t="n">
        <v>0.459</v>
      </c>
      <c r="F13" s="51" t="inlineStr">
        <is>
          <t>Positive</t>
        </is>
      </c>
      <c r="G13" s="82" t="inlineStr">
        <is>
          <t>open ↗</t>
        </is>
      </c>
    </row>
    <row r="14">
      <c r="A14" s="51" t="inlineStr">
        <is>
          <t>MARKET</t>
        </is>
      </c>
      <c r="B14" s="51" t="inlineStr">
        <is>
          <t>2026-10-30 11:43</t>
        </is>
      </c>
      <c r="C14" s="51" t="inlineStr">
        <is>
          <t>Sensex, Nifty End Higher as IT and Pharma Stocks Lead Gains; Broader Markets Remain Weak</t>
        </is>
      </c>
      <c r="D14" s="51" t="inlineStr">
        <is>
          <t>Business News This Week</t>
        </is>
      </c>
      <c r="E14" s="81" t="n">
        <v>0.402</v>
      </c>
      <c r="F14" s="51" t="inlineStr">
        <is>
          <t>Positive</t>
        </is>
      </c>
      <c r="G14" s="82" t="inlineStr">
        <is>
          <t>open ↗</t>
        </is>
      </c>
    </row>
    <row r="15">
      <c r="A15" s="51" t="inlineStr">
        <is>
          <t>MARKET</t>
        </is>
      </c>
      <c r="B15" s="51" t="inlineStr">
        <is>
          <t>2026-10-30 11:26</t>
        </is>
      </c>
      <c r="C15" s="51" t="inlineStr">
        <is>
          <t>Share Market Today: Nifty 50, Bank Nifty | Oct 30, 2026</t>
        </is>
      </c>
      <c r="D15" s="51" t="inlineStr">
        <is>
          <t>Liquide Blog</t>
        </is>
      </c>
      <c r="E15" s="81" t="n">
        <v>0.66</v>
      </c>
      <c r="F15" s="51" t="inlineStr">
        <is>
          <t>Positive</t>
        </is>
      </c>
      <c r="G15" s="82" t="inlineStr">
        <is>
          <t>open ↗</t>
        </is>
      </c>
    </row>
    <row r="16">
      <c r="A16" s="51" t="inlineStr">
        <is>
          <t>MARKET</t>
        </is>
      </c>
      <c r="B16" s="51" t="inlineStr">
        <is>
          <t>2026-10-30 11:25</t>
        </is>
      </c>
      <c r="C16" s="51" t="inlineStr">
        <is>
          <t>Stock market today: Sensex, Nifty extend gains for second day as IT, pharma stocks lead rally</t>
        </is>
      </c>
      <c r="D16" s="51" t="inlineStr">
        <is>
          <t>IBTimes India</t>
        </is>
      </c>
      <c r="E16" s="81" t="n">
        <v>0.84</v>
      </c>
      <c r="F16" s="51" t="inlineStr">
        <is>
          <t>Positive</t>
        </is>
      </c>
      <c r="G16" s="82" t="inlineStr">
        <is>
          <t>open ↗</t>
        </is>
      </c>
    </row>
    <row r="17">
      <c r="A17" s="51" t="inlineStr">
        <is>
          <t>MARKET</t>
        </is>
      </c>
      <c r="B17" s="51" t="inlineStr">
        <is>
          <t>2026-10-30 11:24</t>
        </is>
      </c>
      <c r="C17" s="51" t="inlineStr">
        <is>
          <t>Green Energy Stocks Decline Despite Sensex Gaining 0.4% On October 30</t>
        </is>
      </c>
      <c r="D17" s="51" t="inlineStr">
        <is>
          <t>SolarQuarter</t>
        </is>
      </c>
      <c r="E17" s="81" t="n">
        <v>-0.428</v>
      </c>
      <c r="F17" s="51" t="inlineStr">
        <is>
          <t>Negative</t>
        </is>
      </c>
      <c r="G17" s="82" t="inlineStr">
        <is>
          <t>open ↗</t>
        </is>
      </c>
    </row>
    <row r="18">
      <c r="A18" s="51" t="inlineStr">
        <is>
          <t>MARKET</t>
        </is>
      </c>
      <c r="B18" s="51" t="inlineStr">
        <is>
          <t>2026-10-30 11:17</t>
        </is>
      </c>
      <c r="C18" s="51" t="inlineStr">
        <is>
          <t>Markets rally for 2nd day amid buying in IT firms, earnings-driven demand in Trent</t>
        </is>
      </c>
      <c r="D18" s="51" t="inlineStr">
        <is>
          <t>OrissaPOST</t>
        </is>
      </c>
      <c r="E18" s="81" t="n">
        <v>0.361</v>
      </c>
      <c r="F18" s="51" t="inlineStr">
        <is>
          <t>Positive</t>
        </is>
      </c>
      <c r="G18" s="82" t="inlineStr">
        <is>
          <t>open ↗</t>
        </is>
      </c>
    </row>
    <row r="19">
      <c r="A19" s="51" t="inlineStr">
        <is>
          <t>SYRMA</t>
        </is>
      </c>
      <c r="B19" s="51" t="inlineStr">
        <is>
          <t>2026-10-30 11:14</t>
        </is>
      </c>
      <c r="C19" s="51" t="inlineStr">
        <is>
          <t>Diwali 2026 Top Stocks To Buy: Apollo Hospitals, GE Vernova, TARIL, TD Power, Jindal Steel, others; top 10 picks, target</t>
        </is>
      </c>
      <c r="D19" s="51" t="inlineStr">
        <is>
          <t>Livemint</t>
        </is>
      </c>
      <c r="E19" s="81" t="n">
        <v>0.66</v>
      </c>
      <c r="F19" s="51" t="inlineStr">
        <is>
          <t>Positive</t>
        </is>
      </c>
      <c r="G19" s="82" t="inlineStr">
        <is>
          <t>open ↗</t>
        </is>
      </c>
    </row>
    <row r="20">
      <c r="A20" s="51" t="inlineStr">
        <is>
          <t>MARKET</t>
        </is>
      </c>
      <c r="B20" s="51" t="inlineStr">
        <is>
          <t>2026-10-30 11:07</t>
        </is>
      </c>
      <c r="C20" s="51" t="inlineStr">
        <is>
          <t>Indian Equities Rally on IT Sector Strength, Trent Earnings</t>
        </is>
      </c>
      <c r="D20" s="51" t="inlineStr">
        <is>
          <t>Rediff</t>
        </is>
      </c>
      <c r="E20" s="81" t="n">
        <v>0.735</v>
      </c>
      <c r="F20" s="51" t="inlineStr">
        <is>
          <t>Positive</t>
        </is>
      </c>
      <c r="G20" s="82" t="inlineStr">
        <is>
          <t>open ↗</t>
        </is>
      </c>
    </row>
    <row r="21">
      <c r="A21" s="51" t="inlineStr">
        <is>
          <t>MARKET</t>
        </is>
      </c>
      <c r="B21" s="51" t="inlineStr">
        <is>
          <t>2026-10-30 11:00</t>
        </is>
      </c>
      <c r="C21" s="51" t="inlineStr">
        <is>
          <t>Sensex Rises Over 300 Points, Nifty Closes Above 23,050; IT, Pharma Stocks Lead Market Gains</t>
        </is>
      </c>
      <c r="D21" s="51" t="inlineStr">
        <is>
          <t>Times Now</t>
        </is>
      </c>
      <c r="E21" s="81" t="n">
        <v>0.649</v>
      </c>
      <c r="F21" s="51" t="inlineStr">
        <is>
          <t>Positive</t>
        </is>
      </c>
      <c r="G21" s="82" t="inlineStr">
        <is>
          <t>open ↗</t>
        </is>
      </c>
    </row>
    <row r="22">
      <c r="A22" s="51" t="inlineStr">
        <is>
          <t>MARKET</t>
        </is>
      </c>
      <c r="B22" s="51" t="inlineStr">
        <is>
          <t>2026-10-30 10:59</t>
        </is>
      </c>
      <c r="C22" s="51" t="inlineStr">
        <is>
          <t>Sensex and Nifty Gain Amid Mixed Sector Performance; Large Caps Lead Market Rally</t>
        </is>
      </c>
      <c r="D22" s="51" t="inlineStr">
        <is>
          <t>MarketsMojo</t>
        </is>
      </c>
      <c r="E22" s="81" t="n">
        <v>0.796</v>
      </c>
      <c r="F22" s="51" t="inlineStr">
        <is>
          <t>Positive</t>
        </is>
      </c>
      <c r="G22" s="82" t="inlineStr">
        <is>
          <t>open ↗</t>
        </is>
      </c>
    </row>
    <row r="23">
      <c r="A23" s="51" t="inlineStr">
        <is>
          <t>MARKET</t>
        </is>
      </c>
      <c r="B23" s="51" t="inlineStr">
        <is>
          <t>2026-10-30 10:56</t>
        </is>
      </c>
      <c r="C23" s="51" t="inlineStr">
        <is>
          <t>Market wrap: Shriram Finance, Nestle India, Trent, InterGlobe top gainers and losers on Nifty and Sensex</t>
        </is>
      </c>
      <c r="D23" s="51" t="inlineStr">
        <is>
          <t>The Economic Times</t>
        </is>
      </c>
      <c r="E23" s="81" t="n">
        <v>0.026</v>
      </c>
      <c r="F23" s="51" t="inlineStr">
        <is>
          <t>Neutral</t>
        </is>
      </c>
      <c r="G23" s="82" t="inlineStr">
        <is>
          <t>open ↗</t>
        </is>
      </c>
    </row>
    <row r="24">
      <c r="A24" s="51" t="inlineStr">
        <is>
          <t>MARKET</t>
        </is>
      </c>
      <c r="B24" s="51" t="inlineStr">
        <is>
          <t>2026-10-30 10:53</t>
        </is>
      </c>
      <c r="C24" s="51" t="inlineStr">
        <is>
          <t>Sensex, Nifty Rise; IT &amp; Pharma Lift Markets as Midcaps Slide</t>
        </is>
      </c>
      <c r="D24" s="51" t="inlineStr">
        <is>
          <t>HDFC Sky</t>
        </is>
      </c>
      <c r="E24" s="81" t="n">
        <v>0.402</v>
      </c>
      <c r="F24" s="51" t="inlineStr">
        <is>
          <t>Positive</t>
        </is>
      </c>
      <c r="G24" s="82" t="inlineStr">
        <is>
          <t>open ↗</t>
        </is>
      </c>
    </row>
    <row r="25">
      <c r="A25" s="51" t="inlineStr">
        <is>
          <t>MARKET</t>
        </is>
      </c>
      <c r="B25" s="51" t="inlineStr">
        <is>
          <t>2026-10-30 10:36</t>
        </is>
      </c>
      <c r="C25" s="51" t="inlineStr">
        <is>
          <t>Closing Bell: Sensex Gains 300 Points, Nifty Reclaims 23,000 Mark as IT Stocks a Lead Rally</t>
        </is>
      </c>
      <c r="D25" s="51" t="inlineStr">
        <is>
          <t>Dalal Street Investment Journal</t>
        </is>
      </c>
      <c r="E25" s="81" t="n">
        <v>0.8070000000000001</v>
      </c>
      <c r="F25" s="51" t="inlineStr">
        <is>
          <t>Positive</t>
        </is>
      </c>
      <c r="G25" s="82" t="inlineStr">
        <is>
          <t>open ↗</t>
        </is>
      </c>
    </row>
    <row r="26">
      <c r="A26" s="51" t="inlineStr">
        <is>
          <t>MARKET</t>
        </is>
      </c>
      <c r="B26" s="51" t="inlineStr">
        <is>
          <t>2026-10-30 10:35</t>
        </is>
      </c>
      <c r="C26" s="51" t="inlineStr">
        <is>
          <t>Sensex rises 308 points, Nifty above 23,000 even as broader markets crash. Will D-Street bulls extend reco</t>
        </is>
      </c>
      <c r="D26" s="51" t="inlineStr">
        <is>
          <t>The Economic Times</t>
        </is>
      </c>
      <c r="E26" s="81" t="n">
        <v>-0.103</v>
      </c>
      <c r="F26" s="51" t="inlineStr">
        <is>
          <t>Neutral</t>
        </is>
      </c>
      <c r="G26" s="82" t="inlineStr">
        <is>
          <t>open ↗</t>
        </is>
      </c>
    </row>
    <row r="27">
      <c r="A27" s="51" t="inlineStr">
        <is>
          <t>MARKET</t>
        </is>
      </c>
      <c r="B27" s="51" t="inlineStr">
        <is>
          <t>2026-10-30 10:31</t>
        </is>
      </c>
      <c r="C27" s="51" t="inlineStr">
        <is>
          <t>Sensex, Nifty extend gains for 2nd day: IT stocks lead rally, broader market underperforms</t>
        </is>
      </c>
      <c r="D27" s="51" t="inlineStr">
        <is>
          <t>IndiaIPO</t>
        </is>
      </c>
      <c r="E27" s="81" t="n">
        <v>0.84</v>
      </c>
      <c r="F27" s="51" t="inlineStr">
        <is>
          <t>Positive</t>
        </is>
      </c>
      <c r="G27" s="82" t="inlineStr">
        <is>
          <t>open ↗</t>
        </is>
      </c>
    </row>
    <row r="28">
      <c r="A28" s="51" t="inlineStr">
        <is>
          <t>MARKET</t>
        </is>
      </c>
      <c r="B28" s="51" t="inlineStr">
        <is>
          <t>2026-10-30 10:31</t>
        </is>
      </c>
      <c r="C28" s="51" t="inlineStr">
        <is>
          <t>Sensex, Nifty extend recovery; what's driving this upmove? -</t>
        </is>
      </c>
      <c r="D28" s="51" t="inlineStr">
        <is>
          <t>IndiaIPO</t>
        </is>
      </c>
      <c r="E28" s="81" t="n">
        <v>0.527</v>
      </c>
      <c r="F28" s="51" t="inlineStr">
        <is>
          <t>Positive</t>
        </is>
      </c>
      <c r="G28" s="82" t="inlineStr">
        <is>
          <t>open ↗</t>
        </is>
      </c>
    </row>
    <row r="29">
      <c r="A29" s="51" t="inlineStr">
        <is>
          <t>MARKET</t>
        </is>
      </c>
      <c r="B29" s="51" t="inlineStr">
        <is>
          <t>2026-10-30 10:30</t>
        </is>
      </c>
      <c r="C29" s="51" t="inlineStr">
        <is>
          <t>Markets reverse last week's losses; Nifty crosses 23,000, pharma jumps 7% weekly</t>
        </is>
      </c>
      <c r="D29" s="51" t="inlineStr">
        <is>
          <t>NewsDrum</t>
        </is>
      </c>
      <c r="E29" s="81" t="n">
        <v>0.44</v>
      </c>
      <c r="F29" s="51" t="inlineStr">
        <is>
          <t>Positive</t>
        </is>
      </c>
      <c r="G29" s="82" t="inlineStr">
        <is>
          <t>open ↗</t>
        </is>
      </c>
    </row>
    <row r="30">
      <c r="A30" s="51" t="inlineStr">
        <is>
          <t>MARKET</t>
        </is>
      </c>
      <c r="B30" s="51" t="inlineStr">
        <is>
          <t>2026-10-30 10:28</t>
        </is>
      </c>
      <c r="C30" s="51" t="inlineStr">
        <is>
          <t>Sensex Today Ends 308 Points Higher | Nifty Above 22,300 | Vedanta Oil and Gas Up 8%</t>
        </is>
      </c>
      <c r="D30" s="51" t="inlineStr">
        <is>
          <t>Equitymaster</t>
        </is>
      </c>
      <c r="E30" s="81" t="n">
        <v>0.402</v>
      </c>
      <c r="F30" s="51" t="inlineStr">
        <is>
          <t>Positive</t>
        </is>
      </c>
      <c r="G30" s="82" t="inlineStr">
        <is>
          <t>open ↗</t>
        </is>
      </c>
    </row>
    <row r="31">
      <c r="A31" s="51" t="inlineStr">
        <is>
          <t>MARKET</t>
        </is>
      </c>
      <c r="B31" s="51" t="inlineStr">
        <is>
          <t>2026-10-30 10:26</t>
        </is>
      </c>
      <c r="C31" s="51" t="inlineStr">
        <is>
          <t>Sensex, Nifty close with gain of 0.5% as IT, pharma stocks rally; weak broader market limits gains</t>
        </is>
      </c>
      <c r="D31" s="51" t="inlineStr">
        <is>
          <t>ChiniMandi</t>
        </is>
      </c>
      <c r="E31" s="81" t="n">
        <v>0.796</v>
      </c>
      <c r="F31" s="51" t="inlineStr">
        <is>
          <t>Positive</t>
        </is>
      </c>
      <c r="G31" s="82" t="inlineStr">
        <is>
          <t>open ↗</t>
        </is>
      </c>
    </row>
    <row r="32">
      <c r="A32" s="51" t="inlineStr">
        <is>
          <t>MARKET</t>
        </is>
      </c>
      <c r="B32" s="51" t="inlineStr">
        <is>
          <t>2026-10-30 10:21</t>
        </is>
      </c>
      <c r="C32" s="51" t="inlineStr">
        <is>
          <t>Taking Stock: Nifty reclaims 23,000, Sensex gains 308 points led by IT, pharma stocks</t>
        </is>
      </c>
      <c r="D32" s="51" t="inlineStr">
        <is>
          <t>Moneycontrol.com</t>
        </is>
      </c>
      <c r="E32" s="81" t="n">
        <v>0.649</v>
      </c>
      <c r="F32" s="51" t="inlineStr">
        <is>
          <t>Positive</t>
        </is>
      </c>
      <c r="G32" s="82" t="inlineStr">
        <is>
          <t>open ↗</t>
        </is>
      </c>
    </row>
    <row r="33">
      <c r="A33" s="51" t="inlineStr">
        <is>
          <t>MARKET</t>
        </is>
      </c>
      <c r="B33" s="51" t="inlineStr">
        <is>
          <t>2026-10-30 10:05</t>
        </is>
      </c>
      <c r="C33" s="51" t="inlineStr">
        <is>
          <t>Closing Bell: Sensex rises 308 points, Nifty tops 23,000; IT, pharma stocks lead recovery</t>
        </is>
      </c>
      <c r="D33" s="51" t="inlineStr">
        <is>
          <t>Zee Business</t>
        </is>
      </c>
      <c r="E33" s="81" t="n">
        <v>0.718</v>
      </c>
      <c r="F33" s="51" t="inlineStr">
        <is>
          <t>Positive</t>
        </is>
      </c>
      <c r="G33" s="82" t="inlineStr">
        <is>
          <t>open ↗</t>
        </is>
      </c>
    </row>
    <row r="34">
      <c r="A34" s="51" t="inlineStr">
        <is>
          <t>MARKET</t>
        </is>
      </c>
      <c r="B34" s="51" t="inlineStr">
        <is>
          <t>2026-10-30 10:03</t>
        </is>
      </c>
      <c r="C34" s="51" t="inlineStr">
        <is>
          <t>Sensex ends 308 points higher, Nifty above 23,000; Trent up 5%</t>
        </is>
      </c>
      <c r="D34" s="51" t="inlineStr">
        <is>
          <t>India Today</t>
        </is>
      </c>
      <c r="E34" s="81" t="n">
        <v>0.402</v>
      </c>
      <c r="F34" s="51" t="inlineStr">
        <is>
          <t>Positive</t>
        </is>
      </c>
      <c r="G34" s="82" t="inlineStr">
        <is>
          <t>open ↗</t>
        </is>
      </c>
    </row>
    <row r="35">
      <c r="A35" s="51" t="inlineStr">
        <is>
          <t>MARKET</t>
        </is>
      </c>
      <c r="B35" s="51" t="inlineStr">
        <is>
          <t>2026-10-30 09:52</t>
        </is>
      </c>
      <c r="C35" s="51" t="inlineStr">
        <is>
          <t>Market Wrap: Sensex Gains 308 Points, Nifty 50 Ends Above 23,000; Trent, IndiGo, Infosys Lead</t>
        </is>
      </c>
      <c r="D35" s="51" t="inlineStr">
        <is>
          <t>NDTV Profit</t>
        </is>
      </c>
      <c r="E35" s="81" t="n">
        <v>0.649</v>
      </c>
      <c r="F35" s="51" t="inlineStr">
        <is>
          <t>Positive</t>
        </is>
      </c>
      <c r="G35" s="82" t="inlineStr">
        <is>
          <t>open ↗</t>
        </is>
      </c>
    </row>
    <row r="36">
      <c r="A36" s="51" t="inlineStr">
        <is>
          <t>MARKET</t>
        </is>
      </c>
      <c r="B36" s="51" t="inlineStr">
        <is>
          <t>2026-10-30 08:59</t>
        </is>
      </c>
      <c r="C36" s="51" t="inlineStr">
        <is>
          <t>Sensex Rises 298 Points, Nifty 50 Crosses 23,000 as IT Stocks Lead Gains</t>
        </is>
      </c>
      <c r="D36" s="51" t="inlineStr">
        <is>
          <t>Dalal Street Investment Journal</t>
        </is>
      </c>
      <c r="E36" s="81" t="n">
        <v>0.649</v>
      </c>
      <c r="F36" s="51" t="inlineStr">
        <is>
          <t>Positive</t>
        </is>
      </c>
      <c r="G36" s="82" t="inlineStr">
        <is>
          <t>open ↗</t>
        </is>
      </c>
    </row>
    <row r="37">
      <c r="A37" s="51" t="inlineStr">
        <is>
          <t>CPPLUS</t>
        </is>
      </c>
      <c r="B37" s="51" t="inlineStr">
        <is>
          <t>2026-10-30 08:44</t>
        </is>
      </c>
      <c r="C37" s="51" t="inlineStr">
        <is>
          <t>Aditya Infotech CPPLUS ESOP Allotment 48,100 Shares Oct 2026</t>
        </is>
      </c>
      <c r="D37" s="51" t="inlineStr">
        <is>
          <t>Kalkine India</t>
        </is>
      </c>
      <c r="E37" s="81" t="n">
        <v>0</v>
      </c>
      <c r="F37" s="51" t="inlineStr">
        <is>
          <t>Neutral</t>
        </is>
      </c>
      <c r="G37" s="82" t="inlineStr">
        <is>
          <t>open ↗</t>
        </is>
      </c>
    </row>
    <row r="38">
      <c r="A38" s="51" t="inlineStr">
        <is>
          <t>AETHER</t>
        </is>
      </c>
      <c r="B38" s="51" t="inlineStr">
        <is>
          <t>2026-10-30 08:35</t>
        </is>
      </c>
      <c r="C38" s="51" t="inlineStr">
        <is>
          <t>Aether Industries reports robust Q2 FY27 financial performance with ₹3,472M in operating revenue</t>
        </is>
      </c>
      <c r="D38" s="51" t="inlineStr">
        <is>
          <t>Business Upturn</t>
        </is>
      </c>
      <c r="E38" s="81" t="n">
        <v>0.421</v>
      </c>
      <c r="F38" s="51" t="inlineStr">
        <is>
          <t>Positive</t>
        </is>
      </c>
      <c r="G38" s="82" t="inlineStr">
        <is>
          <t>open ↗</t>
        </is>
      </c>
    </row>
    <row r="39">
      <c r="A39" s="51" t="inlineStr">
        <is>
          <t>MARKET</t>
        </is>
      </c>
      <c r="B39" s="51" t="inlineStr">
        <is>
          <t>2026-10-30 08:02</t>
        </is>
      </c>
      <c r="C39" s="51" t="inlineStr">
        <is>
          <t>Sensex zooms 1,200 pts in 2 days, Nifty tops 23K: Why are bulls in charge?</t>
        </is>
      </c>
      <c r="D39" s="51" t="inlineStr">
        <is>
          <t>Business Standard</t>
        </is>
      </c>
      <c r="E39" s="81" t="n">
        <v>0.718</v>
      </c>
      <c r="F39" s="51" t="inlineStr">
        <is>
          <t>Positive</t>
        </is>
      </c>
      <c r="G39" s="82" t="inlineStr">
        <is>
          <t>open ↗</t>
        </is>
      </c>
    </row>
    <row r="40">
      <c r="A40" s="51" t="inlineStr">
        <is>
          <t>MARKET</t>
        </is>
      </c>
      <c r="B40" s="51" t="inlineStr">
        <is>
          <t>2026-10-30 07:52</t>
        </is>
      </c>
      <c r="C40" s="51" t="inlineStr">
        <is>
          <t>IndiGo, Trent, Vedanta Power among buzzing stocks as SENSEX gains over 500 pts; NIFTY trades above 23K</t>
        </is>
      </c>
      <c r="D40" s="51" t="inlineStr">
        <is>
          <t>Upstox</t>
        </is>
      </c>
      <c r="E40" s="81" t="n">
        <v>0.721</v>
      </c>
      <c r="F40" s="51" t="inlineStr">
        <is>
          <t>Positive</t>
        </is>
      </c>
      <c r="G40" s="82" t="inlineStr">
        <is>
          <t>open ↗</t>
        </is>
      </c>
    </row>
    <row r="41">
      <c r="A41" s="51" t="inlineStr">
        <is>
          <t>MARKET</t>
        </is>
      </c>
      <c r="B41" s="51" t="inlineStr">
        <is>
          <t>2026-10-30 07:31</t>
        </is>
      </c>
      <c r="C41" s="51" t="inlineStr">
        <is>
          <t>Why Stock Market Is Rallying? Nifty Reclaims 23,100, Sensex Surges 500 Points; Three Reasons Why</t>
        </is>
      </c>
      <c r="D41" s="51" t="inlineStr">
        <is>
          <t>NDTV Profit</t>
        </is>
      </c>
      <c r="E41" s="81" t="n">
        <v>0.71</v>
      </c>
      <c r="F41" s="51" t="inlineStr">
        <is>
          <t>Positive</t>
        </is>
      </c>
      <c r="G41" s="82" t="inlineStr">
        <is>
          <t>open ↗</t>
        </is>
      </c>
    </row>
    <row r="42">
      <c r="A42" s="51" t="inlineStr">
        <is>
          <t>MARKET</t>
        </is>
      </c>
      <c r="B42" s="51" t="inlineStr">
        <is>
          <t>2026-10-30 06:40</t>
        </is>
      </c>
      <c r="C42" s="51" t="inlineStr">
        <is>
          <t>Passive funds could buy up to Rs 36,500 crore upon Jio Platforms' entry into Nifty, Sensex</t>
        </is>
      </c>
      <c r="D42" s="51" t="inlineStr">
        <is>
          <t>Moneycontrol.com</t>
        </is>
      </c>
      <c r="E42" s="81" t="n">
        <v>0.6909999999999999</v>
      </c>
      <c r="F42" s="51" t="inlineStr">
        <is>
          <t>Positive</t>
        </is>
      </c>
      <c r="G42" s="82" t="inlineStr">
        <is>
          <t>open ↗</t>
        </is>
      </c>
    </row>
    <row r="43">
      <c r="A43" s="51" t="inlineStr">
        <is>
          <t>AETHER</t>
        </is>
      </c>
      <c r="B43" s="51" t="inlineStr">
        <is>
          <t>2026-10-30 06:37</t>
        </is>
      </c>
      <c r="C43" s="51" t="inlineStr">
        <is>
          <t>AETHER Share Price Today - Aether Industries on NSE/BSE</t>
        </is>
      </c>
      <c r="D43" s="51" t="inlineStr">
        <is>
          <t>scanx.trade</t>
        </is>
      </c>
      <c r="E43" s="81" t="n">
        <v>0</v>
      </c>
      <c r="F43" s="51" t="inlineStr">
        <is>
          <t>Neutral</t>
        </is>
      </c>
      <c r="G43" s="82" t="inlineStr">
        <is>
          <t>open ↗</t>
        </is>
      </c>
    </row>
    <row r="44">
      <c r="A44" s="51" t="inlineStr">
        <is>
          <t>AETHER</t>
        </is>
      </c>
      <c r="B44" s="51" t="inlineStr">
        <is>
          <t>2026-10-30 06:35</t>
        </is>
      </c>
      <c r="C44" s="51" t="inlineStr">
        <is>
          <t>Aether Industries Q2 FY27: Net profit rises 26% to ₹68 crore as revenue climbs 24% to ₹347 crore</t>
        </is>
      </c>
      <c r="D44" s="51" t="inlineStr">
        <is>
          <t>Business Upturn</t>
        </is>
      </c>
      <c r="E44" s="81" t="n">
        <v>0.612</v>
      </c>
      <c r="F44" s="51" t="inlineStr">
        <is>
          <t>Positive</t>
        </is>
      </c>
      <c r="G44" s="82" t="inlineStr">
        <is>
          <t>open ↗</t>
        </is>
      </c>
    </row>
    <row r="45">
      <c r="A45" s="51" t="inlineStr">
        <is>
          <t>AETHER</t>
        </is>
      </c>
      <c r="B45" s="51" t="inlineStr">
        <is>
          <t>2026-10-30 06:31</t>
        </is>
      </c>
      <c r="C45" s="51" t="inlineStr">
        <is>
          <t>Aether Industries Q2 FY27 Results: Revenue, EBITDA and PAT</t>
        </is>
      </c>
      <c r="D45" s="51" t="inlineStr">
        <is>
          <t>Kalkine India</t>
        </is>
      </c>
      <c r="E45" s="81" t="n">
        <v>0</v>
      </c>
      <c r="F45" s="51" t="inlineStr">
        <is>
          <t>Neutral</t>
        </is>
      </c>
      <c r="G45" s="82" t="inlineStr">
        <is>
          <t>open ↗</t>
        </is>
      </c>
    </row>
    <row r="46">
      <c r="A46" s="51" t="inlineStr">
        <is>
          <t>MARKET</t>
        </is>
      </c>
      <c r="B46" s="51" t="inlineStr">
        <is>
          <t>2026-10-30 06:14</t>
        </is>
      </c>
      <c r="C46" s="51" t="inlineStr">
        <is>
          <t>Sensex Today Live: Sensex, Nifty Trade Higher; Trent, IndiGo Gain, Coal India Shares Fall</t>
        </is>
      </c>
      <c r="D46" s="51" t="inlineStr">
        <is>
          <t>The Sunday Guardian</t>
        </is>
      </c>
      <c r="E46" s="81" t="n">
        <v>0.402</v>
      </c>
      <c r="F46" s="51" t="inlineStr">
        <is>
          <t>Positive</t>
        </is>
      </c>
      <c r="G46" s="82" t="inlineStr">
        <is>
          <t>open ↗</t>
        </is>
      </c>
    </row>
    <row r="47">
      <c r="A47" s="51" t="inlineStr">
        <is>
          <t>MARKET</t>
        </is>
      </c>
      <c r="B47" s="51" t="inlineStr">
        <is>
          <t>2026-10-30 05:55</t>
        </is>
      </c>
      <c r="C47" s="51" t="inlineStr">
        <is>
          <t>Sensex, Nifty open flat as crude oil prices remain elevated; IT stocks gain</t>
        </is>
      </c>
      <c r="D47" s="51" t="inlineStr">
        <is>
          <t>Telangana Today</t>
        </is>
      </c>
      <c r="E47" s="81" t="n">
        <v>0.103</v>
      </c>
      <c r="F47" s="51" t="inlineStr">
        <is>
          <t>Neutral</t>
        </is>
      </c>
      <c r="G47" s="82" t="inlineStr">
        <is>
          <t>open ↗</t>
        </is>
      </c>
    </row>
    <row r="48">
      <c r="A48" s="51" t="inlineStr">
        <is>
          <t>MARKET</t>
        </is>
      </c>
      <c r="B48" s="51" t="inlineStr">
        <is>
          <t>2026-10-30 05:50</t>
        </is>
      </c>
      <c r="C48" s="51" t="inlineStr">
        <is>
          <t>BSE IT index set to report 2nd sharpest monthly rally in over two decades</t>
        </is>
      </c>
      <c r="D48" s="51" t="inlineStr">
        <is>
          <t>Business Standard</t>
        </is>
      </c>
      <c r="E48" s="81" t="n">
        <v>0.459</v>
      </c>
      <c r="F48" s="51" t="inlineStr">
        <is>
          <t>Positive</t>
        </is>
      </c>
      <c r="G48" s="82" t="inlineStr">
        <is>
          <t>open ↗</t>
        </is>
      </c>
    </row>
    <row r="49">
      <c r="A49" s="51" t="inlineStr">
        <is>
          <t>MARKET</t>
        </is>
      </c>
      <c r="B49" s="51" t="inlineStr">
        <is>
          <t>2026-10-30 05:36</t>
        </is>
      </c>
      <c r="C49" s="51" t="inlineStr">
        <is>
          <t>Sensex, Nifty turn lower; broader markets crash as oil tops $116/barrel. What lies ahead?</t>
        </is>
      </c>
      <c r="D49" s="51" t="inlineStr">
        <is>
          <t>The Economic Times</t>
        </is>
      </c>
      <c r="E49" s="81" t="n">
        <v>-0.34</v>
      </c>
      <c r="F49" s="51" t="inlineStr">
        <is>
          <t>Negative</t>
        </is>
      </c>
      <c r="G49" s="82" t="inlineStr">
        <is>
          <t>open ↗</t>
        </is>
      </c>
    </row>
    <row r="50">
      <c r="A50" s="51" t="inlineStr">
        <is>
          <t>MARKET</t>
        </is>
      </c>
      <c r="B50" s="51" t="inlineStr">
        <is>
          <t>2026-10-30 05:14</t>
        </is>
      </c>
      <c r="C50" s="51" t="inlineStr">
        <is>
          <t>Breakout stocks: Adani Ports, Nykaa, Saregama on radar; analyst tells why</t>
        </is>
      </c>
      <c r="D50" s="51" t="inlineStr">
        <is>
          <t>Business Standard</t>
        </is>
      </c>
      <c r="E50" s="81" t="n">
        <v>0.421</v>
      </c>
      <c r="F50" s="51" t="inlineStr">
        <is>
          <t>Positive</t>
        </is>
      </c>
      <c r="G50" s="82" t="inlineStr">
        <is>
          <t>open ↗</t>
        </is>
      </c>
    </row>
    <row r="51">
      <c r="A51" s="51" t="inlineStr">
        <is>
          <t>MARKET</t>
        </is>
      </c>
      <c r="B51" s="51" t="inlineStr">
        <is>
          <t>2026-10-30 05:13</t>
        </is>
      </c>
      <c r="C51" s="51" t="inlineStr">
        <is>
          <t>Sensex, Nifty Open Volatile; India VIX Rises, Crude Above $116</t>
        </is>
      </c>
      <c r="D51" s="51" t="inlineStr">
        <is>
          <t>HDFC Sky</t>
        </is>
      </c>
      <c r="E51" s="81" t="n">
        <v>-0.25</v>
      </c>
      <c r="F51" s="51" t="inlineStr">
        <is>
          <t>Negative</t>
        </is>
      </c>
      <c r="G51" s="82" t="inlineStr">
        <is>
          <t>open ↗</t>
        </is>
      </c>
    </row>
    <row r="52">
      <c r="A52" s="51" t="inlineStr">
        <is>
          <t>MARKET</t>
        </is>
      </c>
      <c r="B52" s="51" t="inlineStr">
        <is>
          <t>2026-10-30 05:07</t>
        </is>
      </c>
      <c r="C52" s="51" t="inlineStr">
        <is>
          <t>Sensex, Nifty trade flat as IT gains counter crude oil concerns</t>
        </is>
      </c>
      <c r="D52" s="51" t="inlineStr">
        <is>
          <t>India Today</t>
        </is>
      </c>
      <c r="E52" s="81" t="n">
        <v>0.153</v>
      </c>
      <c r="F52" s="51" t="inlineStr">
        <is>
          <t>Neutral</t>
        </is>
      </c>
      <c r="G52" s="82" t="inlineStr">
        <is>
          <t>open ↗</t>
        </is>
      </c>
    </row>
    <row r="53">
      <c r="A53" s="51" t="inlineStr">
        <is>
          <t>MARKET</t>
        </is>
      </c>
      <c r="B53" s="51" t="inlineStr">
        <is>
          <t>2026-10-30 05:01</t>
        </is>
      </c>
      <c r="C53" s="51" t="inlineStr">
        <is>
          <t>Sensex Today Trades Flat | Nifty Below 22,950 | BSE Telecommunication Down 1.7%</t>
        </is>
      </c>
      <c r="D53" s="51" t="inlineStr">
        <is>
          <t>Equitymaster</t>
        </is>
      </c>
      <c r="E53" s="81" t="n">
        <v>0.402</v>
      </c>
      <c r="F53" s="51" t="inlineStr">
        <is>
          <t>Positive</t>
        </is>
      </c>
      <c r="G53" s="82" t="inlineStr">
        <is>
          <t>open ↗</t>
        </is>
      </c>
    </row>
    <row r="54">
      <c r="A54" s="51" t="inlineStr">
        <is>
          <t>MARKET</t>
        </is>
      </c>
      <c r="B54" s="51" t="inlineStr">
        <is>
          <t>2026-10-30 04:58</t>
        </is>
      </c>
      <c r="C54" s="51" t="inlineStr">
        <is>
          <t>Sensex, Nifty Rally 2nd Day on IT Buying, Trent Earnings</t>
        </is>
      </c>
      <c r="D54" s="51" t="inlineStr">
        <is>
          <t>Rediff MoneyWiz</t>
        </is>
      </c>
      <c r="E54" s="81" t="n">
        <v>0.6909999999999999</v>
      </c>
      <c r="F54" s="51" t="inlineStr">
        <is>
          <t>Positive</t>
        </is>
      </c>
      <c r="G54" s="82" t="inlineStr">
        <is>
          <t>open ↗</t>
        </is>
      </c>
    </row>
    <row r="55">
      <c r="A55" s="51" t="inlineStr">
        <is>
          <t>MARKET</t>
        </is>
      </c>
      <c r="B55" s="51" t="inlineStr">
        <is>
          <t>2026-10-30 04:57</t>
        </is>
      </c>
      <c r="C55" s="51" t="inlineStr">
        <is>
          <t>Stock Markets Today: Sensex, Nifty Up on Gains in IT Stocks</t>
        </is>
      </c>
      <c r="D55" s="51" t="inlineStr">
        <is>
          <t>Rediff</t>
        </is>
      </c>
      <c r="E55" s="81" t="n">
        <v>0.649</v>
      </c>
      <c r="F55" s="51" t="inlineStr">
        <is>
          <t>Positive</t>
        </is>
      </c>
      <c r="G55" s="82" t="inlineStr">
        <is>
          <t>open ↗</t>
        </is>
      </c>
    </row>
    <row r="56">
      <c r="A56" s="51" t="inlineStr">
        <is>
          <t>MARKET</t>
        </is>
      </c>
      <c r="B56" s="51" t="inlineStr">
        <is>
          <t>2026-10-30 04:50</t>
        </is>
      </c>
      <c r="C56" s="51" t="inlineStr">
        <is>
          <t>Stock market today: Sensex opens higher, Trent rallies; Suzlon tumbles 8%</t>
        </is>
      </c>
      <c r="D56" s="51" t="inlineStr">
        <is>
          <t>NewsDrum</t>
        </is>
      </c>
      <c r="E56" s="81" t="n">
        <v>-0.052</v>
      </c>
      <c r="F56" s="51" t="inlineStr">
        <is>
          <t>Neutral</t>
        </is>
      </c>
      <c r="G56" s="82" t="inlineStr">
        <is>
          <t>open ↗</t>
        </is>
      </c>
    </row>
    <row r="57">
      <c r="A57" s="51" t="inlineStr">
        <is>
          <t>MARKET</t>
        </is>
      </c>
      <c r="B57" s="51" t="inlineStr">
        <is>
          <t>2026-10-30 04:47</t>
        </is>
      </c>
      <c r="C57" s="51" t="inlineStr">
        <is>
          <t>Stock Market Today: Sensex Gains in Early Trade as Investors Focus on Earnings and Global Cues</t>
        </is>
      </c>
      <c r="D57" s="51" t="inlineStr">
        <is>
          <t>Business News This Week</t>
        </is>
      </c>
      <c r="E57" s="81" t="n">
        <v>0.382</v>
      </c>
      <c r="F57" s="51" t="inlineStr">
        <is>
          <t>Positive</t>
        </is>
      </c>
      <c r="G57" s="82" t="inlineStr">
        <is>
          <t>open ↗</t>
        </is>
      </c>
    </row>
    <row r="58">
      <c r="A58" s="51" t="inlineStr">
        <is>
          <t>MARKET</t>
        </is>
      </c>
      <c r="B58" s="51" t="inlineStr">
        <is>
          <t>2026-10-30 04:26</t>
        </is>
      </c>
      <c r="C58" s="51" t="inlineStr">
        <is>
          <t>BLS Polymers IPO allotment today; GMP at 45% — check status on BSE, NSE and registrar</t>
        </is>
      </c>
      <c r="D58" s="51" t="inlineStr">
        <is>
          <t>Moneycontrol.com</t>
        </is>
      </c>
      <c r="E58" s="81" t="n">
        <v>0</v>
      </c>
      <c r="F58" s="51" t="inlineStr">
        <is>
          <t>Neutral</t>
        </is>
      </c>
      <c r="G58" s="82" t="inlineStr">
        <is>
          <t>open ↗</t>
        </is>
      </c>
    </row>
    <row r="59">
      <c r="A59" s="51" t="inlineStr">
        <is>
          <t>MARKET</t>
        </is>
      </c>
      <c r="B59" s="51" t="inlineStr">
        <is>
          <t>2026-10-30 04:19</t>
        </is>
      </c>
      <c r="C59" s="51" t="inlineStr">
        <is>
          <t>Sensex, Nifty open marginally higher amid rising crude prices, weak global cues</t>
        </is>
      </c>
      <c r="D59" s="51" t="inlineStr">
        <is>
          <t>TradingView</t>
        </is>
      </c>
      <c r="E59" s="81" t="n">
        <v>-0.5570000000000001</v>
      </c>
      <c r="F59" s="51" t="inlineStr">
        <is>
          <t>Negative</t>
        </is>
      </c>
      <c r="G59" s="82" t="inlineStr">
        <is>
          <t>open ↗</t>
        </is>
      </c>
    </row>
    <row r="60">
      <c r="A60" s="51" t="inlineStr">
        <is>
          <t>SYRMA</t>
        </is>
      </c>
      <c r="B60" s="51" t="inlineStr">
        <is>
          <t>2026-10-30 04:16</t>
        </is>
      </c>
      <c r="C60" s="51" t="inlineStr">
        <is>
          <t>SYRMA Stock Price and Chart — NSE:SYRMA</t>
        </is>
      </c>
      <c r="D60" s="51" t="inlineStr">
        <is>
          <t>TradingView</t>
        </is>
      </c>
      <c r="E60" s="81" t="n">
        <v>0</v>
      </c>
      <c r="F60" s="51" t="inlineStr">
        <is>
          <t>Neutral</t>
        </is>
      </c>
      <c r="G60" s="82" t="inlineStr">
        <is>
          <t>open ↗</t>
        </is>
      </c>
    </row>
    <row r="61">
      <c r="A61" s="51" t="inlineStr">
        <is>
          <t>MARKET</t>
        </is>
      </c>
      <c r="B61" s="51" t="inlineStr">
        <is>
          <t>2026-10-30 04:14</t>
        </is>
      </c>
      <c r="C61" s="51" t="inlineStr">
        <is>
          <t>SFC Environmental Technologies IPO allotment: How to check status online on NSE, BSE, MUFG Intime India; listing date, time here</t>
        </is>
      </c>
      <c r="D61" s="51" t="inlineStr">
        <is>
          <t>Upstox</t>
        </is>
      </c>
      <c r="E61" s="81" t="n">
        <v>0</v>
      </c>
      <c r="F61" s="51" t="inlineStr">
        <is>
          <t>Neutral</t>
        </is>
      </c>
      <c r="G61" s="82" t="inlineStr">
        <is>
          <t>open ↗</t>
        </is>
      </c>
    </row>
    <row r="62">
      <c r="A62" s="51" t="inlineStr">
        <is>
          <t>MARKET</t>
        </is>
      </c>
      <c r="B62" s="51" t="inlineStr">
        <is>
          <t>2026-10-30 04:11</t>
        </is>
      </c>
      <c r="C62" s="51" t="inlineStr">
        <is>
          <t>Sensex, Nifty open flat amid high crude oil prices, jump in IT stocks | Business News</t>
        </is>
      </c>
      <c r="D62" s="51" t="inlineStr">
        <is>
          <t>Hindustan Times</t>
        </is>
      </c>
      <c r="E62" s="81" t="n">
        <v>0.382</v>
      </c>
      <c r="F62" s="51" t="inlineStr">
        <is>
          <t>Positive</t>
        </is>
      </c>
      <c r="G62" s="82" t="inlineStr">
        <is>
          <t>open ↗</t>
        </is>
      </c>
    </row>
    <row r="63">
      <c r="A63" s="51" t="inlineStr">
        <is>
          <t>MARKET</t>
        </is>
      </c>
      <c r="B63" s="51" t="inlineStr">
        <is>
          <t>2026-10-30 03:59</t>
        </is>
      </c>
      <c r="C63" s="51" t="inlineStr">
        <is>
          <t>Coal India falls 3% post Q2 results but brokerages upbeat on PSU stock</t>
        </is>
      </c>
      <c r="D63" s="51" t="inlineStr">
        <is>
          <t>Business Standard</t>
        </is>
      </c>
      <c r="E63" s="81" t="n">
        <v>-0.202</v>
      </c>
      <c r="F63" s="51" t="inlineStr">
        <is>
          <t>Negative</t>
        </is>
      </c>
      <c r="G63" s="82" t="inlineStr">
        <is>
          <t>open ↗</t>
        </is>
      </c>
    </row>
    <row r="64">
      <c r="A64" s="51" t="inlineStr">
        <is>
          <t>MARKET</t>
        </is>
      </c>
      <c r="B64" s="51" t="inlineStr">
        <is>
          <t>2026-10-30 03:51</t>
        </is>
      </c>
      <c r="C64" s="51" t="inlineStr">
        <is>
          <t>Stock Market Today (October 30): Sensex, Nifty Open Flat; Rising Oil Prices, Geopolitical Tensions In Focus</t>
        </is>
      </c>
      <c r="D64" s="51" t="inlineStr">
        <is>
          <t>Times Now</t>
        </is>
      </c>
      <c r="E64" s="81" t="n">
        <v>0</v>
      </c>
      <c r="F64" s="51" t="inlineStr">
        <is>
          <t>Neutral</t>
        </is>
      </c>
      <c r="G64" s="82" t="inlineStr">
        <is>
          <t>open ↗</t>
        </is>
      </c>
    </row>
    <row r="65">
      <c r="A65" s="51" t="inlineStr">
        <is>
          <t>MARKET</t>
        </is>
      </c>
      <c r="B65" s="51" t="inlineStr">
        <is>
          <t>2026-10-30 03:50</t>
        </is>
      </c>
      <c r="C65" s="51" t="inlineStr">
        <is>
          <t>Stock Market Today: Sensex edges higher, Nifty opens above 22,950</t>
        </is>
      </c>
      <c r="D65" s="51" t="inlineStr">
        <is>
          <t>Zee Business</t>
        </is>
      </c>
      <c r="E65" s="81" t="n">
        <v>0.402</v>
      </c>
      <c r="F65" s="51" t="inlineStr">
        <is>
          <t>Positive</t>
        </is>
      </c>
      <c r="G65" s="82" t="inlineStr">
        <is>
          <t>open ↗</t>
        </is>
      </c>
    </row>
    <row r="66">
      <c r="A66" s="51" t="inlineStr">
        <is>
          <t>MARKET</t>
        </is>
      </c>
      <c r="B66" s="51" t="inlineStr">
        <is>
          <t>2026-10-30 03:34</t>
        </is>
      </c>
      <c r="C66" s="51" t="inlineStr">
        <is>
          <t>Sensex, Nifty may gain 5-8% if external headwinds recede: Baldev Prakash</t>
        </is>
      </c>
      <c r="D66" s="51" t="inlineStr">
        <is>
          <t>Business Standard</t>
        </is>
      </c>
      <c r="E66" s="81" t="n">
        <v>0.625</v>
      </c>
      <c r="F66" s="51" t="inlineStr">
        <is>
          <t>Positive</t>
        </is>
      </c>
      <c r="G66" s="82" t="inlineStr">
        <is>
          <t>open ↗</t>
        </is>
      </c>
    </row>
    <row r="67">
      <c r="A67" s="51" t="inlineStr">
        <is>
          <t>MARKET</t>
        </is>
      </c>
      <c r="B67" s="51" t="inlineStr">
        <is>
          <t>2026-10-30 03:00</t>
        </is>
      </c>
      <c r="C67" s="51" t="inlineStr">
        <is>
          <t>Stock market outlook: Crude oil prices to FPI inflows - 8 triggers that could reverse trend in Sensex, Nifty 50</t>
        </is>
      </c>
      <c r="D67" s="51" t="inlineStr">
        <is>
          <t>Livemint</t>
        </is>
      </c>
      <c r="E67" s="81" t="n">
        <v>-0.25</v>
      </c>
      <c r="F67" s="51" t="inlineStr">
        <is>
          <t>Negative</t>
        </is>
      </c>
      <c r="G67" s="82" t="inlineStr">
        <is>
          <t>open ↗</t>
        </is>
      </c>
    </row>
    <row r="68">
      <c r="A68" s="51" t="inlineStr">
        <is>
          <t>MARKET</t>
        </is>
      </c>
      <c r="B68" s="51" t="inlineStr">
        <is>
          <t>2026-10-30 02:41</t>
        </is>
      </c>
      <c r="C68" s="51" t="inlineStr">
        <is>
          <t>GIFT Nifty down, signals muted start for Sensex, Nifty; Asian markets plunge on AI spending worries, oil...</t>
        </is>
      </c>
      <c r="D68" s="51" t="inlineStr">
        <is>
          <t>Moneycontrol.com</t>
        </is>
      </c>
      <c r="E68" s="81" t="n">
        <v>0.408</v>
      </c>
      <c r="F68" s="51" t="inlineStr">
        <is>
          <t>Positive</t>
        </is>
      </c>
      <c r="G68" s="82" t="inlineStr">
        <is>
          <t>open ↗</t>
        </is>
      </c>
    </row>
    <row r="69">
      <c r="A69" s="51" t="inlineStr">
        <is>
          <t>MARKET</t>
        </is>
      </c>
      <c r="B69" s="51" t="inlineStr">
        <is>
          <t>2026-10-30 02:35</t>
        </is>
      </c>
      <c r="C69" s="51" t="inlineStr">
        <is>
          <t>Indian shares seen opening higher after earnings-led rebound; higher oil to cap gains</t>
        </is>
      </c>
      <c r="D69" s="51" t="inlineStr">
        <is>
          <t>Livemint</t>
        </is>
      </c>
      <c r="E69" s="81" t="n">
        <v>0.382</v>
      </c>
      <c r="F69" s="51" t="inlineStr">
        <is>
          <t>Positive</t>
        </is>
      </c>
      <c r="G69" s="82" t="inlineStr">
        <is>
          <t>open ↗</t>
        </is>
      </c>
    </row>
    <row r="70">
      <c r="A70" s="51" t="inlineStr">
        <is>
          <t>MARKET</t>
        </is>
      </c>
      <c r="B70" s="51" t="inlineStr">
        <is>
          <t>2026-10-30 02:21</t>
        </is>
      </c>
      <c r="C70" s="51" t="inlineStr">
        <is>
          <t>Stock Market Today, October 30: RIL, Jio Q2 results, Japan rate decision, forex reserves - 10 key triggers for Sensex, Nifty</t>
        </is>
      </c>
      <c r="D70" s="51" t="inlineStr">
        <is>
          <t>ET Now</t>
        </is>
      </c>
      <c r="E70" s="81" t="n">
        <v>0.402</v>
      </c>
      <c r="F70" s="51" t="inlineStr">
        <is>
          <t>Positive</t>
        </is>
      </c>
      <c r="G70" s="82" t="inlineStr">
        <is>
          <t>open ↗</t>
        </is>
      </c>
    </row>
    <row r="71">
      <c r="A71" s="51" t="inlineStr">
        <is>
          <t>MARKET</t>
        </is>
      </c>
      <c r="B71" s="51" t="inlineStr">
        <is>
          <t>2026-10-30 01:44</t>
        </is>
      </c>
      <c r="C71" s="51" t="inlineStr">
        <is>
          <t>Stock Market Today: Gift Nifty, Tech Stocks Selloff To Binance Hack; Five Key Factors For Sensex, Nifty 50 On Oct 30</t>
        </is>
      </c>
      <c r="D71" s="51" t="inlineStr">
        <is>
          <t>NDTV Profit</t>
        </is>
      </c>
      <c r="E71" s="81" t="n">
        <v>0.8070000000000001</v>
      </c>
      <c r="F71" s="51" t="inlineStr">
        <is>
          <t>Positive</t>
        </is>
      </c>
      <c r="G71" s="82" t="inlineStr">
        <is>
          <t>open ↗</t>
        </is>
      </c>
    </row>
    <row r="72">
      <c r="A72" s="51" t="inlineStr">
        <is>
          <t>THANGAMAYL</t>
        </is>
      </c>
      <c r="B72" s="51" t="inlineStr">
        <is>
          <t>2026-10-30 01:17</t>
        </is>
      </c>
      <c r="C72" s="51" t="inlineStr">
        <is>
          <t>Thangamayil FY26 Net Profit Jumps 196% to ₹35,165 Lakhs</t>
        </is>
      </c>
      <c r="D72" s="51" t="inlineStr">
        <is>
          <t>scanx.trade</t>
        </is>
      </c>
      <c r="E72" s="81" t="n">
        <v>0.66</v>
      </c>
      <c r="F72" s="51" t="inlineStr">
        <is>
          <t>Positive</t>
        </is>
      </c>
      <c r="G72" s="82" t="inlineStr">
        <is>
          <t>open ↗</t>
        </is>
      </c>
    </row>
    <row r="73">
      <c r="A73" s="51" t="inlineStr">
        <is>
          <t>MARKET</t>
        </is>
      </c>
      <c r="B73" s="51" t="inlineStr">
        <is>
          <t>2026-10-30 01:14</t>
        </is>
      </c>
      <c r="C73" s="51" t="inlineStr">
        <is>
          <t>Stock market outlook today, 30 Oct: Sensex, Nifty prediction - DJIA, S&amp;P, NASDAQ, GIFT Nifty, Kospi, Nikkei, Taiwan cues</t>
        </is>
      </c>
      <c r="D73" s="51" t="inlineStr">
        <is>
          <t>Livemint</t>
        </is>
      </c>
      <c r="E73" s="81" t="n">
        <v>0.842</v>
      </c>
      <c r="F73" s="51" t="inlineStr">
        <is>
          <t>Positive</t>
        </is>
      </c>
      <c r="G73" s="82" t="inlineStr">
        <is>
          <t>open ↗</t>
        </is>
      </c>
    </row>
    <row r="74">
      <c r="A74" s="51" t="inlineStr">
        <is>
          <t>MARKET</t>
        </is>
      </c>
      <c r="B74" s="51" t="inlineStr">
        <is>
          <t>2026-10-30 00:30</t>
        </is>
      </c>
      <c r="C74" s="51" t="inlineStr">
        <is>
          <t>eClerx Services Q2 FY27 Results | Birlasoft Q2 FY27 Results | Top Buzzing Stocks Today</t>
        </is>
      </c>
      <c r="D74" s="51" t="inlineStr">
        <is>
          <t>Equitymaster</t>
        </is>
      </c>
      <c r="E74" s="81" t="n">
        <v>0.202</v>
      </c>
      <c r="F74" s="51" t="inlineStr">
        <is>
          <t>Positive</t>
        </is>
      </c>
      <c r="G74" s="82" t="inlineStr">
        <is>
          <t>open ↗</t>
        </is>
      </c>
    </row>
    <row r="75">
      <c r="A75" s="51" t="inlineStr">
        <is>
          <t>MARKET</t>
        </is>
      </c>
      <c r="B75" s="51" t="inlineStr">
        <is>
          <t>2026-10-30 00:23</t>
        </is>
      </c>
      <c r="C75" s="51" t="inlineStr">
        <is>
          <t>Advance-decline ratio hits 7-month low as market breadth weakens</t>
        </is>
      </c>
      <c r="D75" s="51" t="inlineStr">
        <is>
          <t>The Economic Times</t>
        </is>
      </c>
      <c r="E75" s="81" t="n">
        <v>-0.612</v>
      </c>
      <c r="F75" s="51" t="inlineStr">
        <is>
          <t>Negative</t>
        </is>
      </c>
      <c r="G75" s="82" t="inlineStr">
        <is>
          <t>open ↗</t>
        </is>
      </c>
    </row>
    <row r="76">
      <c r="A76" s="51" t="inlineStr">
        <is>
          <t>AETHER</t>
        </is>
      </c>
      <c r="B76" s="51" t="inlineStr">
        <is>
          <t>2026-10-30 00:10</t>
        </is>
      </c>
      <c r="C76" s="51" t="inlineStr">
        <is>
          <t>Ather Energy Share Price Today, Ather Energy Stock Price Live NSE/BSE Updates | The Economic Times</t>
        </is>
      </c>
      <c r="D76" s="51" t="inlineStr">
        <is>
          <t>The Economic Times</t>
        </is>
      </c>
      <c r="E76" s="81" t="n">
        <v>0.494</v>
      </c>
      <c r="F76" s="51" t="inlineStr">
        <is>
          <t>Positive</t>
        </is>
      </c>
      <c r="G76" s="82" t="inlineStr">
        <is>
          <t>open ↗</t>
        </is>
      </c>
    </row>
    <row r="77">
      <c r="A77" s="51" t="inlineStr">
        <is>
          <t>SYRMA</t>
        </is>
      </c>
      <c r="B77" s="51" t="inlineStr">
        <is>
          <t>2026-10-29 17:53</t>
        </is>
      </c>
      <c r="C77" s="51" t="inlineStr">
        <is>
          <t>ZF Commercial Vehicle Control Systems India Share Price, Stock Price - NSE/BSE Live</t>
        </is>
      </c>
      <c r="D77" s="51" t="inlineStr">
        <is>
          <t>NDTV Profit</t>
        </is>
      </c>
      <c r="E77" s="81" t="n">
        <v>0</v>
      </c>
      <c r="F77" s="51" t="inlineStr">
        <is>
          <t>Neutral</t>
        </is>
      </c>
      <c r="G77" s="82" t="inlineStr">
        <is>
          <t>open ↗</t>
        </is>
      </c>
    </row>
    <row r="78">
      <c r="A78" s="51" t="inlineStr">
        <is>
          <t>AEROFLEX</t>
        </is>
      </c>
      <c r="B78" s="51" t="inlineStr">
        <is>
          <t>2026-10-29 15:28</t>
        </is>
      </c>
      <c r="C78" s="51" t="inlineStr">
        <is>
          <t>Aeroflex Industries (NSE:AEROFLEX) Q2 FY27 Results and Hyd-Air Amalgamation</t>
        </is>
      </c>
      <c r="D78" s="51" t="inlineStr">
        <is>
          <t>Kalkine India</t>
        </is>
      </c>
      <c r="E78" s="81" t="n">
        <v>0</v>
      </c>
      <c r="F78" s="51" t="inlineStr">
        <is>
          <t>Neutral</t>
        </is>
      </c>
      <c r="G78" s="82" t="inlineStr">
        <is>
          <t>open ↗</t>
        </is>
      </c>
    </row>
    <row r="79">
      <c r="A79" s="51" t="inlineStr">
        <is>
          <t>MARKET</t>
        </is>
      </c>
      <c r="B79" s="51" t="inlineStr">
        <is>
          <t>2026-10-29 14:36</t>
        </is>
      </c>
      <c r="C79" s="51" t="inlineStr">
        <is>
          <t>Benchmarks rise over 1% on positive Q2 earnings, easing crude prices</t>
        </is>
      </c>
      <c r="D79" s="51" t="inlineStr">
        <is>
          <t>Business Standard</t>
        </is>
      </c>
      <c r="E79" s="81" t="n">
        <v>0.226</v>
      </c>
      <c r="F79" s="51" t="inlineStr">
        <is>
          <t>Positive</t>
        </is>
      </c>
      <c r="G79" s="82" t="inlineStr">
        <is>
          <t>open ↗</t>
        </is>
      </c>
    </row>
    <row r="80">
      <c r="A80" s="51" t="inlineStr">
        <is>
          <t>MARKET</t>
        </is>
      </c>
      <c r="B80" s="51" t="inlineStr">
        <is>
          <t>2026-10-29 12:44</t>
        </is>
      </c>
      <c r="C80" s="51" t="inlineStr">
        <is>
          <t>Indian Equities Rally: Sensex Jumps 905 Pts, Nifty Tops 22,900</t>
        </is>
      </c>
      <c r="D80" s="51" t="inlineStr">
        <is>
          <t>Rediff</t>
        </is>
      </c>
      <c r="E80" s="81" t="n">
        <v>0.9</v>
      </c>
      <c r="F80" s="51" t="inlineStr">
        <is>
          <t>Positive</t>
        </is>
      </c>
      <c r="G80" s="82" t="inlineStr">
        <is>
          <t>open ↗</t>
        </is>
      </c>
    </row>
    <row r="81">
      <c r="A81" s="51" t="inlineStr">
        <is>
          <t>SYRMA</t>
        </is>
      </c>
      <c r="B81" s="51" t="inlineStr">
        <is>
          <t>2026-10-29 11:52</t>
        </is>
      </c>
      <c r="C81" s="51" t="inlineStr">
        <is>
          <t>Syrma SGS Tech - Technical picks for Diwali! 10 stocks PL Capital is bullish on this festive season. See full list</t>
        </is>
      </c>
      <c r="D81" s="51" t="inlineStr">
        <is>
          <t>The Economic Times</t>
        </is>
      </c>
      <c r="E81" s="81" t="n">
        <v>0.771</v>
      </c>
      <c r="F81" s="51" t="inlineStr">
        <is>
          <t>Positive</t>
        </is>
      </c>
      <c r="G81" s="82" t="inlineStr">
        <is>
          <t>open ↗</t>
        </is>
      </c>
    </row>
    <row r="82">
      <c r="A82" s="51" t="inlineStr">
        <is>
          <t>MARKET</t>
        </is>
      </c>
      <c r="B82" s="51" t="inlineStr">
        <is>
          <t>2026-10-29 11:41</t>
        </is>
      </c>
      <c r="C82" s="51" t="inlineStr">
        <is>
          <t>Share Market Today: Nifty 50, Bank Nifty | Oct 29, 2026</t>
        </is>
      </c>
      <c r="D82" s="51" t="inlineStr">
        <is>
          <t>Liquide Blog</t>
        </is>
      </c>
      <c r="E82" s="81" t="n">
        <v>0.66</v>
      </c>
      <c r="F82" s="51" t="inlineStr">
        <is>
          <t>Positive</t>
        </is>
      </c>
      <c r="G82" s="82" t="inlineStr">
        <is>
          <t>open ↗</t>
        </is>
      </c>
    </row>
    <row r="83">
      <c r="A83" s="51" t="inlineStr">
        <is>
          <t>MARKET</t>
        </is>
      </c>
      <c r="B83" s="51" t="inlineStr">
        <is>
          <t>2026-10-29 10:56</t>
        </is>
      </c>
      <c r="C83" s="51" t="inlineStr">
        <is>
          <t>Sensex jumps 905 points, Nifty gains 238 points as markets stage strong rebound</t>
        </is>
      </c>
      <c r="D83" s="51" t="inlineStr">
        <is>
          <t>Telegraph India</t>
        </is>
      </c>
      <c r="E83" s="81" t="n">
        <v>0.872</v>
      </c>
      <c r="F83" s="51" t="inlineStr">
        <is>
          <t>Positive</t>
        </is>
      </c>
      <c r="G83" s="82" t="inlineStr">
        <is>
          <t>open ↗</t>
        </is>
      </c>
    </row>
    <row r="84">
      <c r="A84" s="51" t="inlineStr">
        <is>
          <t>MARKET</t>
        </is>
      </c>
      <c r="B84" s="51" t="inlineStr">
        <is>
          <t>2026-10-29 10:50</t>
        </is>
      </c>
      <c r="C84" s="51" t="inlineStr">
        <is>
          <t>Sensex, Nifty see sharp recovery; is the worst finally over?</t>
        </is>
      </c>
      <c r="D84" s="51" t="inlineStr">
        <is>
          <t>Business Today</t>
        </is>
      </c>
      <c r="E84" s="81" t="n">
        <v>-0.34</v>
      </c>
      <c r="F84" s="51" t="inlineStr">
        <is>
          <t>Negative</t>
        </is>
      </c>
      <c r="G84" s="82" t="inlineStr">
        <is>
          <t>open ↗</t>
        </is>
      </c>
    </row>
    <row r="85">
      <c r="A85" s="51" t="inlineStr">
        <is>
          <t>MARKET</t>
        </is>
      </c>
      <c r="B85" s="51" t="inlineStr">
        <is>
          <t>2026-10-29 10:46</t>
        </is>
      </c>
      <c r="C85" s="51" t="inlineStr">
        <is>
          <t>Sensex Soars 905 Points; Nifty Near 22,940 as Markets Rebound</t>
        </is>
      </c>
      <c r="D85" s="51" t="inlineStr">
        <is>
          <t>HDFC Sky</t>
        </is>
      </c>
      <c r="E85" s="81" t="n">
        <v>0.727</v>
      </c>
      <c r="F85" s="51" t="inlineStr">
        <is>
          <t>Positive</t>
        </is>
      </c>
      <c r="G85" s="82" t="inlineStr">
        <is>
          <t>open ↗</t>
        </is>
      </c>
    </row>
    <row r="86">
      <c r="A86" s="51" t="inlineStr">
        <is>
          <t>MARKET</t>
        </is>
      </c>
      <c r="B86" s="51" t="inlineStr">
        <is>
          <t>2026-10-29 10:42</t>
        </is>
      </c>
      <c r="C86" s="51" t="inlineStr">
        <is>
          <t>Indian markets stage a strong rebound, recouping yesterday’s losses as Sensex surges over 1%</t>
        </is>
      </c>
      <c r="D86" s="51" t="inlineStr">
        <is>
          <t>The New Indian Express</t>
        </is>
      </c>
      <c r="E86" s="81" t="n">
        <v>0.459</v>
      </c>
      <c r="F86" s="51" t="inlineStr">
        <is>
          <t>Positive</t>
        </is>
      </c>
      <c r="G86" s="82" t="inlineStr">
        <is>
          <t>open ↗</t>
        </is>
      </c>
    </row>
    <row r="87">
      <c r="A87" s="51" t="inlineStr">
        <is>
          <t>MARKET</t>
        </is>
      </c>
      <c r="B87" s="51" t="inlineStr">
        <is>
          <t>2026-10-29 10:39</t>
        </is>
      </c>
      <c r="C87" s="51" t="inlineStr">
        <is>
          <t>Sensex Today Rallies 905 Points | Nifty Above 22,900 | 5 Reasons Why Indian Stock Markets Are Rising</t>
        </is>
      </c>
      <c r="D87" s="51" t="inlineStr">
        <is>
          <t>Equitymaster</t>
        </is>
      </c>
      <c r="E87" s="81" t="n">
        <v>0.6909999999999999</v>
      </c>
      <c r="F87" s="51" t="inlineStr">
        <is>
          <t>Positive</t>
        </is>
      </c>
      <c r="G87" s="82" t="inlineStr">
        <is>
          <t>open ↗</t>
        </is>
      </c>
    </row>
    <row r="88">
      <c r="A88" s="51" t="inlineStr">
        <is>
          <t>MARKET</t>
        </is>
      </c>
      <c r="B88" s="51" t="inlineStr">
        <is>
          <t>2026-10-29 10:11</t>
        </is>
      </c>
      <c r="C88" s="51" t="inlineStr">
        <is>
          <t>Taking Stock: Markets rebound sharply; Nifty above 22,900, Sensex jumps 905 pts as IT, FMCG, banking...</t>
        </is>
      </c>
      <c r="D88" s="51" t="inlineStr">
        <is>
          <t>Moneycontrol.com</t>
        </is>
      </c>
      <c r="E88" s="81" t="n">
        <v>0.6909999999999999</v>
      </c>
      <c r="F88" s="51" t="inlineStr">
        <is>
          <t>Positive</t>
        </is>
      </c>
      <c r="G88" s="82" t="inlineStr">
        <is>
          <t>open ↗</t>
        </is>
      </c>
    </row>
    <row r="89">
      <c r="A89" s="51" t="inlineStr">
        <is>
          <t>MARKET</t>
        </is>
      </c>
      <c r="B89" s="51" t="inlineStr">
        <is>
          <t>2026-10-29 08:33</t>
        </is>
      </c>
      <c r="C89" s="51" t="inlineStr">
        <is>
          <t>Sensex jumps over 900 points, Nifty inches above 22,950; Reliance, Jio, Adani stocks lead gains</t>
        </is>
      </c>
      <c r="D89" s="51" t="inlineStr">
        <is>
          <t>Fortune India</t>
        </is>
      </c>
      <c r="E89" s="81" t="n">
        <v>0.8070000000000001</v>
      </c>
      <c r="F89" s="51" t="inlineStr">
        <is>
          <t>Positive</t>
        </is>
      </c>
      <c r="G89" s="82" t="inlineStr">
        <is>
          <t>open ↗</t>
        </is>
      </c>
    </row>
    <row r="90">
      <c r="A90" s="51" t="inlineStr">
        <is>
          <t>AEROFLEX</t>
        </is>
      </c>
      <c r="B90" s="51" t="inlineStr">
        <is>
          <t>2026-10-29 08:32</t>
        </is>
      </c>
      <c r="C90" s="51" t="inlineStr">
        <is>
          <t>OnEMI Technology rises 5% after Q2FY27 profit doubles to ₹125 crore</t>
        </is>
      </c>
      <c r="D90" s="51" t="inlineStr">
        <is>
          <t>Business Standard</t>
        </is>
      </c>
      <c r="E90" s="81" t="n">
        <v>0.34</v>
      </c>
      <c r="F90" s="51" t="inlineStr">
        <is>
          <t>Positive</t>
        </is>
      </c>
      <c r="G90" s="82" t="inlineStr">
        <is>
          <t>open ↗</t>
        </is>
      </c>
    </row>
    <row r="91">
      <c r="A91" s="51" t="inlineStr">
        <is>
          <t>MARKET</t>
        </is>
      </c>
      <c r="B91" s="51" t="inlineStr">
        <is>
          <t>2026-10-29 08:03</t>
        </is>
      </c>
      <c r="C91" s="51" t="inlineStr">
        <is>
          <t>Stock Market Today: Why are Sensex, Nifty rising? 3 key factors</t>
        </is>
      </c>
      <c r="D91" s="51" t="inlineStr">
        <is>
          <t>Zee Business</t>
        </is>
      </c>
      <c r="E91" s="81" t="n">
        <v>0.402</v>
      </c>
      <c r="F91" s="51" t="inlineStr">
        <is>
          <t>Positive</t>
        </is>
      </c>
      <c r="G91" s="82" t="inlineStr">
        <is>
          <t>open ↗</t>
        </is>
      </c>
    </row>
    <row r="92">
      <c r="A92" s="51" t="inlineStr">
        <is>
          <t>MARKET</t>
        </is>
      </c>
      <c r="B92" s="51" t="inlineStr">
        <is>
          <t>2026-10-29 07:59</t>
        </is>
      </c>
      <c r="C92" s="51" t="inlineStr">
        <is>
          <t>SENSEX jumps over 500 pts, NIFTY above 22,800 in noon deals; Power Grid, Hyundai Motor, Jupiter Wagon among buzzing stocks</t>
        </is>
      </c>
      <c r="D92" s="51" t="inlineStr">
        <is>
          <t>Upstox</t>
        </is>
      </c>
      <c r="E92" s="81" t="n">
        <v>0.753</v>
      </c>
      <c r="F92" s="51" t="inlineStr">
        <is>
          <t>Positive</t>
        </is>
      </c>
      <c r="G92" s="82" t="inlineStr">
        <is>
          <t>open ↗</t>
        </is>
      </c>
    </row>
    <row r="93">
      <c r="A93" s="51" t="inlineStr">
        <is>
          <t>AEROFLEX</t>
        </is>
      </c>
      <c r="B93" s="51" t="inlineStr">
        <is>
          <t>2026-10-29 07:48</t>
        </is>
      </c>
      <c r="C93" s="51" t="inlineStr">
        <is>
          <t>Aeroflex Industries shares rally over 17% on strong Q2 earnings show; material costs jump 120% YoY</t>
        </is>
      </c>
      <c r="D93" s="51" t="inlineStr">
        <is>
          <t>Upstox</t>
        </is>
      </c>
      <c r="E93" s="81" t="n">
        <v>0.8129999999999999</v>
      </c>
      <c r="F93" s="51" t="inlineStr">
        <is>
          <t>Positive</t>
        </is>
      </c>
      <c r="G93" s="82" t="inlineStr">
        <is>
          <t>open ↗</t>
        </is>
      </c>
    </row>
    <row r="94">
      <c r="A94" s="51" t="inlineStr">
        <is>
          <t>MARKET</t>
        </is>
      </c>
      <c r="B94" s="51" t="inlineStr">
        <is>
          <t>2026-10-29 07:05</t>
        </is>
      </c>
      <c r="C94" s="51" t="inlineStr">
        <is>
          <t>Sensex, Nifty Rise as Reliance Industries and IT Stocks Gain; Crude Oil Limits Upside</t>
        </is>
      </c>
      <c r="D94" s="51" t="inlineStr">
        <is>
          <t>India Infoline</t>
        </is>
      </c>
      <c r="E94" s="81" t="n">
        <v>0.494</v>
      </c>
      <c r="F94" s="51" t="inlineStr">
        <is>
          <t>Positive</t>
        </is>
      </c>
      <c r="G94" s="82" t="inlineStr">
        <is>
          <t>open ↗</t>
        </is>
      </c>
    </row>
    <row r="95">
      <c r="A95" s="51" t="inlineStr">
        <is>
          <t>SBC</t>
        </is>
      </c>
      <c r="B95" s="51" t="inlineStr">
        <is>
          <t>2026-10-29 06:51</t>
        </is>
      </c>
      <c r="C95" s="51" t="inlineStr">
        <is>
          <t>20 Best Stocks Under 50 Rs In India October 2026 For High Returns</t>
        </is>
      </c>
      <c r="D95" s="51" t="inlineStr">
        <is>
          <t>Samco</t>
        </is>
      </c>
      <c r="E95" s="81" t="n">
        <v>0.718</v>
      </c>
      <c r="F95" s="51" t="inlineStr">
        <is>
          <t>Positive</t>
        </is>
      </c>
      <c r="G95" s="82" t="inlineStr">
        <is>
          <t>open ↗</t>
        </is>
      </c>
    </row>
    <row r="96">
      <c r="A96" s="51" t="inlineStr">
        <is>
          <t>AEROFLEX</t>
        </is>
      </c>
      <c r="B96" s="51" t="inlineStr">
        <is>
          <t>2026-10-29 06:44</t>
        </is>
      </c>
      <c r="C96" s="51" t="inlineStr">
        <is>
          <t>NSE: Growth levers, easing regulatory pressure underpin Jefferies' buy call</t>
        </is>
      </c>
      <c r="D96" s="51" t="inlineStr">
        <is>
          <t>Business Standard</t>
        </is>
      </c>
      <c r="E96" s="81" t="n">
        <v>0.542</v>
      </c>
      <c r="F96" s="51" t="inlineStr">
        <is>
          <t>Positive</t>
        </is>
      </c>
      <c r="G96" s="82" t="inlineStr">
        <is>
          <t>open ↗</t>
        </is>
      </c>
    </row>
    <row r="97">
      <c r="A97" s="51" t="inlineStr">
        <is>
          <t>AEROFLEX</t>
        </is>
      </c>
      <c r="B97" s="51" t="inlineStr">
        <is>
          <t>2026-10-29 06:42</t>
        </is>
      </c>
      <c r="C97" s="51" t="inlineStr">
        <is>
          <t>Aeroflex Industries (NSE:AEROFLEX): Did It Publish Q2 FY27 Financial Results?</t>
        </is>
      </c>
      <c r="D97" s="51" t="inlineStr">
        <is>
          <t>Kalkine India</t>
        </is>
      </c>
      <c r="E97" s="81" t="n">
        <v>0</v>
      </c>
      <c r="F97" s="51" t="inlineStr">
        <is>
          <t>Neutral</t>
        </is>
      </c>
      <c r="G97" s="82" t="inlineStr">
        <is>
          <t>open ↗</t>
        </is>
      </c>
    </row>
    <row r="98">
      <c r="A98" s="51" t="inlineStr">
        <is>
          <t>AEROFLEX</t>
        </is>
      </c>
      <c r="B98" s="51" t="inlineStr">
        <is>
          <t>2026-10-29 06:38</t>
        </is>
      </c>
      <c r="C98" s="51" t="inlineStr">
        <is>
          <t>Aeroflex zooms 18% on huge volume, over 31 mn shares change hands</t>
        </is>
      </c>
      <c r="D98" s="51" t="inlineStr">
        <is>
          <t>Business Standard</t>
        </is>
      </c>
      <c r="E98" s="81" t="n">
        <v>0.318</v>
      </c>
      <c r="F98" s="51" t="inlineStr">
        <is>
          <t>Positive</t>
        </is>
      </c>
      <c r="G98" s="82" t="inlineStr">
        <is>
          <t>open ↗</t>
        </is>
      </c>
    </row>
    <row r="99">
      <c r="A99" s="51" t="inlineStr">
        <is>
          <t>AEROFLEX</t>
        </is>
      </c>
      <c r="B99" s="51" t="inlineStr">
        <is>
          <t>2026-10-29 05:29</t>
        </is>
      </c>
      <c r="C99" s="51" t="inlineStr">
        <is>
          <t>Aeroflex Industries Share Price Surges 14% After Q2: Profit Jumps 157%, Why the Depreciation Change Matters</t>
        </is>
      </c>
      <c r="D99" s="51" t="inlineStr">
        <is>
          <t>Univest</t>
        </is>
      </c>
      <c r="E99" s="81" t="n">
        <v>0.827</v>
      </c>
      <c r="F99" s="51" t="inlineStr">
        <is>
          <t>Positive</t>
        </is>
      </c>
      <c r="G99" s="82" t="inlineStr">
        <is>
          <t>open ↗</t>
        </is>
      </c>
    </row>
    <row r="100">
      <c r="A100" s="51" t="inlineStr">
        <is>
          <t>MARKET</t>
        </is>
      </c>
      <c r="B100" s="51" t="inlineStr">
        <is>
          <t>2026-10-29 05:25</t>
        </is>
      </c>
      <c r="C100" s="51" t="inlineStr">
        <is>
          <t>Why Is Share Market Rising Today? Know Key Reasons Behind Sensex, Nifty Rally On October 29</t>
        </is>
      </c>
      <c r="D100" s="51" t="inlineStr">
        <is>
          <t>News18</t>
        </is>
      </c>
      <c r="E100" s="81" t="n">
        <v>0.6909999999999999</v>
      </c>
      <c r="F100" s="51" t="inlineStr">
        <is>
          <t>Positive</t>
        </is>
      </c>
      <c r="G100" s="82" t="inlineStr">
        <is>
          <t>open ↗</t>
        </is>
      </c>
    </row>
    <row r="101">
      <c r="A101" s="51" t="inlineStr">
        <is>
          <t>MARKET</t>
        </is>
      </c>
      <c r="B101" s="51" t="inlineStr">
        <is>
          <t>2026-10-29 05:17</t>
        </is>
      </c>
      <c r="C101" s="51" t="inlineStr">
        <is>
          <t>Sensex, Nifty rise in early trade on Reliance buying, foreign inflows</t>
        </is>
      </c>
      <c r="D101" s="51" t="inlineStr">
        <is>
          <t>The Hindu</t>
        </is>
      </c>
      <c r="E101" s="81" t="n">
        <v>0.402</v>
      </c>
      <c r="F101" s="51" t="inlineStr">
        <is>
          <t>Positive</t>
        </is>
      </c>
      <c r="G101" s="82" t="inlineStr">
        <is>
          <t>open ↗</t>
        </is>
      </c>
    </row>
    <row r="102">
      <c r="A102" s="51" t="inlineStr">
        <is>
          <t>MARKET</t>
        </is>
      </c>
      <c r="B102" s="51" t="inlineStr">
        <is>
          <t>2026-10-29 04:58</t>
        </is>
      </c>
      <c r="C102" s="51" t="inlineStr">
        <is>
          <t>Sensex, Nifty Rise on Reliance Buying, Foreign Inflows</t>
        </is>
      </c>
      <c r="D102" s="51" t="inlineStr">
        <is>
          <t>Rediff MoneyWiz</t>
        </is>
      </c>
      <c r="E102" s="81" t="n">
        <v>0.402</v>
      </c>
      <c r="F102" s="51" t="inlineStr">
        <is>
          <t>Positive</t>
        </is>
      </c>
      <c r="G102" s="82" t="inlineStr">
        <is>
          <t>open ↗</t>
        </is>
      </c>
    </row>
    <row r="103">
      <c r="A103" s="51" t="inlineStr">
        <is>
          <t>MARKET</t>
        </is>
      </c>
      <c r="B103" s="51" t="inlineStr">
        <is>
          <t>2026-10-29 04:44</t>
        </is>
      </c>
      <c r="C103" s="51" t="inlineStr">
        <is>
          <t>Sensex, Nifty Open Higher as Fed Holds Rates; Oil Dips Slightly</t>
        </is>
      </c>
      <c r="D103" s="51" t="inlineStr">
        <is>
          <t>HDFC Sky</t>
        </is>
      </c>
      <c r="E103" s="81" t="n">
        <v>0.402</v>
      </c>
      <c r="F103" s="51" t="inlineStr">
        <is>
          <t>Positive</t>
        </is>
      </c>
      <c r="G103" s="82" t="inlineStr">
        <is>
          <t>open ↗</t>
        </is>
      </c>
    </row>
    <row r="104">
      <c r="A104" s="51" t="inlineStr">
        <is>
          <t>MARKET</t>
        </is>
      </c>
      <c r="B104" s="51" t="inlineStr">
        <is>
          <t>2026-10-29 04:35</t>
        </is>
      </c>
      <c r="C104" s="51" t="inlineStr">
        <is>
          <t>Sensex Today Trades Higher | Nifty Above 22,700 | Jio Platforms Up 4%</t>
        </is>
      </c>
      <c r="D104" s="51" t="inlineStr">
        <is>
          <t>Equitymaster</t>
        </is>
      </c>
      <c r="E104" s="81" t="n">
        <v>0.402</v>
      </c>
      <c r="F104" s="51" t="inlineStr">
        <is>
          <t>Positive</t>
        </is>
      </c>
      <c r="G104" s="82" t="inlineStr">
        <is>
          <t>open ↗</t>
        </is>
      </c>
    </row>
    <row r="105">
      <c r="A105" s="51" t="inlineStr">
        <is>
          <t>MARKET</t>
        </is>
      </c>
      <c r="B105" s="51" t="inlineStr">
        <is>
          <t>2026-10-29 03:51</t>
        </is>
      </c>
      <c r="C105" s="51" t="inlineStr">
        <is>
          <t>Stock Market Highlights: Sensex Jumps 905 Points, Nifty 50 Ends Above 22,900; Adani Stocks, Kotak Bank Lead Rally</t>
        </is>
      </c>
      <c r="D105" s="51" t="inlineStr">
        <is>
          <t>NDTV Profit</t>
        </is>
      </c>
      <c r="E105" s="81" t="n">
        <v>0.827</v>
      </c>
      <c r="F105" s="51" t="inlineStr">
        <is>
          <t>Positive</t>
        </is>
      </c>
      <c r="G105" s="82" t="inlineStr">
        <is>
          <t>open ↗</t>
        </is>
      </c>
    </row>
    <row r="106">
      <c r="A106" s="51" t="inlineStr">
        <is>
          <t>MARKET</t>
        </is>
      </c>
      <c r="B106" s="51" t="inlineStr">
        <is>
          <t>2026-10-29 03:50</t>
        </is>
      </c>
      <c r="C106" s="51" t="inlineStr">
        <is>
          <t>Sensex, Nifty trade higher after US Fed holds rates; crude oil remains a concern</t>
        </is>
      </c>
      <c r="D106" s="51" t="inlineStr">
        <is>
          <t>India Today</t>
        </is>
      </c>
      <c r="E106" s="81" t="n">
        <v>-0.25</v>
      </c>
      <c r="F106" s="51" t="inlineStr">
        <is>
          <t>Negative</t>
        </is>
      </c>
      <c r="G106" s="82" t="inlineStr">
        <is>
          <t>open ↗</t>
        </is>
      </c>
    </row>
    <row r="107">
      <c r="A107" s="51" t="inlineStr">
        <is>
          <t>MARKET</t>
        </is>
      </c>
      <c r="B107" s="51" t="inlineStr">
        <is>
          <t>2026-10-29 01:15</t>
        </is>
      </c>
      <c r="C107" s="51" t="inlineStr">
        <is>
          <t>Stock market outlook today, 29 Oct: Sensex, Nifty prediction - DJIA, S&amp;P, NASDAQ, GIFT Nifty, Kospi, Nikkei, Taiwan cues</t>
        </is>
      </c>
      <c r="D107" s="51" t="inlineStr">
        <is>
          <t>Livemint</t>
        </is>
      </c>
      <c r="E107" s="81" t="n">
        <v>0.842</v>
      </c>
      <c r="F107" s="51" t="inlineStr">
        <is>
          <t>Positive</t>
        </is>
      </c>
      <c r="G107" s="82" t="inlineStr">
        <is>
          <t>open ↗</t>
        </is>
      </c>
    </row>
    <row r="108">
      <c r="A108" s="51" t="inlineStr">
        <is>
          <t>AEROFLEX</t>
        </is>
      </c>
      <c r="B108" s="51" t="inlineStr">
        <is>
          <t>2026-10-29 01:01</t>
        </is>
      </c>
      <c r="C108" s="51" t="inlineStr">
        <is>
          <t>Stocks to Watch Today: Dr Reddys Labs, Fortis Healthcare, Titagarh Rail, Hero MotoCorp, RR Kabel, Meesho,...</t>
        </is>
      </c>
      <c r="D108" s="51" t="inlineStr">
        <is>
          <t>Moneycontrol.com</t>
        </is>
      </c>
      <c r="E108" s="81" t="n">
        <v>0.5570000000000001</v>
      </c>
      <c r="F108" s="51" t="inlineStr">
        <is>
          <t>Positive</t>
        </is>
      </c>
      <c r="G108" s="82" t="inlineStr">
        <is>
          <t>open ↗</t>
        </is>
      </c>
    </row>
    <row r="109">
      <c r="A109" s="51" t="inlineStr">
        <is>
          <t>MARKET</t>
        </is>
      </c>
      <c r="B109" s="51" t="inlineStr">
        <is>
          <t>2026-10-28 18:46</t>
        </is>
      </c>
      <c r="C109" s="51" t="inlineStr">
        <is>
          <t>How can US Fed FOMC meeting outcome impact Indian stock market? Sensex, Nifty to rise? Experts decode</t>
        </is>
      </c>
      <c r="D109" s="51" t="inlineStr">
        <is>
          <t>Livemint</t>
        </is>
      </c>
      <c r="E109" s="81" t="n">
        <v>0.47</v>
      </c>
      <c r="F109" s="51" t="inlineStr">
        <is>
          <t>Positive</t>
        </is>
      </c>
      <c r="G109" s="82" t="inlineStr">
        <is>
          <t>open ↗</t>
        </is>
      </c>
    </row>
    <row r="110">
      <c r="A110" s="51" t="inlineStr">
        <is>
          <t>RATNAVEER</t>
        </is>
      </c>
      <c r="B110" s="51" t="inlineStr">
        <is>
          <t>2026-10-28 13:42</t>
        </is>
      </c>
      <c r="C110" s="51" t="inlineStr">
        <is>
          <t>Ratnaveer Precision Engineering Q2 FY27 Earnings Call on 3 Nov</t>
        </is>
      </c>
      <c r="D110" s="51" t="inlineStr">
        <is>
          <t>Kalkine India</t>
        </is>
      </c>
      <c r="E110" s="81" t="n">
        <v>0</v>
      </c>
      <c r="F110" s="51" t="inlineStr">
        <is>
          <t>Neutral</t>
        </is>
      </c>
      <c r="G110" s="82" t="inlineStr">
        <is>
          <t>open ↗</t>
        </is>
      </c>
    </row>
    <row r="111">
      <c r="A111" s="51" t="inlineStr">
        <is>
          <t>AEROFLEX</t>
        </is>
      </c>
      <c r="B111" s="51" t="inlineStr">
        <is>
          <t>2026-10-28 12:25</t>
        </is>
      </c>
      <c r="C111" s="51" t="inlineStr">
        <is>
          <t>Aeroflex Industries Q2 FY27 Results and CFO Change Announced</t>
        </is>
      </c>
      <c r="D111" s="51" t="inlineStr">
        <is>
          <t>Kalkine India</t>
        </is>
      </c>
      <c r="E111" s="81" t="n">
        <v>0</v>
      </c>
      <c r="F111" s="51" t="inlineStr">
        <is>
          <t>Neutral</t>
        </is>
      </c>
      <c r="G111" s="82" t="inlineStr">
        <is>
          <t>open ↗</t>
        </is>
      </c>
    </row>
    <row r="112">
      <c r="A112" s="51" t="inlineStr">
        <is>
          <t>SYRMA</t>
        </is>
      </c>
      <c r="B112" s="51" t="inlineStr">
        <is>
          <t>2026-10-28 07:00</t>
        </is>
      </c>
      <c r="C112" s="51" t="inlineStr">
        <is>
          <t>Syrma SGS Technology (NSEI:SYRMA) Stock Forecast &amp; Analyst Predictions</t>
        </is>
      </c>
      <c r="D112" s="51" t="inlineStr">
        <is>
          <t>Simply Wall St</t>
        </is>
      </c>
      <c r="E112" s="81" t="n">
        <v>0</v>
      </c>
      <c r="F112" s="51" t="inlineStr">
        <is>
          <t>Neutral</t>
        </is>
      </c>
      <c r="G112" s="82" t="inlineStr">
        <is>
          <t>open ↗</t>
        </is>
      </c>
    </row>
    <row r="113">
      <c r="A113" s="51" t="inlineStr">
        <is>
          <t>MARKET</t>
        </is>
      </c>
      <c r="B113" s="51" t="inlineStr">
        <is>
          <t>2026-10-28 07:00</t>
        </is>
      </c>
      <c r="C113" s="51" t="inlineStr">
        <is>
          <t>Market News: Share Market Today, NIFTY, BSE/NSE LIVE, Sensex Today, Latest Share Market News Live Updates</t>
        </is>
      </c>
      <c r="D113" s="51" t="inlineStr">
        <is>
          <t>Livemint</t>
        </is>
      </c>
      <c r="E113" s="81" t="n">
        <v>0.532</v>
      </c>
      <c r="F113" s="51" t="inlineStr">
        <is>
          <t>Positive</t>
        </is>
      </c>
      <c r="G113" s="82" t="inlineStr">
        <is>
          <t>open ↗</t>
        </is>
      </c>
    </row>
    <row r="114">
      <c r="A114" s="51" t="inlineStr">
        <is>
          <t>SYRMA</t>
        </is>
      </c>
      <c r="B114" s="51" t="inlineStr">
        <is>
          <t>2026-10-28 06:20</t>
        </is>
      </c>
      <c r="C114" s="51" t="inlineStr">
        <is>
          <t>NSE adds six stocks to F&amp;O segment from today, October 28: Check full list</t>
        </is>
      </c>
      <c r="D114" s="51" t="inlineStr">
        <is>
          <t>Zee Business</t>
        </is>
      </c>
      <c r="E114" s="81" t="n">
        <v>0</v>
      </c>
      <c r="F114" s="51" t="inlineStr">
        <is>
          <t>Neutral</t>
        </is>
      </c>
      <c r="G114" s="82" t="inlineStr">
        <is>
          <t>open ↗</t>
        </is>
      </c>
    </row>
    <row r="115">
      <c r="A115" s="51" t="inlineStr">
        <is>
          <t>SYRMA</t>
        </is>
      </c>
      <c r="B115" s="51" t="inlineStr">
        <is>
          <t>2026-10-28 05:30</t>
        </is>
      </c>
      <c r="C115" s="51" t="inlineStr">
        <is>
          <t>Syrma SGS Technology (SYRMA.NS) Jumps 3.67% to ₹1575.3, Approaches ₹1654.07 Resistance Zone - Time Weighted Price</t>
        </is>
      </c>
      <c r="D115" s="51" t="inlineStr">
        <is>
          <t>https://www.siam.in/</t>
        </is>
      </c>
      <c r="E115" s="81" t="n">
        <v>0.459</v>
      </c>
      <c r="F115" s="51" t="inlineStr">
        <is>
          <t>Positive</t>
        </is>
      </c>
      <c r="G115" s="82" t="inlineStr">
        <is>
          <t>open ↗</t>
        </is>
      </c>
    </row>
    <row r="116">
      <c r="A116" s="51" t="inlineStr">
        <is>
          <t>MARKET</t>
        </is>
      </c>
      <c r="B116" s="51" t="inlineStr">
        <is>
          <t>2026-10-28 05:26</t>
        </is>
      </c>
      <c r="C116" s="51" t="inlineStr">
        <is>
          <t>Why Is Stock Market Falling Today? 4 Key Reasons Behind Sensex, Nifty Crash</t>
        </is>
      </c>
      <c r="D116" s="51" t="inlineStr">
        <is>
          <t>NDTV</t>
        </is>
      </c>
      <c r="E116" s="81" t="n">
        <v>-0.402</v>
      </c>
      <c r="F116" s="51" t="inlineStr">
        <is>
          <t>Negative</t>
        </is>
      </c>
      <c r="G116" s="82" t="inlineStr">
        <is>
          <t>open ↗</t>
        </is>
      </c>
    </row>
    <row r="117">
      <c r="A117" s="51" t="inlineStr">
        <is>
          <t>MARKET</t>
        </is>
      </c>
      <c r="B117" s="51" t="inlineStr">
        <is>
          <t>2026-10-28 04:15</t>
        </is>
      </c>
      <c r="C117" s="51" t="inlineStr">
        <is>
          <t>Jio Platforms becomes 12th Reliance Group company to list on NSE, says CEO Ashishkumar Chauhan</t>
        </is>
      </c>
      <c r="D117" s="51" t="inlineStr">
        <is>
          <t>Moneycontrol.com</t>
        </is>
      </c>
      <c r="E117" s="81" t="n">
        <v>0</v>
      </c>
      <c r="F117" s="51" t="inlineStr">
        <is>
          <t>Neutral</t>
        </is>
      </c>
      <c r="G117" s="82" t="inlineStr">
        <is>
          <t>open ↗</t>
        </is>
      </c>
    </row>
    <row r="118">
      <c r="A118" s="51" t="inlineStr">
        <is>
          <t>MARKET</t>
        </is>
      </c>
      <c r="B118" s="51" t="inlineStr">
        <is>
          <t>2026-10-28 01:13</t>
        </is>
      </c>
      <c r="C118" s="51" t="inlineStr">
        <is>
          <t>Stock Market Today Highlights , Oct 6: Sensex settles 685 pts higher; Nifty 50 rises 220 pts; IT, Realty, PSU Banks end in red</t>
        </is>
      </c>
      <c r="D118" s="51" t="inlineStr">
        <is>
          <t>BusinessLine</t>
        </is>
      </c>
      <c r="E118" s="81" t="n">
        <v>0.402</v>
      </c>
      <c r="F118" s="51" t="inlineStr">
        <is>
          <t>Positive</t>
        </is>
      </c>
      <c r="G118" s="82" t="inlineStr">
        <is>
          <t>open ↗</t>
        </is>
      </c>
    </row>
    <row r="119">
      <c r="A119" s="51" t="inlineStr">
        <is>
          <t>AETHER</t>
        </is>
      </c>
      <c r="B119" s="51" t="inlineStr">
        <is>
          <t>2026-10-27 12:08</t>
        </is>
      </c>
      <c r="C119" s="51" t="inlineStr">
        <is>
          <t>Ather Energy shares: 125% YTD returns! Experts give 'portfolio stock' tag after Q2 results 2026 | Target, stop-loss</t>
        </is>
      </c>
      <c r="D119" s="51" t="inlineStr">
        <is>
          <t>TradingView</t>
        </is>
      </c>
      <c r="E119" s="81" t="n">
        <v>0.457</v>
      </c>
      <c r="F119" s="51" t="inlineStr">
        <is>
          <t>Positive</t>
        </is>
      </c>
      <c r="G119" s="82" t="inlineStr">
        <is>
          <t>open ↗</t>
        </is>
      </c>
    </row>
    <row r="120">
      <c r="A120" s="51" t="inlineStr">
        <is>
          <t>CPPLUS</t>
        </is>
      </c>
      <c r="B120" s="51" t="inlineStr">
        <is>
          <t>2026-10-27 10:46</t>
        </is>
      </c>
      <c r="C120" s="51" t="inlineStr">
        <is>
          <t>Aditya Infotech partners with Ranveer Singh as brand ambassador for CP PLUS</t>
        </is>
      </c>
      <c r="D120" s="51" t="inlineStr">
        <is>
          <t>Business Upturn</t>
        </is>
      </c>
      <c r="E120" s="81" t="n">
        <v>0</v>
      </c>
      <c r="F120" s="51" t="inlineStr">
        <is>
          <t>Neutral</t>
        </is>
      </c>
      <c r="G120" s="82" t="inlineStr">
        <is>
          <t>open ↗</t>
        </is>
      </c>
    </row>
    <row r="121">
      <c r="A121" s="51" t="inlineStr">
        <is>
          <t>MARKET</t>
        </is>
      </c>
      <c r="B121" s="51" t="inlineStr">
        <is>
          <t>2026-10-27 07:00</t>
        </is>
      </c>
      <c r="C121" s="51" t="inlineStr">
        <is>
          <t>Sensex Today | Stock Market Live: Sensex, Nifty trade flat; smallcaps jump 2.5%, IT slides 1.5%</t>
        </is>
      </c>
      <c r="D121" s="51" t="inlineStr">
        <is>
          <t>IndiaIPO</t>
        </is>
      </c>
      <c r="E121" s="81" t="n">
        <v>0.67</v>
      </c>
      <c r="F121" s="51" t="inlineStr">
        <is>
          <t>Positive</t>
        </is>
      </c>
      <c r="G121" s="82" t="inlineStr">
        <is>
          <t>open ↗</t>
        </is>
      </c>
    </row>
    <row r="122">
      <c r="A122" s="51" t="inlineStr">
        <is>
          <t>CPPLUS</t>
        </is>
      </c>
      <c r="B122" s="51" t="inlineStr">
        <is>
          <t>2026-10-27 02:09</t>
        </is>
      </c>
      <c r="C122" s="51" t="inlineStr">
        <is>
          <t>Do Aditya Infotech's (NSE:CPPLUS) Earnings Warrant Your Attention?</t>
        </is>
      </c>
      <c r="D122" s="51" t="inlineStr">
        <is>
          <t>Simply Wall St</t>
        </is>
      </c>
      <c r="E122" s="81" t="n">
        <v>0</v>
      </c>
      <c r="F122" s="51" t="inlineStr">
        <is>
          <t>Neutral</t>
        </is>
      </c>
      <c r="G122" s="82" t="inlineStr">
        <is>
          <t>open ↗</t>
        </is>
      </c>
    </row>
    <row r="123">
      <c r="A123" s="51" t="inlineStr">
        <is>
          <t>MARKET</t>
        </is>
      </c>
      <c r="B123" s="51" t="inlineStr">
        <is>
          <t>2026-10-26 21:36</t>
        </is>
      </c>
      <c r="C123" s="51" t="inlineStr">
        <is>
          <t>Indian Stock Market Crash: Sensex Falls 5,035 Pts, Nifty Drops 1,453 Pts From Peak; Can Budget Revive Bulls?</t>
        </is>
      </c>
      <c r="D123" s="51" t="inlineStr">
        <is>
          <t>Goodreturns</t>
        </is>
      </c>
      <c r="E123" s="81" t="n">
        <v>-0.318</v>
      </c>
      <c r="F123" s="51" t="inlineStr">
        <is>
          <t>Negative</t>
        </is>
      </c>
      <c r="G123" s="82" t="inlineStr">
        <is>
          <t>open ↗</t>
        </is>
      </c>
    </row>
    <row r="124">
      <c r="A124" s="51" t="inlineStr">
        <is>
          <t>SMLMAH</t>
        </is>
      </c>
      <c r="B124" s="51" t="inlineStr">
        <is>
          <t>2026-10-26 05:47</t>
        </is>
      </c>
      <c r="C124" s="51" t="inlineStr">
        <is>
          <t>SML Mahindra Limited (SMLMAH.NS) Slips 2.83% to ₹4,706.5 as Stock Tests Lower End of ₹4,471–₹4,942 Range - Hedge Fund Favorites</t>
        </is>
      </c>
      <c r="D124" s="51" t="inlineStr">
        <is>
          <t>https://www.siam.in/</t>
        </is>
      </c>
      <c r="E124" s="81" t="n">
        <v>-0.318</v>
      </c>
      <c r="F124" s="51" t="inlineStr">
        <is>
          <t>Negative</t>
        </is>
      </c>
      <c r="G124" s="82" t="inlineStr">
        <is>
          <t>open ↗</t>
        </is>
      </c>
    </row>
    <row r="125">
      <c r="A125" s="51" t="inlineStr">
        <is>
          <t>MARKET</t>
        </is>
      </c>
      <c r="B125" s="51" t="inlineStr">
        <is>
          <t>2026-10-25 14:34</t>
        </is>
      </c>
      <c r="C125" s="51" t="inlineStr">
        <is>
          <t>Stock market prediction for Monday Oct 26: Sensex, Nifty levels, top stocks to watch - Will bulls dance again?</t>
        </is>
      </c>
      <c r="D125" s="51" t="inlineStr">
        <is>
          <t>IndiaIPO</t>
        </is>
      </c>
      <c r="E125" s="81" t="n">
        <v>0.542</v>
      </c>
      <c r="F125" s="51" t="inlineStr">
        <is>
          <t>Positive</t>
        </is>
      </c>
      <c r="G125" s="82" t="inlineStr">
        <is>
          <t>open ↗</t>
        </is>
      </c>
    </row>
  </sheetData>
  <mergeCells count="2">
    <mergeCell ref="A2:G2"/>
    <mergeCell ref="A1:G1"/>
  </mergeCells>
  <conditionalFormatting sqref="E5:E125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{"batch": {"batch_id": "2026-10-29", "title": "SwingScope batch 2026-10-29", "signal_date": "2026-10-29", "exit_date_est": "2026-12-01", "hold_sessions": 21, "universe": "liquidity top 400 of all NSE stocks", "capital": 136261.0, "est_costs": null, "cost_pct": 0.6, "regime": "Down", "regime_note": "the signal's weakest regime historically", "warnings": "5 of 10", "evidence": ["Backtest, 2017\u20132026 | Replayed point in time on your survivorship-free archive. Not live results. | Signal strength | IC +0.041 | rank IC over 113 monthly dates, 2017-2026 (t 2.52); validated benchmark 0.026 | Top vs bottom decile | +1.89% | per 21-session hold, before costs (t 2.94) | Top-10 picks | +1.45% | per hold after 0.60% costs; Nifty 50 earned +1.02% before costs | Entry timing | Open wins | buying at the open beat all 30 support-entry rules (best -0.12% per hold) | Down markets | IC +0.009 | over 27 down-regime dates, against +0.050 over 86 up-regime dates", "Live record | No results yet | The first live result arrives when this system finishes its first batch. Live results are kept apart from the backtest and never mixed in."], "stocks": [{"rank": 1, "symbol": "AEROFLEX", "isin": "INE024001021", "qty": 29, "last_close": 538.35, "amount": 15612.0, "spark_12m": "2.0,31.1 2.4,31.0 2.9,31.0 3.3,31.0 3.7,30.1 4.2,30.1 4.6,30.5 5.0,30.0 5.4,29.8 5.9,30.3 6.3,30.5 6.7,30.0 7.2,30.0 7.6,30.2 8.0,30.2 8.5,30.1 8.9,29.9 9.3,30.1 9.7,30.3 10.2,30.2 10.6,30.2 11.0,30.5 11.5,30.9 11.9,30.2 12.3,30.2 12.8,30.4 13.2,30.0 13.6,30.2 14.0,30.3 14.5,30.6 14.9,30.6 15.3,30.7 15.8,31.3 16.2,31.0 16.6,30.7 17.1,30.9 17.5,30.7 17.9,30.3 18.4,30.5 18.8,30.3 19.2,30.7 19.6,29.5 20.1,29.2 20.5,28.8 20.9,28.6 21.4,28.9 21.8,29.1 22.2,29.3 22.7,29.5 23.1,29.6 23.5,29.2 23.9,29.0 24.4,29.3 24.8,29.1 25.2,29.9 25.7,30.2 26.1,30.2 26.5,30.5 27.0,30.7 27.4,30.8 27.8,30.9 28.2,31.3 28.7,31.8 29.1,31.5 29.5,32.0 30.0,31.7 30.4,31.4 30.8,30.4 31.3,30.6 31.7,31.0 32.1,30.1 32.5,29.9 33.0,29.9 33.4,30.1 33.8,29.3 34.3,29.4 34.7,29.6 35.1,29.5 35.6,30.0 36.0,29.6 36.4,28.5 36.9,27.1 37.3,27.0 37.7,27.3 38.1,27.6 38.6,27.7 39.0,27.0 39.4,26.9 39.9,26.5 40.3,27.2 40.7,27.7 41.2,27.3 41.6,27.6 42.0,27.9 42.4,27.5 42.9,26.5 43.3,26.3 43.7,26.5 44.2,25.6 44.6,25.3 45.0,25.6 45.5,26.8 45.9,26.6 46.3,27.3 46.7,25.3 47.2,25.3 47.6,26.1 48.0,26.2 48.5,25.4 48.9,25.2 49.3,25.0 49.8,25.7 50.2,24.6 50.6,23.6 51.1,22.6 51.5,22.6 51.9,22.3 52.3,22.1 52.8,21.0 53.2,21.7 53.6,22.6 54.1,21.5 54.5,22.1 54.9,23.4 55.4,22.2 55.8,22.3 56.2,21.4 56.6,21.4 57.1,21.6 57.5,20.5 57.9,18.6 58.4,13.6 58.8,11.7 59.2,14.7 59.7,17.1 60.1,17.1 60.5,17.4 60.9,16.7 61.4,16.8 61.8,15.9 62.2,15.2 62.7,16.0 63.1,14.3 63.5,13.5 64.0,14.3 64.4,14.0 64.8,14.4 65.3,15.4 65.7,13.1 66.1,12.1 66.5,11.7 67.0,13.1 67.4,14.6 67.8,12.7 68.3,13.5 68.7,13.9 69.1,11.1 69.6,8.9 70.0,9.4 70.4,6.5 70.8,8.1 71.3,6.8 71.7,6.6 72.1,7.1 72.6,8.8 73.0,9.7 73.4,9.6 73.9,9.4 74.3,8.1 74.7,8.9 75.1,10.5 75.6,10.3 76.0,13.6 76.4,14.5 76.9,14.2 77.3,13.6 77.7,13.0 78.2,13.8 78.6,13.0 79.0,13.8 79.5,13.8 79.9,14.1 80.3,13.6 80.7,14.0 81.2,13.1 81.6,13.0 82.0,13.2 82.5,11.2 82.9,10.9 83.3,12.6 83.8,12.0 84.2,12.3 84.6,9.9 85.0,10.5 85.5,11.8 85.9,12.7 86.3,13.1 86.8,12.9 87.2,11.2 87.6,11.1 88.1,10.2 88.5,10.5 88.9,8.3 89.3,9.2 89.8,9.1 90.2,7.1 90.6,7.0 91.1,7.6 91.5,4.7 91.9,5.7 92.4,4.3 92.8,5.5 93.2,3.6 93.6,4.4 94.1,4.3 94.5,4.6 94.9,3.1 95.4,2.0 95.8,2.9 96.2,2.7 96.7,2.7 97.1,6.8 97.5,8.7 98.0,7.5 98.4,6.5 98.8,6.2 99.2,6.1 99.7,5.8 100.1,5.3 100.5,5.5 101.0,6.3 101.4,4.5 101.8,4.7 102.3,5.8 102.7,4.1 103.1,2.9 103.5,2.7 104.0,5.2 104.4,5.8 104.8,2.4 105.3,3.2 105.7,2.3 106.1,6.5 106.6,5.5 107.0,6.9 107.4,8.1 107.8,8.8 108.3,10.8 108.7,11.2 109.1,8.7 109.6,7.9 110.0,4.5", "ret_12_1": 207.0, "ret_6_1": 75.2, "ret_3_1": 13.9, "volatility": 70.5, "traded_daily_cr": 64.0, "watch": "Nothing flagged", "order": "Keep", "from_12m_high": -6.1, "signal_rank": 7, "data_quality": "Green"}, {"rank": 2, "symbol": "CPPLUS", "isin": "INE819V01029", "qty": 3, "last_close": 3951.7, "amount": 11855.0, "spark_12m": "2.0,30.9 2.4,31.1 2.9,31.3 3.3,31.3 3.7,31.4 4.2,31.4 4.6,31.5 5.0,32.0 5.4,31.9 5.9,31.9 6.3,31.1 6.7,29.9 7.2,30.3 7.6,30.2 8.0,30.3 8.5,28.8 8.9,29.1 9.3,28.5 9.7,28.5 10.2,28.1 10.6,28.5 11.0,28.6 11.5,29.2 11.9,29.0 12.3,29.4 12.8,29.5 13.2,29.9 13.6,30.0 14.0,29.8 14.5,29.9 14.9,30.1 15.3,30.1 15.8,30.2 16.2,30.4 16.6,30.5 17.1,29.9 17.5,29.7 17.9,29.6 18.4,29.9 18.8,30.0 19.2,30.0 19.6,29.6 20.1,29.3 20.5,29.7 20.9,29.9 21.4,30.2 21.8,30.3 22.2,30.3 22.7,30.3 23.1,30.0 23.5,30.2 23.9,30.6 24.4,31.0 24.8,31.2 25.2,31.5 25.7,31.1 26.1,31.0 26.5,31.0 27.0,31.2 27.4,31.3 27.8,31.3 28.2,31.2 28.7,31.4 29.1,30.9 29.5,31.2 30.0,31.4 30.4,31.1 30.8,31.2 31.3,31.3 31.7,30.7 32.1,30.3 32.5,29.7 33.0,30.4 33.4,30.3 33.8,30.0 34.3,29.4 34.7,29.4 35.1,29.8 35.6,29.5 36.0,29.5 36.4,29.3 36.9,29.6 37.3,29.7 37.7,30.2 38.1,30.2 38.6,30.5 39.0,29.5 39.4,29.2 39.9,28.4 40.3,27.9 40.7,28.4 41.2,28.2 41.6,28.6 42.0,28.9 42.4,28.8 42.9,29.4 43.3,29.2 43.7,29.1 44.2,29.4 44.6,29.1 45.0,28.5 45.5,28.5 45.9,28.1 46.3,28.9 46.7,28.6 47.2,27.2 47.6,27.1 48.0,27.4 48.5,27.4 48.9,27.3 49.3,27.2 49.8,27.0 50.2,26.4 50.6,26.3 51.1,26.4 51.5,25.9 51.9,24.8 52.3,24.5 52.8,22.9 53.2,22.8 53.6,22.9 54.1,23.7 54.5,22.8 54.9,22.8 55.4,22.1 55.8,22.5 56.2,22.2 56.6,22.3 57.1,21.6 57.5,21.0 57.9,21.0 58.4,21.0 58.8,20.5 59.2,20.4 59.7,20.5 60.1,20.6 60.5,20.2 60.9,21.0 61.4,21.4 61.8,21.8 62.2,21.6 62.7,21.4 63.1,21.4 63.5,20.1 64.0,19.2 64.4,19.3 64.8,16.7 65.3,14.6 65.7,13.8 66.1,12.3 66.5,10.7 67.0,11.0 67.4,11.8 67.8,11.2 68.3,11.6 68.7,12.5 69.1,12.2 69.6,12.3 70.0,12.2 70.4,12.5 70.8,10.9 71.3,9.7 71.7,9.8 72.1,10.4 72.6,9.9 73.0,10.5 73.4,9.0 73.9,9.6 74.3,10.3 74.7,11.2 75.1,10.2 75.6,10.0 76.0,10.5 76.4,10.5 76.9,9.6 77.3,9.5 77.7,9.7 78.2,9.8 78.6,8.9 79.0,8.1 79.5,9.9 79.9,10.4 80.3,11.1 80.7,11.5 81.2,9.9 81.6,10.6 82.0,10.5 82.5,11.7 82.9,11.7 83.3,13.3 83.8,12.1 84.2,11.7 84.6,11.0 85.0,10.5 85.5,9.5 85.9,9.0 86.3,8.5 86.8,8.1 87.2,7.2 87.6,9.1 88.1,10.8 88.5,12.5 88.9,12.5 89.3,12.9 89.8,11.3 90.2,11.3 90.6,11.8 91.1,12.0 91.5,10.7 91.9,9.8 92.4,10.3 92.8,10.4 93.2,8.8 93.6,8.9 94.1,8.6 94.5,9.1 94.9,8.6 95.4,7.9 95.8,8.7 96.2,7.9 96.7,7.9 97.1,9.5 97.5,10.6 98.0,12.2 98.4,12.4 98.8,11.2 99.2,9.6 99.7,7.8 100.1,8.1 100.5,9.2 101.0,8.9 101.4,8.0 101.8,7.7 102.3,8.1 102.7,6.3 103.1,6.5 103.5,5.6 104.0,6.5 104.4,4.4 104.8,4.9 105.3,2.6 105.7,2.0 106.1,5.2 106.6,5.6 107.0,6.1 107.4,7.1 107.8,7.1 108.3,8.2 108.7,7.5 109.1,6.5 109.6,6.4 110.0,6.7", "ret_12_1": 162.0, "ret_6_1": 61.4, "ret_3_1": 8.7, "volatility": 45.4, "traded_daily_cr": 89.0, "watch": "Nothing flagged", "order": "Buy", "from_12m_high": -11.0, "signal_rank": 10, "data_quality": "Green"}, {"rank": 3, "symbol": "THANGAMAYL", "isin": "INE085J01014", "qty": 2, "last_close": 4630.5, "amount": 9261.0, "spark_12m": "2.0,31.9 2.4,32.0 2.9,31.5 3.3,31.6 3.7,31.3 4.2,31.4 4.6,31.3 5.0,30.8 5.4,28.3 5.9,25.9 6.3,25.7 6.7,23.9 7.2,25.3 7.6,24.8 8.0,24.1 8.5,24.4 8.9,24.5 9.3,24.7 9.7,24.9 10.2,25.1 10.6,25.2 11.0,26.0 11.5,24.8 11.9,24.8 12.3,24.7 12.8,24.8 13.2,24.7 13.6,24.1 14.0,25.2 14.5,24.6 14.9,24.8 15.3,24.9 15.8,25.2 16.2,24.7 16.6,24.9 17.1,24.9 17.5,25.0 17.9,25.0 18.4,24.9 18.8,24.4 19.2,24.6 19.6,24.2 20.1,23.8 20.5,23.7 20.9,24.5 21.4,25.0 21.8,25.0 22.2,25.0 22.7,24.9 23.1,24.7 23.5,24.8 23.9,24.2 24.4,23.4 24.8,21.4 25.2,21.2 25.7,22.7 26.1,22.3 26.5,21.9 27.0,21.5 27.4,21.8 27.8,22.1 28.2,22.1 28.7,21.2 29.1,22.6 29.5,22.9 30.0,23.8 30.4,22.8 30.8,23.4 31.3,24.3 31.7,24.9 32.1,25.1 32.5,24.5 33.0,25.1 33.4,23.9 33.8,22.1 34.3,22.2 34.7,22.3 35.1,22.5 35.6,22.9 36.0,22.1 36.4,22.3 36.9,22.6 37.3,23.4 37.7,23.0 38.1,22.8 38.6,22.0 39.0,21.5 39.4,21.0 39.9,20.8 40.3,21.4 40.7,22.7 41.2,22.6 41.6,22.2 42.0,22.9 42.4,22.1 42.9,23.1 43.3,23.0 43.7,23.3 44.2,23.6 44.6,23.4 45.0,23.3 45.5,24.1 45.9,24.3 46.3,25.2 46.7,24.4 47.2,22.8 47.6,23.7 48.0,23.7 48.5,23.0 48.9,23.1 49.3,21.9 49.8,21.3 50.2,20.3 50.6,20.0 51.1,19.8 51.5,19.5 51.9,19.1 52.3,19.0 52.8,19.3 53.2,19.8 53.6,19.8 54.1,20.4 54.5,21.7 54.9,21.7 55.4,20.8 55.8,20.7 56.2,20.6 56.6,20.8 57.1,20.6 57.5,20.7 57.9,20.1 58.4,19.9 58.8,19.1 59.2,20.5 59.7,22.4 60.1,22.5 60.5,22.7 60.9,22.8 61.4,23.1 61.8,22.5 62.2,21.8 62.7,21.3 63.1,21.6 63.5,21.5 64.0,21.6 64.4,21.0 64.8,19.4 65.3,18.9 65.7,17.2 66.1,16.1 66.5,12.0 67.0,13.0 67.4,12.2 67.8,12.3 68.3,12.4 68.7,12.6 69.1,12.2 69.6,12.1 70.0,12.4 70.4,11.4 70.8,12.5 71.3,12.4 71.7,11.8 72.1,12.8 72.6,12.4 73.0,11.6 73.4,10.0 73.9,7.1 74.3,9.6 74.7,7.6 75.1,8.4 75.6,7.7 76.0,7.2 76.4,4.8 76.9,6.0 77.3,6.3 77.7,8.0 78.2,6.8 78.6,5.9 79.0,7.2 79.5,6.9 79.9,7.2 80.3,6.8 80.7,6.7 81.2,4.5 81.6,4.3 82.0,2.0 82.5,2.8 82.9,6.8 83.3,10.4 83.8,13.7 84.2,15.1 84.6,16.5 85.0,15.2 85.5,14.1 85.9,13.4 86.3,13.0 86.8,13.7 87.2,13.1 87.6,13.4 88.1,12.5 88.5,13.0 88.9,12.2 89.3,12.0 89.8,12.4 90.2,12.2 90.6,12.2 91.1,12.7 91.5,12.2 91.9,12.1 92.4,12.5 92.8,12.6 93.2,13.2 93.6,13.6 94.1,13.3 94.5,13.1 94.9,12.3 95.4,12.9 95.8,14.3 96.2,14.5 96.7,14.2 97.1,15.4 97.5,15.3 98.0,16.0 98.4,14.7 98.8,15.3 99.2,14.3 99.7,13.2 100.1,14.4 100.5,14.2 101.0,14.9 101.4,13.8 101.8,14.6 102.3,15.7 102.7,16.3 103.1,16.3 103.5,16.0 104.0,16.0 104.4,15.5 104.8,15.5 105.3,15.5 105.7,15.8 106.1,16.1 106.6,14.4 107.0,14.8 107.4,15.7 107.8,16.1 108.3,16.7 108.7,17.0 109.1,16.3 109.6,16.7 110.0,17.0", "ret_12_1": 155.0, "ret_6_1": 26.3, "ret_3_1": -22.3, "volatility": 58.1, "traded_daily_cr": 37.0, "watch": "Results expected 2026-11-04 (inside the hold)", "order": "Keep", "from_12m_high": -36.7, "signal_rank": 11, "data_quality": "Green"}, {"rank": 4, "symbol": "KIRLOSENG", "isin": "INE146L01010", "qty": 7, "last_close": 1890.3, "amount": 13232.0, "spark_12m": "2.0,32.0 2.4,32.0 2.9,31.9 3.3,31.2 3.7,30.0 4.2,29.8 4.6,29.8 5.0,30.1 5.4,29.8 5.9,29.8 6.3,30.3 6.7,30.8 7.2,30.9 7.6,31.1 8.0,29.1 8.5,28.6 8.9,28.5 9.3,28.1 9.7,27.6 10.2,26.9 10.6,26.8 11.0,27.2 11.5,27.8 11.9,27.3 12.3,27.5 12.8,27.6 13.2,27.9 13.6,28.0 14.0,28.1 14.5,28.6 14.9,27.1 15.3,27.8 15.8,28.4 16.2,27.9 16.6,28.1 17.1,28.0 17.5,27.5 17.9,27.7 18.4,26.0 18.8,25.1 19.2,25.0 19.6,25.7 20.1,24.5 20.5,24.7 20.9,25.4 21.4,25.3 21.8,26.1 22.2,26.1 22.7,26.2 23.1,26.0 23.5,25.4 23.9,25.5 24.4,25.7 24.8,26.1 25.2,26.9 25.7,27.3 26.1,27.8 26.5,27.4 27.0,27.1 27.4,27.0 27.8,27.7 28.2,28.3 28.7,28.3 29.1,28.1 29.5,28.4 30.0,28.3 30.4,28.1 30.8,28.0 31.3,27.0 31.7,27.4 32.1,26.9 32.5,26.0 33.0,26.6 33.4,27.0 33.8,26.2 34.3,25.4 34.7,24.3 35.1,24.1 35.6,23.3 36.0,22.7 36.4,22.4 36.9,22.6 37.3,22.5 37.7,22.6 38.1,23.0 38.6,23.0 39.0,22.8 39.4,23.0 39.9,23.0 40.3,22.8 40.7,22.6 41.2,21.7 41.6,20.9 42.0,21.9 42.4,22.3 42.9,22.0 43.3,21.7 43.7,22.0 44.2,21.7 44.6,22.2 45.0,22.3 45.5,22.5 45.9,23.3 46.3,24.9 46.7,24.2 47.2,23.1 47.6,23.9 48.0,24.2 48.5,23.5 48.9,23.2 49.3,22.6 49.8,23.0 50.2,21.7 50.6,21.9 51.1,21.6 51.5,21.4 51.9,19.4 52.3,19.0 52.8,19.0 53.2,18.6 53.6,18.2 54.1,18.6 54.5,19.1 54.9,19.5 55.4,17.9 55.8,17.1 56.2,17.5 56.6,17.6 57.1,17.1 57.5,16.9 57.9,17.4 58.4,17.0 58.8,17.0 59.2,18.2 59.7,20.0 60.1,19.3 60.5,19.4 60.9,16.8 61.4,17.5 61.8,18.2 62.2,18.2 62.7,18.0 63.1,18.0 63.5,17.5 64.0,16.6 64.4,15.2 64.8,13.4 65.3,13.6 65.7,14.7 66.1,14.1 66.5,13.0 67.0,13.7 67.4,14.8 67.8,14.8 68.3,15.4 68.7,15.8 69.1,14.1 69.6,13.3 70.0,13.6 70.4,12.3 70.8,12.4 71.3,12.3 71.7,5.1 72.1,3.1 72.6,2.0 73.0,3.4 73.4,4.2 73.9,5.6 74.3,6.0 74.7,6.4 75.1,8.0 75.6,7.4 76.0,7.3 76.4,7.2 76.9,4.5 77.3,3.3 77.7,4.3 78.2,5.6 78.6,4.7 79.0,5.0 79.5,7.5 79.9,8.1 80.3,8.1 80.7,8.8 81.2,8.9 81.6,8.9 82.0,7.0 82.5,8.7 82.9,8.9 83.3,9.7 83.8,8.7 84.2,8.1 84.6,7.2 85.0,7.8 85.5,7.7 85.9,9.2 86.3,9.8 86.8,10.3 87.2,11.2 87.6,11.1 88.1,10.3 88.5,10.3 88.9,9.9 89.3,10.7 89.8,9.4 90.2,10.3 90.6,10.9 91.1,11.6 91.5,11.5 91.9,10.3 92.4,9.9 92.8,10.3 93.2,9.6 93.6,9.2 94.1,7.3 94.5,8.5 94.9,9.0 95.4,7.2 95.8,8.2 96.2,8.4 96.7,9.1 97.1,11.4 97.5,11.4 98.0,10.0 98.4,9.3 98.8,9.8 99.2,9.2 99.7,8.2 100.1,9.2 100.5,9.7 101.0,9.6 101.4,4.9 101.8,6.7 102.3,7.8 102.7,7.8 103.1,7.3 103.5,8.0 104.0,9.2 104.4,8.4 104.8,8.7 105.3,8.9 105.7,9.5 106.1,10.9 106.6,11.7 107.0,12.6 107.4,13.8 107.8,14.5 108.3,16.0 108.7,15.4 109.1,14.1 109.6,13.7 110.0,14.1", "ret_12_1": 143.0, "ret_6_1": 24.2, "ret_3_1": -1.8, "volatility": 51.9, "traded_daily_cr": 82.0, "watch": "Results expected 2026-11-04 (inside the hold)", "order": "Keep", "from_12m_high": -26.3, "signal_rank": 13, "data_quality": "Green"}, {"rank": 5, "symbol": "SMLMAH", "isin": "INE294B01019", "qty": 3, "last_close": 4848.0, "amount": 14544.0, "spark_12m": "2.0,30.8 2.4,31.6 2.9,31.2 3.3,30.1 3.7,29.0 4.2,30.1 4.6,30.0 5.0,30.0 5.4,28.9 5.9,28.3 6.3,29.3 6.7,29.2 7.2,29.7 7.6,30.5 8.0,30.1 8.5,30.9 8.9,31.3 9.3,31.3 9.7,31.2 10.2,31.3 10.6,31.3 11.0,32.0 11.5,31.7 11.9,31.5 12.3,31.0 12.8,30.0 13.2,29.9 13.6,28.8 14.0,27.6 14.5,26.3 14.9,26.4 15.3,27.5 15.8,26.8 16.2,25.5 16.6,24.5 17.1,24.1 17.5,24.6 17.9,24.5 18.4,25.3 18.8,25.8 19.2,25.8 19.6,25.2 20.1,23.9 20.5,24.4 20.9,25.0 21.4,25.6 21.8,24.3 22.2,23.2 22.7,23.1 23.1,22.2 23.5,22.2 23.9,22.0 24.4,21.2 24.8,19.7 25.2,19.4 25.7,21.0 26.1,21.1 26.5,21.1 27.0,19.5 27.4,19.9 27.8,21.5 28.2,23.1 28.7,24.5 29.1,25.7 29.5,25.3 30.0,26.6 30.4,25.3 30.8,25.9 31.3,26.9 31.7,25.9 32.1,25.5 32.5,24.2 33.0,24.4 33.4,24.9 33.8,23.3 34.3,20.4 34.7,19.8 35.1,16.5 35.6,17.9 36.0,16.4 36.4,14.6 36.9,14.7 37.3,14.5 37.7,16.4 38.1,16.5 38.6,15.2 39.0,16.1 39.4,15.3 39.9,17.1 40.3,18.9 40.7,20.5 41.2,19.8 41.6,21.4 42.0,23.0 42.4,21.9 42.9,23.1 43.3,24.2 43.7,25.3 44.2,24.1 44.6,23.3 45.0,21.8 45.5,23.2 45.9,22.5 46.3,24.0 46.7,23.0 47.2,21.6 47.6,23.0 48.0,24.5 48.5,23.1 48.9,22.4 49.3,22.1 49.8,23.1 50.2,20.5 50.6,21.9 51.1,21.8 51.5,22.1 51.9,21.1 52.3,20.3 52.8,20.5 53.2,20.5 53.6,22.8 54.1,24.4 54.5,23.5 54.9,23.7 55.4,23.5 55.8,23.8 56.2,24.5 56.6,24.9 57.1,25.1 57.5,25.4 57.9,23.8 58.4,23.7 58.8,24.3 59.2,24.6 59.7,25.7 60.1,25.6 60.5,25.0 60.9,25.6 61.4,26.6 61.8,26.3 62.2,24.8 62.7,24.4 63.1,23.9 63.5,23.9 64.0,23.8 64.4,23.6 64.8,24.8 65.3,25.4 65.7,25.0 66.1,24.3 66.5,24.7 67.0,24.5 67.4,25.0 67.8,24.4 68.3,24.6 68.7,25.2 69.1,23.7 69.6,22.8 70.0,23.3 70.4,23.1 70.8,22.6 71.3,22.2 71.7,22.1 72.1,22.2 72.6,22.6 73.0,22.2 73.4,22.7 73.9,22.2 74.3,23.2 74.7,22.8 75.1,23.2 75.6,23.7 76.0,24.1 76.4,23.8 76.9,22.3 77.3,21.7 77.7,21.4 78.2,22.2 78.6,21.8 79.0,22.2 79.5,22.2 79.9,23.0 80.3,22.3 80.7,23.2 81.2,23.6 81.6,24.0 82.0,23.6 82.5,24.3 82.9,18.7 83.3,11.9 83.8,10.4 84.2,12.1 84.6,12.3 85.0,8.7 85.5,10.5 85.9,11.4 86.3,13.8 86.8,13.9 87.2,14.2 87.6,14.2 88.1,14.5 88.5,13.1 88.9,13.2 89.3,13.8 89.8,14.3 90.2,13.1 90.6,14.0 91.1,14.1 91.5,14.1 91.9,14.1 92.4,14.1 92.8,14.7 93.2,12.4 93.6,13.1 94.1,10.1 94.5,5.9 94.9,5.2 95.4,5.8 95.8,3.9 96.2,6.0 96.7,3.8 97.1,6.2 97.5,8.3 98.0,6.5 98.4,5.9 98.8,4.7 99.2,2.8 99.7,2.2 100.1,3.6 100.5,2.0 101.0,4.3 101.4,3.5 101.8,3.8 102.3,6.2 102.7,5.5 103.1,7.1 103.5,7.4 104.0,9.2 104.4,9.5 104.8,9.6 105.3,6.8 105.7,7.1 106.1,7.9 106.6,7.2 107.0,7.3 107.4,11.8 107.8,15.9 108.3,16.6 108.7,18.3 109.1,17.1 109.6,17.2 110.0,16.6", "ret_12_1": 132.0, "ret_6_1": 68.2, "ret_3_1": 42.7, "volatility": 62.4, "traded_daily_cr": 38.0, "watch": "Nothing flagged", "order": "Buy", "from_12m_high": -29.0, "signal_rank": 15, "data_quality": "Green"}, {"rank": 6, "symbol": "AETHER", "isin": "INE0BWX01014", "qty": 9, "last_close": 1581.0, "amount": 14229.0, "spark_12m": "2.0,31.3 2.4,31.2 2.9,31.1 3.3,31.1 3.7,31.3 4.2,31.5 4.6,31.8 5.0,31.4 5.4,31.2 5.9,31.3 6.3,31.5 6.7,31.9 7.2,31.8 7.6,32.0 8.0,31.7 8.5,30.9 8.9,29.0 9.3,28.8 9.7,28.0 10.2,27.6 10.6,27.4 11.0,26.8 11.5,26.8 11.9,27.5 12.3,27.3 12.8,27.7 13.2,27.9 13.6,27.2 14.0,28.2 14.5,28.0 14.9,28.3 15.3,28.8 15.8,29.7 16.2,28.7 16.6,29.1 17.1,28.1 17.5,28.3 17.9,27.9 18.4,28.3 18.8,28.3 19.2,28.9 19.6,29.0 20.1,28.4 20.5,28.8 20.9,29.1 21.4,28.8 21.8,29.2 22.2,29.2 22.7,28.4 23.1,27.3 23.5,26.1 23.9,26.0 24.4,24.5 24.8,24.5 25.2,24.9 25.7,25.0 26.1,24.9 26.5,24.8 27.0,24.6 27.4,24.9 27.8,25.0 28.2,25.4 28.7,25.5 29.1,25.1 29.5,25.4 30.0,24.7 30.4,24.6 30.8,25.1 31.3,24.4 31.7,23.4 32.1,24.3 32.5,23.5 33.0,23.9 33.4,24.2 33.8,24.8 34.3,25.0 34.7,25.0 35.1,25.4 35.6,25.4 36.0,25.4 36.4,25.1 36.9,24.7 37.3,25.6 37.7,25.4 38.1,25.4 38.6,25.5 39.0,25.3 39.4,25.6 39.9,25.6 40.3,26.4 40.7,26.8 41.2,25.4 41.6,24.1 42.0,24.9 42.4,24.4 42.9,24.0 43.3,23.1 43.7,24.5 44.2,23.8 44.6,24.3 45.0,22.6 45.5,22.6 45.9,20.1 46.3,22.1 46.7,18.2 47.2,20.0 47.6,19.7 48.0,21.8 48.5,21.2 48.9,21.6 49.3,21.6 49.8,22.1 50.2,20.7 50.6,20.7 51.1,19.1 51.5,19.3 51.9,19.5 52.3,19.2 52.8,19.4 53.2,19.3 53.6,19.3 54.1,19.3 54.5,19.4 54.9,21.3 55.4,20.1 55.8,19.7 56.2,19.8 56.6,19.7 57.1,17.4 57.5,18.3 57.9,17.9 58.4,18.4 58.8,18.5 59.2,18.8 59.7,20.1 60.1,20.4 60.5,21.5 60.9,21.3 61.4,21.3 61.8,21.8 62.2,22.1 62.7,22.2 63.1,23.0 63.5,22.4 64.0,21.7 64.4,21.8 64.8,21.7 65.3,21.2 65.7,21.7 66.1,20.6 66.5,20.5 67.0,20.6 67.4,20.6 67.8,20.7 68.3,21.0 68.7,20.9 69.1,20.5 69.6,20.3 70.0,19.5 70.4,19.4 70.8,20.1 71.3,19.9 71.7,18.1 72.1,17.6 72.6,14.4 73.0,15.3 73.4,14.9 73.9,14.4 74.3,15.3 74.7,14.0 75.1,14.4 75.6,14.3 76.0,15.2 76.4,12.9 76.9,10.8 77.3,10.4 77.7,11.8 78.2,12.1 78.6,11.1 79.0,10.5 79.5,11.1 79.9,11.8 80.3,11.8 80.7,11.5 81.2,12.2 81.6,12.5 82.0,11.0 82.5,11.4 82.9,10.7 83.3,10.7 83.8,9.3 84.2,10.2 84.6,8.2 85.0,7.9 85.5,8.1 85.9,7.9 86.3,7.7 86.8,6.7 87.2,7.3 87.6,8.2 88.1,6.9 88.5,7.5 88.9,6.7 89.3,6.5 89.8,6.6 90.2,6.9 90.6,5.7 91.1,6.7 91.5,6.1 91.9,5.4 92.4,4.9 92.8,5.1 93.2,5.3 93.6,6.3 94.1,6.1 94.5,6.9 94.9,7.1 95.4,6.4 95.8,7.3 96.2,6.5 96.7,5.5 97.1,8.1 97.5,7.5 98.0,7.0 98.4,6.8 98.8,6.5 99.2,6.4 99.7,6.3 100.1,6.3 100.5,2.9 101.0,3.7 101.4,3.4 101.8,4.8 102.3,5.6 102.7,5.9 103.1,2.0 103.5,2.3 104.0,3.6 104.4,3.5 104.8,2.6 105.3,4.4 105.7,5.3 106.1,7.7 106.6,9.3 107.0,9.8 107.4,11.5 107.8,11.8 108.3,12.9 108.7,11.2 109.1,9.4 109.6,7.9 110.0,8.2", "ret_12_1": 132.0, "ret_6_1": 48.6, "ret_3_1": 16.7, "volatility": 39.6, "traded_daily_cr": 39.0, "watch": "Results expected 2026-10-30 (inside the hold)", "order": "Buy", "from_12m_high": -12.2, "signal_rank": 16, "data_quality": "Green"}, {"rank": 7, "symbol": "SBC", "isin": "INE04AK01028", "qty": 225, "last_close": 66.52, "amount": 14967.0, "spark_12m": "2.0,32.0 2.4,31.8 2.9,31.9 3.3,31.7 3.7,31.8 4.2,31.8 4.6,31.6 5.0,31.5 5.4,31.4 5.9,31.3 6.3,30.7 6.7,31.0 7.2,30.5 7.6,30.7 8.0,30.7 8.5,30.9 8.9,31.0 9.3,30.8 9.7,30.3 10.2,30.2 10.6,29.9 11.0,29.9 11.5,30.0 11.9,30.0 12.3,30.2 12.8,30.2 13.2,29.7 13.6,29.4 14.0,29.5 14.5,29.6 14.9,29.4 15.3,29.0 15.8,29.3 16.2,29.1 16.6,29.1 17.1,29.0 17.5,28.7 17.9,28.5 18.4,28.4 18.8,28.5 19.2,28.3 19.6,28.5 20.1,28.6 20.5,28.4 20.9,28.4 21.4,28.5 21.8,28.6 22.2,28.5 22.7,28.5 23.1,28.2 23.5,28.4 23.9,28.2 24.4,28.1 24.8,28.0 25.2,28.1 25.7,28.2 26.1,28.4 26.5,28.3 27.0,28.2 27.4,28.1 27.8,28.1 28.2,28.1 28.7,28.2 29.1,27.9 29.5,27.5 30.0,28.1 30.4,28.2 30.8,28.1 31.3,28.1 31.7,28.4 32.1,28.1 32.5,27.4 33.0,27.1 33.4,26.8 33.8,26.9 34.3,26.9 34.7,26.9 35.1,27.0 35.6,27.0 36.0,26.9 36.4,26.4 36.9,26.4 37.3,26.0 37.7,25.9 38.1,25.8 38.6,25.9 39.0,25.8 39.4,25.8 39.9,25.8 40.3,26.1 40.7,26.1 41.2,25.7 41.6,25.7 42.0,26.0 42.4,25.8 42.9,25.8 43.3,25.8 43.7,25.9 44.2,26.4 44.6,26.1 45.0,26.0 45.5,26.2 45.9,26.2 46.3,27.0 46.7,26.5 47.2,26.5 47.6,26.6 48.0,27.2 48.5,27.1 48.9,26.9 49.3,26.9 49.8,26.2 50.2,26.1 50.6,25.8 51.1,25.1 51.5,25.2 51.9,25.2 52.3,25.2 52.8,25.2 53.2,24.6 53.6,24.6 54.1,25.0 54.5,24.9 54.9,25.0 55.4,25.0 55.8,24.9 56.2,24.8 56.6,24.7 57.1,25.0 57.5,24.8 57.9,24.8 58.4,24.5 58.8,24.3 59.2,24.0 59.7,24.1 60.1,24.4 60.5,24.9 60.9,24.9 61.4,24.7 61.8,24.5 62.2,23.5 62.7,21.8 63.1,21.4 63.5,21.2 64.0,21.4 64.4,20.5 64.8,20.8 65.3,22.6 65.7,22.6 66.1,22.6 66.5,22.1 67.0,22.4 67.4,22.7 67.8,22.4 68.3,22.6 68.7,22.5 69.1,22.3 69.6,22.4 70.0,22.3 70.4,22.1 70.8,20.5 71.3,17.9 71.7,17.5 72.1,19.3 72.6,19.3 73.0,19.3 73.4,19.2 73.9,19.4 74.3,19.0 74.7,18.9 75.1,18.9 75.6,18.9 76.0,18.9 76.4,18.9 76.9,18.9 77.3,18.7 77.7,18.9 78.2,18.8 78.6,18.9 79.0,18.8 79.5,18.8 79.9,18.8 80.3,19.1 80.7,18.9 81.2,18.9 81.6,18.9 82.0,18.9 82.5,19.0 82.9,18.9 83.3,18.9 83.8,19.0 84.2,19.0 84.6,19.3 85.0,19.5 85.5,19.6 85.9,19.6 86.3,19.6 86.8,19.3 87.2,20.2 87.6,21.4 88.1,21.3 88.5,21.2 88.9,21.3 89.3,21.2 89.8,20.5 90.2,20.3 90.6,20.5 91.1,20.4 91.5,20.3 91.9,19.4 92.4,19.0 92.8,18.9 93.2,19.0 93.6,18.4 94.1,18.1 94.5,16.4 94.9,15.6 95.4,15.7 95.8,14.4 96.2,14.8 96.7,14.6 97.1,15.0 97.5,15.1 98.0,14.7 98.4,14.0 98.8,14.0 99.2,14.0 99.7,14.3 100.1,14.8 100.5,11.4 101.0,11.0 101.4,10.2 101.8,7.7 102.3,7.5 102.7,5.1 103.1,5.3 103.5,5.3 104.0,4.3 104.4,4.8 104.8,3.6 105.3,3.6 105.7,3.7 106.1,3.6 106.6,4.2 107.0,3.4 107.4,4.5 107.8,5.0 108.3,5.8 108.7,3.9 109.1,2.2 109.6,2.7 110.0,2.0", "ret_12_1": 132.0, "ret_6_1": 60.3, "ret_3_1": 27.2, "volatility": 35.6, "traded_daily_cr": 48.0, "watch": "Nothing flagged", "order": "Buy", "from_12m_high": 0.0, "signal_rank": 17, "data_quality": "Green"}, {"rank": 8, "symbol": "SYRMA", "isin": "INE0DYJ01015", "qty": 8, "last_close": 1669.0, "amount": 13352.0, "spark_12m": "2.0,27.9 2.4,28.6 2.9,28.5 3.3,29.0 3.7,27.7 4.2,27.4 4.6,27.2 5.0,27.4 5.4,28.1 5.9,28.2 6.3,28.1 6.7,27.8 7.2,27.6 7.6,27.0 8.0,25.4 8.5,25.5 8.9,25.3 9.3,25.1 9.7,25.8 10.2,25.8 10.6,25.9 11.0,26.9 11.5,27.3 11.9,26.9 12.3,26.3 12.8,26.5 13.2,27.3 13.6,27.5 14.0,27.9 14.5,27.9 14.9,28.2 15.3,29.3 15.8,29.7 16.2,28.9 16.6,29.5 17.1,29.6 17.5,29.4 17.9,29.5 18.4,29.9 18.8,30.0 19.2,30.2 19.6,29.6 20.1,29.8 20.5,29.5 20.9,29.5 21.4,29.4 21.8,30.1 22.2,29.8 22.7,29.6 23.1,29.9 23.5,29.3 23.9,29.1 24.4,29.1 24.8,29.1 25.2,29.5 25.7,30.0 26.1,30.4 26.5,30.3 27.0,30.3 27.4,30.2 27.8,30.8 28.2,31.8 28.7,32.0 29.1,31.3 29.5,31.3 30.0,31.6 30.4,29.8 30.8,29.8 31.3,28.8 31.7,28.6 32.1,27.3 32.5,26.5 33.0,26.2 33.4,26.0 33.8,25.9 34.3,25.8 34.7,25.4 35.1,25.9 35.6,25.9 36.0,26.1 36.4,26.1 36.9,26.0 37.3,26.7 37.7,27.0 38.1,26.7 38.6,27.1 39.0,26.9 39.4,26.9 39.9,27.2 40.3,28.3 40.7,29.4 41.2,28.7 41.6,28.8 42.0,29.7 42.4,28.8 42.9,28.9 43.3,29.1 43.7,29.8 44.2,29.7 44.6,28.7 45.0,28.2 45.5,28.9 45.9,28.2 46.3,29.2 46.7,28.0 47.2,27.3 47.6,27.3 48.0,28.5 48.5,27.9 48.9,27.9 49.3,27.6 49.8,27.6 50.2,26.6 50.6,26.6 51.1,26.0 51.5,26.2 51.9,25.3 52.3,23.4 52.8,23.1 53.2,23.5 53.6,22.9 54.1,22.6 54.5,23.0 54.9,23.4 55.4,23.1 55.8,23.3 56.2,23.2 56.6,23.6 57.1,22.1 57.5,21.0 57.9,21.0 58.4,20.1 58.8,19.9 59.2,19.6 59.7,20.6 60.1,21.6 60.5,21.8 60.9,22.2 61.4,23.3 61.8,23.0 62.2,22.4 62.7,21.9 63.1,21.5 63.5,21.1 64.0,21.0 64.4,21.1 64.8,20.2 65.3,19.7 65.7,18.2 66.1,17.4 66.5,16.7 67.0,16.6 67.4,17.3 67.8,15.8 68.3,16.6 68.7,16.4 69.1,15.6 69.6,14.6 70.0,14.7 70.4,14.7 70.8,13.4 71.3,13.8 71.7,13.7 72.1,12.8 72.6,11.4 73.0,11.0 73.4,12.9 73.9,12.1 74.3,11.5 74.7,12.1 75.1,12.7 75.6,12.3 76.0,13.2 76.4,12.9 76.9,11.0 77.3,10.7 77.7,11.2 78.2,11.5 78.6,11.9 79.0,11.4 79.5,13.1 79.9,13.6 80.3,12.7 80.7,13.0 81.2,12.6 81.6,15.0 82.0,14.3 82.5,14.5 82.9,13.5 83.3,12.6 83.8,12.9 84.2,13.1 84.6,11.5 85.0,11.2 85.5,11.6 85.9,11.4 86.3,9.0 86.8,9.6 87.2,10.1 87.6,10.3 88.1,10.3 88.5,10.3 88.9,9.4 89.3,9.6 89.8,10.9 90.2,11.0 90.6,10.5 91.1,10.5 91.5,10.1 91.9,9.6 92.4,10.1 92.8,11.1 93.2,10.8 93.6,11.2 94.1,10.7 94.5,10.5 94.9,5.9 95.4,5.8 95.8,6.2 96.2,6.8 96.7,7.1 97.1,9.2 97.5,9.1 98.0,6.3 98.4,3.4 98.8,3.8 99.2,3.1 99.7,3.7 100.1,4.2 100.5,3.3 101.0,3.0 101.4,4.4 101.8,2.0 102.3,3.7 102.7,4.2 103.1,4.6 103.5,3.0 104.0,4.7 104.4,3.7 104.8,3.2 105.3,4.3 105.7,4.4 106.1,4.5 106.6,6.7 107.0,8.2 107.4,10.1 107.8,9.5 108.3,11.2 108.7,9.5 109.1,8.9 109.6,7.8 110.0,5.0", "ret_12_1": 124.0, "ret_6_1": 79.8, "ret_3_1": 30.0, "volatility": 45.6, "traded_daily_cr": 168.0, "watch": "Results expected 2026-10-30 (inside the hold)", "order": "Buy", "from_12m_high": -6.4, "signal_rank": 19, "data_quality": "Green"}, {"rank": 9, "symbol": "TDPOWERSYS", "isin": "INE419M01035", "qty": 20, "last_close": 719.45, "amount": 14389.0, "spark_12m": "2.0,31.2 2.4,31.4 2.9,31.5 3.3,31.4 3.7,31.3 4.2,30.7 4.6,30.3 5.0,27.6 5.4,26.4 5.9,26.3 6.3,26.9 6.7,27.4 7.2,27.3 7.6,27.5 8.0,26.3 8.5,27.5 8.9,27.3 9.3,27.3 9.7,27.9 10.2,28.0 10.6,28.1 11.0,29.1 11.5,27.9 11.9,28.0 12.3,27.0 12.8,27.0 13.2,27.5 13.6,27.1 14.0,27.1 14.5,27.9 14.9,29.0 15.3,29.9 15.8,30.5 16.2,30.0 16.6,30.4 17.1,30.4 17.5,30.2 17.9,29.9 18.4,30.1 18.8,29.3 19.2,29.9 19.6,29.3 20.1,28.5 20.5,28.9 20.9,29.2 21.4,29.5 21.8,30.0 22.2,29.7 22.7,29.7 23.1,30.6 23.5,30.2 23.9,30.0 24.4,30.1 24.8,29.8 25.2,30.1 25.7,30.6 26.1,31.1 26.5,30.2 27.0,30.4 27.4,30.7 27.8,31.0 28.2,31.5 28.7,31.7 29.1,31.8 29.5,32.0 30.0,31.9 30.4,31.1 30.8,30.5 31.3,28.9 31.7,28.3 32.1,26.4 32.5,26.2 33.0,26.6 33.4,27.4 33.8,26.9 34.3,25.3 34.7,24.8 35.1,25.5 35.6,25.9 36.0,25.1 36.4,24.9 36.9,24.8 37.3,24.4 37.7,24.5 38.1,23.8 38.6,24.3 39.0,24.6 39.4,24.5 39.9,23.9 40.3,24.2 40.7,24.6 41.2,24.4 41.6,24.6 42.0,25.5 42.4,26.4 42.9,26.8 43.3,26.5 43.7,27.4 44.2,27.0 44.6,26.4 45.0,25.8 45.5,25.9 45.9,25.0 46.3,26.3 46.7,25.1 47.2,24.4 47.6,25.4 48.0,25.4 48.5,25.0 48.9,25.0 49.3,24.6 49.8,24.5 50.2,24.4 50.6,24.6 51.1,23.2 51.5,23.5 51.9,22.7 52.3,21.9 52.8,21.1 53.2,20.1 53.6,20.5 54.1,19.2 54.5,19.0 54.9,17.7 55.4,18.4 55.8,16.8 56.2,16.7 56.6,16.6 57.1,16.3 57.5,15.9 57.9,16.2 58.4,13.9 58.8,14.6 59.2,15.8 59.7,16.1 60.1,15.9 60.5,15.7 60.9,11.9 61.4,11.4 61.8,13.5 62.2,14.3 62.7,12.2 63.1,12.4 63.5,12.2 64.0,10.3 64.4,11.3 64.8,11.7 65.3,14.3 65.7,14.2 66.1,12.7 66.5,11.5 67.0,11.9 67.4,14.4 67.8,14.3 68.3,16.5 68.7,17.3 69.1,15.4 69.6,15.3 70.0,16.1 70.4,14.3 70.8,13.2 71.3,13.1 71.7,11.5 72.1,10.7 72.6,13.3 73.0,13.6 73.4,14.2 73.9,14.1 74.3,15.4 74.7,15.4 75.1,18.3 75.6,15.9 76.0,17.5 76.4,18.7 76.9,18.4 77.3,16.6 77.7,16.6 78.2,17.4 78.6,15.9 79.0,17.3 79.5,17.3 79.9,16.9 80.3,17.3 80.7,16.3 81.2,17.0 81.6,17.7 82.0,16.9 82.5,17.7 82.9,20.0 83.3,19.4 83.8,17.2 84.2,17.7 84.6,17.3 85.0,15.1 85.5,14.4 85.9,13.4 86.3,14.1 86.8,13.0 87.2,7.0 87.6,7.0 88.1,6.9 88.5,5.0 88.9,3.9 89.3,5.1 89.8,6.2 90.2,5.4 90.6,4.7 91.1,7.6 91.5,7.7 91.9,7.0 92.4,6.3 92.8,4.8 93.2,5.9 93.6,7.3 94.1,8.0 94.5,7.0 94.9,7.3 95.4,5.3 95.8,6.1 96.2,5.7 96.7,3.2 97.1,7.9 97.5,9.6 98.0,8.0 98.4,5.6 98.8,6.6 99.2,6.0 99.7,5.5 100.1,6.9 100.5,6.3 101.0,8.1 101.4,4.8 101.8,4.3 102.3,4.0 102.7,2.7 103.1,2.6 103.5,2.3 104.0,3.9 104.4,3.9 104.8,2.0 105.3,3.6 105.7,4.5 106.1,7.3 106.6,7.3 107.0,7.2 107.4,10.0 107.8,10.9 108.3,12.9 108.7,10.0 109.1,10.1 109.6,8.3 110.0,8.2", "ret_12_1": 124.0, "ret_6_1": 26.1, "ret_3_1": 39.4, "volatility": 62.6, "traded_daily_cr": 176.0, "watch": "Nothing flagged", "order": "Keep", "from_12m_high": -12.9, "signal_rank": 20, "data_quality": "Green"}, {"rank": 10, "symbol": "RATNAVEER", "isin": "INE05CZ01011", "qty": 42, "last_close": 352.85, "amount": 14820.0, "spark_12m": "2.0,29.3 2.4,28.6 2.9,28.9 3.3,29.3 3.7,29.6 4.2,29.3 4.6,29.6 5.0,29.5 5.4,28.9 5.9,29.8 6.3,29.6 6.7,29.5 7.2,29.2 7.6,28.9 8.0,29.2 8.5,28.9 8.9,29.0 9.3,28.9 9.7,29.2 10.2,28.4 10.6,28.9 11.0,29.4 11.5,29.7 11.9,29.8 12.3,29.6 12.8,29.0 13.2,29.0 13.6,28.3 14.0,28.4 14.5,29.1 14.9,28.1 15.3,28.1 15.8,28.0 16.2,28.0 16.6,28.5 17.1,28.8 17.5,28.2 17.9,28.5 18.4,27.8 18.8,27.5 19.2,28.2 19.6,28.1 20.1,27.2 20.5,27.6 20.9,28.9 21.4,29.4 21.8,29.3 22.2,29.5 22.7,29.2 23.1,29.1 23.5,28.7 23.9,29.0 24.4,29.0 24.8,28.9 25.2,29.4 25.7,30.1 26.1,30.4 26.5,28.9 27.0,29.4 27.4,29.3 27.8,29.6 28.2,30.4 28.7,30.9 29.1,30.9 29.5,31.1 30.0,31.4 30.4,30.8 30.8,28.8 31.3,29.0 31.7,30.1 32.1,28.8 32.5,28.2 33.0,28.8 33.4,29.4 33.8,28.8 34.3,29.0 34.7,29.3 35.1,29.2 35.6,29.9 36.0,29.4 36.4,28.9 36.9,28.8 37.3,28.2 37.7,27.5 38.1,28.2 38.6,28.1 39.0,29.2 39.4,29.1 39.9,29.5 40.3,30.0 40.7,30.7 41.2,30.9 41.6,30.8 42.0,31.3 42.4,30.8 42.9,30.5 43.3,30.7 43.7,31.2 44.2,31.0 44.6,29.1 45.0,29.9 45.5,30.9 45.9,30.9 46.3,31.7 46.7,31.0 47.2,30.7 47.6,31.3 48.0,32.0 48.5,31.1 48.9,30.8 49.3,30.8 49.8,30.9 50.2,30.2 50.6,30.4 51.1,30.0 51.5,28.5 51.9,28.3 52.3,28.5 52.8,28.7 53.2,30.0 53.6,30.1 54.1,30.0 54.5,29.9 54.9,30.2 55.4,28.5 55.8,28.0 56.2,26.9 56.6,27.7 57.1,26.0 57.5,25.5 57.9,25.0 58.4,25.6 58.8,25.9 59.2,25.7 59.7,27.1 60.1,25.6 60.5,25.3 60.9,25.8 61.4,25.1 61.8,25.3 62.2,25.0 62.7,24.6 63.1,25.1 63.5,25.8 64.0,26.0 64.4,26.8 64.8,27.5 65.3,27.2 65.7,26.6 66.1,27.1 66.5,26.7 67.0,26.9 67.4,27.7 67.8,27.1 68.3,27.7 68.7,28.1 69.1,27.5 69.6,27.3 70.0,27.4 70.4,25.2 70.8,24.4 71.3,24.2 71.7,24.5 72.1,25.2 72.6,25.1 73.0,25.3 73.4,25.3 73.9,25.2 74.3,25.7 74.7,25.8 75.1,26.3 75.6,25.4 76.0,25.7 76.4,25.3 76.9,25.4 77.3,25.4 77.7,25.4 78.2,25.9 78.6,26.0 79.0,26.0 79.5,25.3 79.9,25.4 80.3,25.9 80.7,26.0 81.2,25.7 81.6,25.6 82.0,22.8 82.5,24.6 82.9,24.6 83.3,24.8 83.8,25.2 84.2,21.9 84.6,21.4 85.0,22.3 85.5,21.9 85.9,21.9 86.3,21.6 86.8,21.9 87.2,21.3 87.6,20.0 88.1,18.6 88.5,16.6 88.9,15.6 89.3,15.9 89.8,13.3 90.2,13.6 90.6,13.0 91.1,14.1 91.5,12.0 91.9,9.8 92.4,9.8 92.8,8.3 93.2,10.3 93.6,11.0 94.1,11.0 94.5,8.5 94.9,8.3 95.4,9.5 95.8,9.2 96.2,7.7 96.7,10.7 97.1,10.6 97.5,11.0 98.0,8.6 98.4,9.3 98.8,4.5 99.2,4.8 99.7,4.9 100.1,5.9 100.5,4.6 101.0,5.0 101.4,4.9 101.8,5.0 102.3,3.0 102.7,3.8 103.1,4.4 103.5,4.2 104.0,4.9 104.4,3.3 104.8,4.9 105.3,3.6 105.7,5.3 106.1,5.3 106.6,3.3 107.0,2.3 107.4,4.4 107.8,5.6 108.3,5.0 108.7,4.7 109.1,2.8 109.6,3.0 110.0,2.0", "ret_12_1": 119.0, "ret_6_1": 106.0, "ret_3_1": 77.9, "volatility": 54.3, "traded_daily_cr": 178.0, "watch": "Results expected 2026-10-30 (inside the hold)", "order": "Buy", "from_12m_high": 0.0, "signal_rank": 21, "data_quality": "Green"}], "sells": [{"symbol": "ATHERENERG", "isin": "INE0LEZ01016", "qty": 10}, {"symbol": "RRKABEL", "isin": "INE777K01022", "qty": 6}, {"symbol": "ACUTAAS", "isin": "INE00FF01025", "qty": 4}, {"symbol": "DIACABS", "isin": "INE989C01038", "qty": 44}, {"symbol": "E2E", "isin": "INE255Z01027", "qty": 23}, {"symbol": "LAURUSLABS", "isin": "INE947Q01028", "qty": 7}], "rebalance": true, "new_money": 83767.0}, "prices": {"AEROFLEX": {"2026-10-29": {"open": 528.0, "close": 538.35, "src": "yahoo"}, "2026-10-30": {"open": 538.35, "close": 536.4, </t>
        </is>
      </c>
    </row>
    <row r="2">
      <c r="A2" t="inlineStr">
        <is>
          <t>"src": "bhavcopy"}}, "CPPLUS": {"2026-10-29": {"open": 3985.0, "close": 3951.7, "src": "yahoo"}, "2026-10-30": {"open": 3932.1, "close": 3811.5, "src": "bhavcopy"}}, "THANGAMAYL": {"2026-10-29": {"open": 4681.0, "close": 4630.5, "src": "yahoo"}, "2026-10-30": {"open": 4620.0, "close": 4455.0, "src": "bhavcopy"}}, "KIRLOSENG": {"2026-10-29": {"open": 1907.3, "close": 1890.3, "src": "yahoo"}, "2026-10-30": {"open": 1884.0, "close": 1796.1, "src": "bhavcopy"}}, "SMLMAH": {"2026-10-29": {"open": 4770.5, "close": 4848.0, "src": "yahoo"}, "2026-10-30": {"open": 4918.0, "close": 4724.5, "src": "bhavcopy"}}, "AETHER": {"2026-10-29": {"open": 1590.0, "close": 1581.0, "src": "yahoo"}, "2026-10-30": {"open": 1597.4, "close": 1616.2, "src": "bhavcopy"}}, "SBC": {"2026-10-29": {"open": 65.39, "close": 66.52, "src": "yahoo"}, "2026-10-30": {"open": 67.05, "close": 66.15, "src": "bhavcopy"}}, "SYRMA": {"2026-10-29": {"open": 1563.0, "close": 1669.0, "src": "yahoo"}, "2026-10-30": {"open": 1675.0, "close": 1625.3, "src": "bhavcopy"}}, "TDPOWERSYS": {"2026-10-29": {"open": 719.8, "close": 719.45, "src": "yahoo"}, "2026-10-30": {"open": 705.0, "close": 713.9, "src": "bhavcopy"}}, "RATNAVEER": {"2026-10-29": {"open": 345.0, "close": 352.85, "src": "yahoo"}, "2026-10-30": {"open": 354.2, "close": 360.25, "src": "bhavcopy"}}, "NIFTY50": {"2026-10-29": {"open": 22690.65, "close": 22936.75, "src": "yahoo"}, "2026-10-30": {"open": 22964.5, "close": 23053.1, "src": "bhavcopy"}}}, "entry_override": {}, "news": {"fetched": "2026-10-30 18:08", "days": 7, "items": [{"symbol": "MARKET", "title": "Markets hit 6-month high in Oct on IT rally, Jio Platforms IPO frenzy", "link": "https://news.google.com/rss/articles/CBMi0AFBVV95cUxOdXZHZEdOTVJWWHBOLXZXb2NuTDlvY1RUMk5Ld2ozdTZ5UnRubVkyTk11YlQ2WkVZMmhncnBsQ0prdHlQbHUtQjlDMlNlVGdwSmVyMFdjWWNqc3lLalpvek9Bd2d5MnFHZTJRM0p5TlMwdmRicFVmMzcwb2NYZkpFRXM5czY3S2hMSnhyb2lMX2hQeFZ3ODNZckk3Nkk0MlM4d2s1U1hBVGxhOVdHYS1oamhGMFVCYWtuUm95WjM1M2N4MG92M3lhcXBJYjVlM0920gHWAUFVX3lxTE03MVNYWWtyQjllRDNNR2VtWHZrNVl3aHYyTnBWeS1tc1Y4Z2pzRWU2c0EyNUprd3ZVM0tEalJnUi15SUVsYm5kNzNOZzloRlZ5Mld6NWwzNVhObUR5WC1GUnFZTmdoWjlTY2M3M3J0YXhDR1hfbXFMM3UtRVZVcWtad1RxaWlEY0FWVFRLTVdXZlduWkNzN3lVMTU3akYyZUlUUmduVEZHU2NROGg1TFBLYlkycVY1M01iSG1qR3ZOaWZMR2ZDdlBFdWNETWVfU19jNTY2TWc?oc=5", "source": "Business Standard", "published": "2026-10-30 17:26", "score": 0.226, "label": "Positive"}, {"symbol": "SYRMA", "title": "Syrma SGS reports best-ever quarter; Q2 revenue up 73% to Rs 1,999.5 crore", "link": "https://news.google.com/rss/articles/CBMi4wFBVV95cUxOX1lzeEswS005dk5yZEl6Z0pvX1VQbnp2RzBnR3JvdFVwanI5V2lFdHlTcE02Tm14Mzg5MFN0blpUcm54YnNjY3dsSVJSSEpLaXQ3ZHlocnpLYVpIVVo2NkNxRVVEZTFmT29UOHFIbmNxS1VlUnN0SW1oMXl3NzZyUGpBU29HVWd3c2dNVGFhNWtxNjMyeHlsTEc3NmxmY3Q5LUF3TE9GRkpoZFByd2ZEeG1fb2liWkJaRUMwUTFiZWptOWFXZXJIeUxKQzg1ckpoY0NIUzhtVXNqMHZvS1VJRWtnUdIB6AFBVV95cUxQNWpYOU5EY3MweXZaRE53azhMcEpJRG8wNzlVcm1DY0xiZjhNa2JQaGF5bFlad19ZNGpQcGZiR3RQSk1hNnZkdEllZWdKRVdJZnZhb3dwZzgtY1dfVklxc0k3NzVPQ1h1VElTQkxSbGNMZThoNDJaNG5DQV9kbGY2U0ctaTVBZXc1cTM2dkVzaWc1NzVLYXo5WWJVcWhVdUpXS2pzRS1LT3VDT3B5Ym5SNjNlbk5CcHJaaWdiOUNZWGxNOHExX0lLLWo4S2c0eF9DOGotTkZPdzR4R1lYN0otRURMdXBRRi1N?oc=5", "source": "The Economic Times", "published": "2026-10-30 16:35", "score": 0.0, "label": "Neutral"}, {"symbol": "MARKET", "title": "Sensex Gains 308 Points, Nifty Reclaims 23,000 as IT and Pharma Stocks Lead Recovery", "link": "https://news.google.com/rss/articles/CBMirwFBVV95cUxPNlo0QnpXclVoY0VJMFg4c2FMUlRzOGpTcElSVzNscEh2Q18zdXpwZXIyVjh3bzAzZVNoNk1pSlNweFJ3TW1BMDVidmJLZzV0cU9KQnZYcjhjZ2VHQmtjUGlnRllmT3QydWdneklFSVQzdWlVdG5leVZCdEZ4NHdMOTZUX0ZCQ3daaXhSQWV4RGphRnJKMkJ2X0VSNlB2XzJIaTk5TE1PejdrOTZzX2N3?oc=5", "source": "The Indian Awaaz", "published": "2026-10-30 16:07", "score": 0.649, "label": "Positive"}, {"symbol": "MARKET", "title": "Indian Shares Snap Two-Month Losing Streak, Nifty And Sensex Gain In October", "link": "https://news.google.com/rss/articles/CBMizAFBVV95cUxOWWxJcWJZM0t1RFdIV0ZTRkVWZzVHZkluTlB1aFZmVC1KeUhaSS15eDN6QnFHb2hBYy1HdHRQV3Rjb0xOOUpPMlBZRUpEcGtUaFA4YjNISVpLN0NHZVVqNElaXzFvTV9KUTJWVHJiaFlkbXpLTEpiNDdLd2VkNEU5bWQxdnVZUThmVkNseGVEa1VpQnhhUEN4X1hYY2ZGcGNWb25LdzFOVzhNU0xvVWNITjNnRHJYekQxNm10ODVTTFVtRVhGSEFxdEluLWQ?oc=5", "source": "TradingView", "published": "2026-10-30 16:01", "score": 0.361, "label": "Positive"}, {"symbol": "MARKET", "title": "Sensex Gains 308 Points, Nifty Closes Above 23,000 as IT and Pharma Stocks Lead Rally", "link": "https://news.google.com/rss/articles/CBMisgFBVV95cUxPWndrT0xmdkJxeDluWUM1cjJYX2Z2VUZyQXlqMVZzZkMyUzFXQTJsQ2JlMzU2MUJzejJfLU0yZzNlRUFELTN2dWozZGRJcXVlUzlyZ3RwSlctcUJGSkpmcGRxUDhWRGxuRUt1V1cyY1A5SG1GWnBHb0s0VDE5Vk1FcGtDczFsSDNqR29vTENzTjRkemV6M1AtcnY3aXdGdW9qUGZBb2NSd2dZTTh2UW1VcFdn?oc=5", "source": "INDIA New England News", "published": "2026-10-30 15:13", "score": 0.807, "label": "Positive"}, {"symbol": "SYRMA", "title": "Syrma SGS Q2 results: Profit nearly doubles to \u20b9117 crore, revenue jumps 74%", "link": "https://news.google.com/rss/articles/CBMirAFBVV95cUxQWWVNajdfcWthd1FGS3dENzdIeWltVzdfWTRueHBPYlFWSEs4MHNnOW9HQnVWODIxTENyb21PblA5Y3d2Ym4zeVkza29VZ0VQSENCb3dhUVQyN1N4WFlGWnNTaUt1czBRWl9NTy01UmU0bExnQXZKMUhpeW8yUU9GT0tPbDFpeHh6em5GZzNZNzZTYUFuSkR6RlFwS0Fwcy1SQjZLSHdDdTRFaTZm0gGsAUFVX3lxTFBZZU1qN19xa2F3UUZLd0Q3N0h5aW1XN19ZNG54cE9iUVZISzgwc2c5b0dCdVY4MjFMQ3JvbU9uUDljd3ZibjN5WTNrb1VnRVBIQ0Jvd2FRVDI3U3hYWUZac1NpS3VzMFFaX01PLTVSZTRsTGdBdkoxSGl5bzJRT0ZPS09sMWl4eHp6bkZnM1k3NlNhQW5KRHpGUXBLQXBzLVJCNktId0N1NEVpNmY?oc=5", "source": "CNBC TV18", "published": "2026-10-30 13:51", "score": 0.66, "label": "Positive"}, {"symbol": "AETHER", "title": "Aether Industries (NSE:AETHER): What Do Aether Industries\u2019 September-Quarter Results Show?", "link": "https://news.google.com/rss/articles/CBMixgFBVV95cUxNb3lGcXBYMGhGTkhHcVNBUFRETjZsYWl5eDRicWZEU0hTLVo1bHB1UDFFNHRPa3NsaGM1MzlmU0ptWnUtNzJwTWVCTDB2RXU3cWVvblI1UjZhVkZEb3pxVXJnUVlvamRDaTRUcVh5S05ubGhydDhkU1hNR2hOLVZldzhfbktjM0VJU3V4TTBKaS1ycUtvX2pQem4ycUNuN1NmUHU5cTlwLTctT3RQR0ZmZlVaSTNKcW9veHUyQVh2Nmx1dlFPRWc?oc=5", "source": "Kalkine India", "published": "2026-10-30 12:34", "score": 0.0, "label": "Neutral"}, {"symbol": "MARKET", "title": "Stock markets rise for 2nd session; Sensex gains 300 points on buying in IT stocks", "link": "https://news.google.com/rss/articles/CBMiwwFBVV95cUxNNHNJTGVrRmdOU1FVSGlwTFhRazBPeXZpUW1pc0MxOWxtc0FHT1pLZ2NiUF9XdTRnOV9vQlE1bGttMll3cndvLUVVTU5keHBhd09TNDJRSTRFNnBOUXVmaHFMYlhKZDUxYVpyanlsRDJWM2Jnc1EybzhJUU4xOV9LbWRPRHF4M2N0clRqeTY3dVQzMXdtcFQydkVyYjR5RkJYUEN6Z3lGLVNKSURzSmkxXzNrSjRXLThsSTNWQjE2aVY1R0HSAccBQVVfeXFMUEhJTURkQzA5dm1saFZIZjBlOTFFRUQ3dXZuaFd5MndSSUhNUGc2R2VBXzJHRWVObnBJdDVlY3FKVmRnbGlla25hSFhjb09fYktLRWY1Vm83TExtQkJlLVNvTkRzM0xfR1NxdTZUMUpMNHdCakZoX29GZ2hiUk1VNE9vMEdtTzZNXzU5ZWltdDZnSFFVY0R1aHRFeDRxR3Q1bEJhcEFTX2VSOFE1TzZiOVNpRjZyODdQMUN3aV9NSkxocDlWbU1zQQ?oc=5", "source": "The Tribune", "published": "2026-10-30 12:12", "score": 0.382, "label": "Positive"}, {"symbol": "MARKET", "title": "Rupee gains 33 paise as dollar weakens, Sensex and Nifty end higher", "link": "https://news.google.com/rss/articles/CBMi5wFBVV95cUxPbU9TVlhwU0RfZ2RaSWlHVzZ6aGIwa2RlSjR3OWpJOV9hNUdpQzh2R05ueGxaVVBMR1RtTlVqMU1Cd0Vwd0FJOVpDRGVZOWRlQzRtWEM5NUVOX2J6MjdlNTNfSUtzSnlQek1VQjRQZm1ocVVZVzdpTmJTb2tKajBzeWlSbjF1dzBwN0xMT2swckJfUlAwM3NqM21uN2ZSTU01bUl4S0M1YjZ6RFNTY0xPZDB5ZmxhRzVVTURZV1dmLWg1S1d4ZGRCQVF6RWV3MUh1a0lFd1VaMjdBMlk1aFdva1NnWHFLNE3SAewBQVVfeXFMUFpQa1Boc2xFMXp6VExQenhIdVBMb2poRHpCTk0xbWRuSmJxQWJIb0VGcFd4cHJuUDRUY0pTZTk0ZnBSOG1uNEhHRWM1a0lQek5RQ0RYVzR1WURocFg0eHJRQTdXOGpEWjJaSWczYnNVTlljUDZTYzVPakppc1g5azNhVmtRaGRrT29hcHFmczBVVE1BSzZiaVpocUppYmgyenJ5UnEyclBMN045ajFDQ1lkZ0dyNlRlLUo1UklSVHJIdEF6Qzg5Z21uS05DdVRIUmtFSFB1ajJkMHVaeWxMdUVCakdQTEFSU0toeUg?oc=5", "source": "The Times of India", "published": "2026-10-30 12:05", "score": 0.459, "label": "Positive"}, {"symbol": "MARKET", "title": "Sensex, Nifty End Higher as IT and Pharma Stocks Lead Gains; Broader Markets Remain Weak", "link": "https://news.google.com/rss/articles/CBMiyAFBVV95cUxQOXFXLU9kY2FWQXc3dUJDdmZmZk9MYm9LNzFrclM5QWZNdklOSW42ZmwxMl9CVkdWYmJSZ3liYktscXZWeE8tc2NGNVVVSjNKdTVZRXkzSWlRWXpkcGhSQnlsRTYtZnI1Q2tvZkk5a1dxV0J2WmdwLVIybDg3MndlOFlwcmpXQzF1YjlCTHdWRnRBTktCbzVNMUFVODk4VFRRWmZYUGNOWE1QZmRGakZYUVFMaUJ4Zmxjc2pMM3JONDJKeDIyVHNUVg?oc=5", "source": "Business News This Week", "published": "2026-10-30 11:43", "score": 0.402, "label": "Positive"}, {"symbol": "MARKET", "title": "Share Market Today: Nifty 50, Bank Nifty | Oct 30, 2026", "link": "https://news.google.com/rss/articles/CBMivgFBVV95cUxPY25ELUgtdk81RlJKeUYxeUE5TGpwQnVBcFJzVHZydWE4UmN2cmhTMDVONnhUeEg5ejBNd21IcU5nTWxtRmstMjl6Yks2TE1ZcHhMQVo0NVMwUGZrbkd0UFltSkE0bWdxMzlnV3NCZkhrelhfbTlVT0NadjJOZjYxejFobXhuT0dnNHlFYTduRXZNSlRJRFRrRVR3N0pBRFRaMlIxYVRZUmdIZDJHUmhFbjBScGdwMG5GNEdaS093?oc=5", "source": "Liquide Blog", "published": "2026-10-30 11:26", "score": 0.66, "label": "Positive"}, {"symbol": "MARKET", "title": "Stock market today: Sensex, Nifty extend gains for second day as IT, pharma stocks lead rally", "link": "https://news.google.com/rss/articles/CBMitwFBVV95cUxNR3JxNnMzYkh6T2dLQjV3cEN0VzV3NGxfS3F6a0FWOTlFd0RYOS1Da200aWNibW1hbnFWTG0yOVBjMEZfSWU0bDZlUldYZEl5YW5pZFdoVi03U1Z0VUdQajh1eHhQcTlMV0FzVzBzNjg5Z3BvOUhKcG1nZ2FkeXVKbEZWVk5oa2U2bmhSUjZsOHVacGJxejlYdmtEOGhNbi1fT2pKeWZtaEttVkltR0lfYVZjeDc1N0E?oc=5", "source": "IBTimes India", "published": "2026-10-30 11:25", "score": 0.84, "label": "Positive"}, {"symbol": "MARKET", "title": "Green Energy Stocks Decline Despite Sensex Gaining 0.4% On October 30", "link": "https://news.google.com/rss/articles/CBMiqAFBVV95cUxQRmduc0NPQlNZdUdVRXMzR1R0WV91RjJCTzZvSTRWMHRxcW1MdXc2UF9nZnlSbnhkOTg4NXljdkNrYXE3UDV2WldYQ3lkS1pzV1duNVBkMm80SE5BRVh1MkdabzhfQ1lDZlROc3EzRHdEeV9GdG1UWkFEUGdTOXFsTklGLXFOTmlwSExzMnZSM3NxUVdydzg5Q2w3U29DUHNjRHNCRVRBNTc?oc=5", "source": "SolarQuarter", "published": "2026-10-30 11:24", "score": -0.428, "label": "Negative"}, {"symbol": "MARKET", "title": "Markets rally for 2nd day amid buying in IT firms, earnings-driven demand in Trent", "link": "https://news.google.com/rss/articles/CBMirgFBVV95cUxQMXVXZngtY2JfMzFTOVlMdVdLMmIyckJEZ28xbGI3djF0cXE3YVItSDk3WFRFRWx1QnJCRjR2NGdWLTAwNlJYZ0kyaFZ1VGd6STA2bVFRRVRWRjRla0VTZk1uR21XdlVLYUltMW1tSEV3TUdiR0dheXh4clR1a0Rhd25UbFlrNV9DVVdIc1QyRVJIVlR0OXdOaW0wUHNVOEFyOG1Vd1BNVUdVZ1NBM0HSAa4BQVVfeXFMUDF1V2Z4LWNiXzMxUzlZTHVXSzJiMnJCRGdvMWxiN3YxdHFxN2FSLUg5N1hURUVsdUJyQkY0djRnVi0wMDZSWGdJMmhWdVRnekkwNm1RUUVUVkY0ZWtFU2ZNbkdtV3ZVS2FJbTFtbUhFd01HYkdHYXl4eHJUdWtEYXduVGxZazVfQ1VXSHNUMkVSSFZUdDl3TmltMFBzVThBcjhtVXdQTVVHVWdTQTNB?oc=5", "source": "OrissaPOST", "published": "2026-10-30 11:17", "score": 0.361, "label": "Positive"}, {"symbol": "SYRMA", "title": "Diwali 2026 Top Stocks To Buy: Apollo Hospitals, GE Vernova, TARIL, TD Power, Jindal Steel, others; top 10 picks, target", "link": "https://news.google.com/rss/articles/CBMikwJBVV95cUxOejZuNVZHYUg3QlloRzQzYXBzbjR3OFdESEFXaU1ZaGg4ZU1YMkExbUpVNHZ0S1JCUEZQNmRKVXVraTVxNjAxcnc2MWhPamFkclpDVGNEZDlILWhBdmtzQy16RHVJaW1wQjdtbmN1TUVUZDBudlMtNnNfcXdWMEV1ZWphaElvTUdTeTBsNDFYbEs3UEFHMVMySzZCVEIzeUYwR3Y3bWdPQmVfcHBlOG84Zkg0aGxLMmtLVDhzQms1MUNnWDRXYmFjbnZWQzU0SC1Oci1JXzBjbnQ0UTBJU1l1MWJ4MTd4TV9NM0FVSC1LRV80c1Q4QllyS01NOWFHVUZpMXdkdEpSNmt0aEg4WVl4V2Fwc9IBmAJBVV95cUxPQjJxY1ZBR21RVFNpWE1vR0pkOVA5Z0RUUmFZRDZ4dS16TWpjdzFzcjM0QmQ3bVkxWV9fWmdIdXIzdzA3MFZHUXNIZm9sdjUtd3cyUl82V1RKRTlZVHBMQjVNeFdXWmp6U293TS1WYnpiVzJhZlV0UVZGbTJ6WldTVC03bmhmYlhobTJJNlRUd2VucW1vRlpPRElMelZneGJGdzZLWmRVMWxSd3MwbXpKVXBEQkdMVEdsNWR5c0NXT3dGRVlUSEFGZ3licnVTbllGbnZ6VFBCNGxmZk01cWJjcVpqQW1TZGlmNkE4RUlwdDVyRDhoZUJmaTNLNVpBQ3JRTklFX2dkM2lIcnUxNXlxZnBCemtMMThQ?oc=5", "source": "Livemint", "published": "2026-10-30 11:14", "score": 0.66, "label": "Positive"}, {"symbol": "MARKET", "title": "Indian Equities Rally on IT Sector Strength, Trent Earnings", "link": "https://news.google.com/rss/articles/CBMivgFBVV95cUxNUjdNY3FGSXVhZWNuMFI2cTU0Tk1HbjdRNHZ0NEJoOFBQTWNCNFU5S3ZfZzlKYlJYOHpid0twc3ZkUzRyMmE4VnJjUGJybldSTWlYRUl0QkNJRVVGSFdNNWRYWWtjYVVyNG94cVc0bGJhVGo0bmhqbFd3MklsSEh1b3h3YzhQY05QLWhzUTlzaUpsSUZyRFZiUG1KNVBIVEI0SUhneTZDRTJ2Nm5pUGJGR2J1cC1VRWhmVlEtQUx30gHAAUFVX3lxTFB3aVc1Wlo2ZUlnQkk5akNVSHU4ZmNjTlFEdEtOekpRYzFTZnFKZVlNRHAxSm5WUGlWMmhySGs4bzRnbGRpempPWU9WdG1FbXpKUlpzajNIVV9xYlZSYURwcFEtYS1yVWMzRkxOdmZnRTJjNU43ZnJNZFZpR0hMenJTU3hPZDVCa19FbGxaWUU5Z01kbklXaGZDSHVyYjVKQzRyamxydExyM1RkN0kwR2NRVnFIdFJOSkZ3ek1pZElYcA?oc=5", "source": "Rediff", "published": "2026-10-30 11:07", "score": 0.735, "label": "Positive"}, {"symbol": "MARKET", "title": "Sensex Rises Over 300 Points, Nifty Closes Above 23,050; IT, Pharma Stocks Lead Market Gains", "link": "https://news.google.com/rss/articles/CBMi8wFBVV95cUxNMFMwbG5wbEljemRIR3lwN192YnVpZm5OZkdZSV9ORzV1S014VXNwZ05lV2hEY0tlUXhfUW9mbmVxeWpsNU9ia2UyMlJRaGJkM2NrQ0pxYzVSbjQwLThkME5jRG5rb1FHTXQ5ZVNKUTB3Tnk4eTdYVXFiS2J3NENxM0lDTEhTZXNPSnlHVzBrLWhXUnh1MVROWkpXMFpSLUpBNkx4djUtck1RYk5PSER3cGR3UTd0d0lhWmNxRk40c1l0TGs1ckVsSGZTRHdjRVFCa0FIM1hlaVVuV1FzV1lhRHJHYVB4N3BQRmZ3T1JTbndoRjjSAfgBQVVfeXFMT0R4SzdXUXU1WldnR2dzSVpmTGdKdG9aNkhhemNHRTA1MVVfMmM0SVJoU3V0VWFIamw5ZDFibG5UR01RNlFjMHVvVXdjNUxwOGlGOUNXXy1tUmhSUjl5aFc1VmN5Mm8wRUlhNnBVTzhHbjZWUFA1QkJKX2xPV0pwV0NYRmVuNVM2Um1tSW9sSl8tVHZBZTI3WXNvNFlzT2M3dzRUTjE4d2F3RmhLUlZlZV9PenZFYW9kOW9xbjFJa0N5UkgzQ1pLRUk0bkR6dXA2UEFVS21mcFRWeWpVVGtwT01xYjVRd1duOGhHbW0ycm0yVXB4R0hHVWk?oc=5", "source": "Times Now", "published": "2026-10-30 11:00", "score": 0.649, "label": "Positive"}, {"symbol": "MARKET", "title": "Sensex and Nifty Gain Amid Mixed Sector Performance; Large Caps Lead Market Rally", "link": "https://news.google.com/rss/articles/CBMi1gFBVV95cUxNN0pVM1RiS0dxNkFVVTdVaUQxbTFOaHp2Z2x0N014TTRPcFpjZWs4YzhLb0RENWZ0RkcySVFza3JZU2hlWDRSNzhlajBLUlQzZVJQUWxpUy03RzkxSGFCZHZqMU0zaG1vOWVTYTdfNlNDaGpQR0VHemlDd2EzbFNQclNneTZUTjhpcC1JQXJJN0tNYzl0WjNHUC1SeHN3Vk4yOHJXSWVRaFdYVDZRWGRrU3hkX05LQUlha0p0RnlrblpfRjZ4Z0ZlMjR4VHB3ZmY4U1QwUnJR?oc=5", "source": "MarketsMojo", "published": "2026-10-30 10:59", "score": 0.796, "label": "Positive"}, {"symbol": "MARKET", "title": "Market wrap: Shriram Finance, Nestle India, Trent, InterGlobe top gainers and losers on Nifty and Sensex", "link": "https://news.google.com/rss/articles/CBMikgJBVV95cUxPOWtiUzAzVWw5Mk40VlV4WkZoSUJoOW5NNmZndTFSOEVMdHFkaGk3WHNRTFFlSzl1OHJ0VmVyalI5YkxsTGRWRVNoc0JPSXZ6RnpSMGxWcFhFNHFPdG9RWUJYYk1ULWlTV282cE5ES0YxWmVqNmUyaXE0d3RjQVA4UVFySzNreEZ3WWNmS0Nldi1RUDFSNDBMNWhYWE8zbW9uUEFaYTZlZTVUTHpwSVBWeTRpQjRBUmRmdjVSMXFCbE9kVy1tU3FtazFJaE0wUVJYVlNVYVJHSDEzTGpqU2FxZFdOQjY5ZFlxOHNEUnFKNnd5SC03ZDE2ZmR3YjdkS2U2cEFMSEw0dVkteHo2N29PMHZB0gGXAkFVX3lxTE96bkJGNFNzdEVsbWxGQzJDYjkwbkRtNjVjZnR5MV9TQlB5cHR4a2o2eVBhVW83T09YTUZ3dkdYTnVRVmlPaG9aNXVCbE9tZ0hFalhVamZoN2VGc3VNU01FZGVxSWtELWZhaXEwYTRjdUlhQzR5OGw5WW9ZWjhzNXVRYzViYV9oZ3NuUVlGbFNfQ3lHQkE1ci10OTBjRkNqR1hhZXk0WVAxZUVYSGhwUFpIcDhiQmZxYWZuODM2eEhFUXQ3ZEFsME8wdVZ0OVB3NVJoWU1iV25tVWdJT1FINklXT2JhTXM2NDFsT1JFVXphUUZLOTZ2OHVLejdOTzRsdkc0TkxVeGctbkwtVVlxUDRhb1pJVDJWMA?oc=5", "source": "The Economic Times", "published": "2026-10-30 10:56", "score": 0.026, "label": "Neutral"}, {"symbol": "MARKET", "title": "Sensex, Nifty Rise; IT &amp; Pharma Lift Markets as Midcaps Slide", "link": "https://news.google.com/rss/articles/CBMisgFBVV95cUxOajFHdFZlZGo5cUk0dWJ3V1E4c2dCUFlBVFVMZV8wYklSQzVtUEJKRDZVSFhIdHRIUDUyZGlHc1ZWVC12bGwzMTFtSEpqdWdpYmowZmRqQ2ttVWVuaDRVOTh4b05lUVBQR2JYeUNjWDRjcjRMWExJSEFhV2lKRFRoUUVmaWFtSDBYdjBldjI2NWdYUlBHZXpUX1FRVXpwaXZucGpuQWlRLWxrdkJoWmRRblNR?oc=5", "source": "HDFC Sky", "published": "2026-10-30 10:53", "score": 0.402, "label": "Positive"}, {"symbol": "MARKET", "title": "Closing Bell: Sensex Gains 300 Points, Nifty Reclaims 23,000 Mark as IT Stocks a Lead Rally", "link": "https://news.google.com/rss/articles/CBMi0wFBVV95cUxNWmRkUkxrWFBGcW9fcUVPUnhZSWpZNUhEUXI2ZXljYkVWSTM3ZWJmdl9EeTZwOEktUlF1a0tod0VsR1pLOUlrODNydzdCTXhxU3ZsNzBXTUkydlkteG9uQVp5dmxNM2lfcG04ZUREZV9GQTg3NWxKd0F5cUFxX0Vzd2hZV2RqSnA2VndFWnV2NUEzSGxwdVZVVS00YjVGQmlVVzRnZDgtRTVUTXBNRG9zano2dTFvWkpSRVY3OFRkVVplbjRmTXQtZ01SeXZhWHh6ZW5B?oc=5", "source": "Dalal Street Investment Journal", "published": "2026-10-30 10:36", "score": 0.807, "label": "Positive"}, {"symbol": "MARKET", "title": "Sensex rises 308 points, Nifty above 23,000 even as broader markets crash. Will D-Street bulls extend reco", "link": "https://news.google.com/rss/articles/CBMipwJBVV95cUxPTXhsRWN1cm45ckpDbWUxY21qclNKLTVCeDlaUlJweGFFUS1qSG40b09sNVlzTFBKQVNPZzU4R3VSSGZuNF96dHFPVVFDQmFOTy1YZU43YjJaRWpCczlrZkViZ0tTSS1lN1VzSUdrbHFoS01uMW9vRjl3MWRzSnZiSkd2T3REMjBBUTYwY29vOS1xSDNndVhFT0RNdjVtN1lFUkljSlE0cjR3ZjJqRDZodXBuMlpmSGJhYklpRnAxYktzS0hhYWJoRUJUWWUyeWlScXlTVk05VkMtazRESVQ1STE0TU1Cd0Q5Z2NHcXdZWm5XeFpaMHFJUm9CalNmMGdYZEpTS2ttUnFvaDFjVEc1YzhEb3NLSWlMRHYxUXVwaUFWQTZXZ0lR0gGgAkFVX3lxTE55RHpQVXVLRUxDYkNVYmFlZ2FlbU9vdnZVNTBvUXhZSFJBaHpKOXJ6dnE1aVpGSXlZeGdGaUtmMGN5TVdHX21JYkhuVXgyWmE5eW9UcEhMdmg0cGlJaGFRdEttaktQTlphMEs3Vml4cW1MMXY1eTU5S1dtbDRfRXREd2hmM3FRMGdBMVFjUmpqSlJZMUtOVjUzbTdaVTVUT3I1NDE5cWljc0NGaHFnZ1RVM0RWQUxBU0swOE1Ydk1HVDlvRU9GM0htOVdxeWZRRXRNWjVRbF96MVVZQzBsX2JfNlNLTDlaYk5HWm9fS2xQeExiWFNBMmh5UHlBdGUwYlozX0ZCU2ZxUzBjcmNQUG5PSzdkQW91cEppOWNsM1ZIWQ?oc=5", "source": "The Economic Times", "published": "2026-10-30 10:35", "score": -0.103, "label": "Neutral"}, {"symbol": "MARKET", "title": "Sensex, Nifty extend gains for 2nd day: IT stocks lead rally, broader market underperforms", "link": "https://news.google.com/rss/articles/CBMiwAFBVV95cUxNUzFDYmRlTTRKR1BhNDQxb3lJc1ZER3FjUXB6ZFVQV1o5MHZVVk12ZS01ME1iVHZ1NkNWOGNHS2N2YTBWZzFRS0luNkRwUllwcDNYNktWWXNwaTFQdWk0aDlsQmUyQzNhMXowZnFkbzg1UGI2NHlkc2tldzhPYy0zc2tIVmw3VUhXMVRtbUxnd2pTdEdsME12eDM5VlBGWEZXNzFHY08zTl81am9jQkJTZFVzSVdMX0IzaTVZcUNGb1Q?oc=5", "source": "IndiaIPO", "published": "2026-10-30 10:31", "score": 0.84, "label": "Positive"}, {"symbol": "MARKET", "title": "Sensex, Nifty extend recovery; what's driving this upmove? -", "link": "https://news.google.com/rss/articles/CBMilAFBVV95cUxORUxpb0U0WlRwTF81LXhEQklDb1lULTAyRHhKbzE2MDkyblBpNzg3QVJ3YlVTTG5zZ1RMSjlpaG1TUk1JUXhhZUVKTTE5bHJqMm1KRmpLUm91SGtibV81VURxNXZnd3c5YmRNcnpVWDFqNGJvaXBYXzdKd0NWSVlzMTMzVnV2Q1lIQWFPRTM0OEgxTDFl?oc=5", "source": "IndiaIPO", "published": "2026-10-30 10:31", "score": 0.527, "label": "Positive"}, {"symbol": "MARKET", "title": "Markets reverse last week's losses; Nifty crosses 23,000, pharma jumps 7% weekly", "link": "https://news.google.com/rss/articles/CBMiuAFBVV95cUxNdW5ud3NiVkJObS1vS3V4YWtacEFfYjNtX05KeWhyb2VacUlHZFc0UmF1Z0pBalhfRVNwampJb0VodkJ1czJJaV9INE8xUWVVRlkydGdDYS1zUU1lRWFmRjFUUktwa0U0a2d3VVU4VmJTaDBFRnVhUFZBSG9vVnpYV2NaSGRJZUFva1B6U296UzREYmlqcDF3RjhTU0lzLWh0cXFSazdFX3hHY040aXNjd2E5cTJZSWVk0gG4AUFVX3lxTE11bm53c2JWQk5tLW9LdXhha1pwQV9iM21fTkp5aHJvZVpxSUdkVzRSYXVnSkFqWF9FU3BqaklvRWh2QnVzMklpX0g0TzFRZVVGWTJ0Z0NhLXNRTWVFYWZGMVRSS3BrRTRrZ3dVVThWYlNoMEVGdWFQVkFIb29WelhXY1pIZEllQW9rUHpTb3pTNERiaWpwMXdGOFNTSXMtaHRxcVJrN0VfeEdjTjRpc2N3YTlxMllJZWQ?oc=5", "source": "NewsDrum", "published": "2026-10-30 10:30", "score": 0.44, "label": "Positive"}, {"symbol": "MARKET", "title": "Sensex Today Ends 308 Points Higher | Nifty Above 22,300 | Vedanta Oil and Gas Up 8%", "link": "https://news.google.com/rss/articles/CBMi2AFBVV95cUxOaVVsSnlXUHFmTWxXVlZSNnRHcy1zRW1wbUdOZmZRWG1DQmlBbVVSWmJIdF83V0VObkV0NVh0T3kwQ0Z3U2VuV01NSUxTU1drMldDTnpjVXF5a0d1ZldaU2liWHNaRlMzazdiOHpiaDdFeVBrbGJORWN5MmtUTk44UVVGZVFmaDJZNXdmekEwS05XQzNDbGxPeDZsWFd1amQ1YUxQd2w3VGVZUGtaTHdGUGdoemFLVUlqcU1aZkhJMUFKQmlqU1pmcXdfMEc4ZHM5U25iX3NjOVY?oc=5", "source": "Equitymaster", "published": "2026-10-30 10:28", "score": 0.402, "label": "Positive"}, {"symbol": "MARKET", "title": "Sensex, Nifty close with gain of 0.5% as IT, pharma stocks rally; weak broader market limits gains", "link": "https://news.google.com/rss/articles/CBMivwFBVV95cUxPZW9rV0NJRXU2T002TkpGY3BBMWpjYWJMLXNYOUZ4bUQwZkw4UU1ZMmJLblFRZWhpdmZUc0VPYVp5WHVDMTRFZnRsNkZzQjFlMUdlMGgyQy05bVpVa0lhaU9PSTlXU2ZTYWdIUVF3ZEV2MFB1SGVtbk9LUWhPWWRQbVlCbHNTbVRZZW40QW45R1hVVkcwc3VWemxkRUdieTA1YmhHZVMybTBWNW5OTnJzcTgzOHVkbVlGbzBxSlpxUQ?oc=5", "source": "ChiniMandi", "published": "2026-10-30 10:26", "score": 0.796, "label": "Positive"}, {"symbol": "MARKET", "title": "Taking Stock: Nifty reclaims 23,000, Sensex gains 308 points led by IT, pharma stocks", "link": "https://news.google.com/rss/articles/CBMi4AFBVV95cUxOOVBXVDRvbFRPVGZUMlYxdWZuVVJKMUxjOWw1blFmUW5JQWFvYzFmd1pGVldOaWhSd2NySVF0NUs3V25BNlFKMnhrM0dRVmtRMU1IYmhtbVlPamRBejdHYXZ5XzFnd1JJdkk0Z0dGV2NYZ1JmNkhBVTNvV2xnc3BSb2FFaFdNUXdCWkJQU2V4V2JDMG8weXVyYmJBUHZZdndmVE5lNXNGdmtxeTlGVXl3ek1BN1k1bzJ0WGV2VmFYQ2h6SjVLUEQyT2JUeV9PZWRaUGFBTFNmSnUwSEZCOWFIV9IB5gFBVV95cUxPSU5LVTJRUC1YUEVNeHNUemEyUmRkd0JaT1hqbFlvZVBCWk8yMWtZY19sR3dnekgxT2FCT3pKaUZfWkMwZjdKYWtCUUlSZm1GaUcxbzdUSmN2M0RudFF1dHJHVFQ4UlVldnc3UE5JWFJ6T19OU0E0X2JvZXF5NTM3RGFmYWlTam1xTnE1bTYtMlFtcmdTYVBlOWtFbGxvQ2xNUThNTzZMei1obURvZ0s4VGFnazd5WUVHRXZFR0pERExITkhhc0VFM0VVbG9sWEtPb0xrd1F4TlUtYkc5bTY2M2M5ZVZ4Zw?oc=5", "source": "Moneycontrol.com", "published": "2026-10-30 10:21", "score": 0.649, "label": "Positive"}, {"symbol": "MARKET", "title": "Closing Bell: Sensex rises 308 points, Nifty tops 23,000; IT, pharma stocks lead recovery", "link": "https://news.google.com/rss/articles/CBMi9wFBVV95cUxQc3JkY25Iamc5akJlYWgxSHNJMGJqQm9iSWtwWThPZWhnczU4YnJJOC1sdGZMOERMeWluV0FkVmV0QlNxQy1mVG5xMkRWSUVEdE0xYk81QjcxdXdra1kyTk1lZlc5MFV2RnQ5d0hOUGdXQWNBSUIxUWRTc1pMcmNfakNUOG5HcTVaNlBFblI3R1FUX21PbDNJY3I2Q2o3Rnc1OTZDVzI1TG10VUpUS0pLdWJMS2dLY1ZSSzVTdU80MTZlUFFPSEdKN3V1VklZZm93RmtzcF9nNTBsM0FFdVhfY01UamRYRkpWVlYxcDJmVkxMUEpJdmkw?oc=5", "source": "Zee Business", "published": "2026-10-30 10:05", "score": 0.718, "label": "Positive"}, {"symbol": "MARKET", "title": "Sensex ends 308 points higher, Nifty above 23,000; Trent up 5%", "link": "https://news.google.com/rss/articles/CBMi1wFBVV95cUxQMlVJODZONnhDZU1vT2d0Wl9ZMEFmZkN6RGFrVU95R2RqanBoZEpCSTRZckxNcjVOTDFoY1FyaGE0RF9hS3UwVlptODRfMHFoY0Rvd0l0R3JJTUUzTExBeVc0RVFNUElyaGkybHdwZHByWjF6Nld4VWVCRHFEQ3l1UkQtSHB0M1VrZXB4MTBEWENzUnowS1I2c1BOeGIycEJWSmRScUlFQnc2N1VwVmlGd3BSX19iNEp4SWxNMWJiV0hXZHZ3NDIyQlg2NnQ0N09XWWZTdHU1UdIB3AFBVV95cUxQSTJkN2R1WXNmVVFmNE5GX1M4RHhod3daU2k0emQ5N0lWdmZxcXI1VDFCWDBkcDg2eGZ0TWV4R2ZCOVdtTC1leTBaOGRnaFd6UHRhbWhUNVBpRzhib0F4RWNybFlUTlBMamtLUXN4VXlOcUZTT0FBZ21Wa1hUZ2FYZUgwSDVPVGFjQ2R5ZXh6OGtMWGlzMUI1SjJQR2NaelFXTm5nZU9jVnBSLUtjTzhqZVlMWHNTc3FjSm1pekpVRFd2TTdLci03cGozMjhoczAtQ3pENXNoZ056d3dM?oc=5", "source": "India Today", "published": "2026-10-30 10:03", "score": 0.402, "label": "Positive"}, {"symbol": "MARKET", "title": "Market Wrap: Sensex Gains 308 Points, Nifty 50 Ends Above 23,000; Trent, IndiGo, Infosys Lead", "link": "https://news.google.com/rss/articles/CBMiiAJBVV95cUxQZTFyMk9sdFl3QmJnUDd2OGhhdDNIZ3FwcDQwclFmNE1Ba3ZsakV0RzN0RHlKUkRYZnJST19SVDlqZmp5UGV0OGdOYzlLTkNNMTFqaEhNZGQ5cmctT2JzTEtZNzk4N1lfb2lyc2NuVU1ETHNWU0ZBZWpxX29hVWxxNUp4VE5pNndCVFVDeWtmZWNPQkh4U2xFeFp6NEd0am1jV2FBSWZIb215bUxTVnc2LTdhQ0lmM21KSHUtQjVSVlVpajhPdkZYdHQwTEgyc01tMFdxLXZBZkUwSUdGdXNkUjl4NGVMeHNWNzVROXhhSDUxT1BJSXo1enlzR3VVNXpyeWRaeTc4YmLSAZACQVVfeXFMTUltcFpOMzllTWlGSzAweENGY0Nob0tmTk96eV9wOVB1cGlDeTRuN1hRRFI4RS1KTVoyUW5xdWxpU24ySVIzWk9JV2F6bks2bVJ4TlZidVFqQk1LU3pOYlNEV2Qyc1JVSGlhVDhyb19xQlpQbWFmUmdXakhsUDZtSUEzSXlnQVA1SEhXV1BzZURDVnJablhfSk1FUzVCSmEwQmpZczltQVRON3otMzV4MnUzVGxsTlNJMGt3ZU5fWlhrcU53YzdHTE92UGx0QjdBTkdfOUVobGVib3VCcDR2MGZ4Ulk4R1haZkJZdEQxalExRDZqT01DMjlQbEE4RVJ4b0Z0UGh1c05kX1A3bnNOWFQ?oc=5", "source": "NDTV Profit", "published": "2026-10-30 09:52", "score": 0.649, "label": "Positive"}, {"symbol": "MARKET", "title": "Sensex Rises 298 Points, Nifty 50 Crosses 23,000 as IT Stocks Lead Gains", "link": "https://news.google.com/rss/articles/CBMiuwFBVV95cUxNTkdfNHBGVl9UeTFzNGUtdzRHMk5xb3Y4N0VvTGkxWUZ1WGJuNm9FLUtBRWxuZUE4QUVQT2VYOFpSTXpDOHJ6b1VrUXZia3E5TzdCdTlOUnhXVkNVMW5GVEJmQmZuWDlieDl2VndJTWYzRF9rZ3I5LVVfb0ZpbDBya2JrdHBIdFQzZUROemVYUU5LSjAwMFVaellUbWVnMkYyMUFTam9WY25YUWd3NFNRUHE5MkRGTW82TTJN?oc=5", "source": "Dalal Street Investment Journal", "published": "2026-10-30 08:59", "score": 0.649, "label": "Positive"}, {"symbol": "CPPLUS", "title": "Aditya Infotech CPPLUS ESOP Allotment 48,100 Shares Oct 2026", "link": "https://news.google.com/rss/articles/CBMiwAFBVV95cUxOUHlaMl84Z2E4T0RVUE5PMW5FZjVuQW1RcjFVTXd2ZUdMdmE3dXpNTURraTVmWHJYd2lQbG5fQVh2ZE1WVDlob2NDR2I2YWRQMVRLR0t2YVRaSVlYWXBsVXJoS2YwUENlLXducG1jaUtKbXNlUEVHQy1RT0JXdXhLZV81UklYZzFuMmFMUFFuRS1sMkRaZGgzRHNyMk9Yek5sdi1oNVZXbmdxTDhyZzlhODVKX1pmS1pYODc3MHBBT3Y?oc=5", "source": "Kalkine India", "published": "2026-10-30 08:44", "score": 0.0, "label": "Neutral"}, {"symbol": "AETHER", "title": "Aether Industries reports robust Q2 FY27 financial performance with \u20b93,472M in operating revenue", "link": "https://news.google.com/rss/articles/CBMizwFBVV95cUxQaXBiV3ZRODczRjJseWRyYjk2WlFLdHd1ek5tSHNjR0NGRGVIV09hM29yRHZLUjRxaTMxeU9fMmN0bFE4d3k5a0hMWk42TXVVR0NZMV90Zmcyc1p2NHJNRzRnT2NMN0szWFRTcm80TU96MTlGdXZ4UEs2U2VYaGZmUUdGdGdtNE5YVVRTdVNOSXpsYUpQTEdVMXU2NVNBbHR4RUNNQ09WaHIwSVdtRjM2Qm5RNjV0cGk0ZThLblZOLW1UbGwxYjg4RFN3QW1kOE0?oc=5", "source": "Business Upturn", "published": "2026-10-30 08:35", "score": 0.421, "label": "Positive"}, {"symbol": "MARKET", "title": "Sensex zooms 1,200 pts in 2 days, Nifty tops 23K: Why are bulls in charge?", "link": "https://news.google.com/rss/articles/CBMi1AFBVV95cUxOTDJ1dFlKVkRQMEhPdHhUbGlyTHk4ams1Y0EySG9zRlhkcWpORm1FUzdwWDdtVmZRT2s1YWJJYUpDU3h6UUt6Y29DaFJsMFpmZkwxMnk1dnNGQ3kzSlNfNlZoOTVURThySncwaUZ1cDJzeGU5NlN2NV9aeWROd3RuWTItcmtlNUE5WkZVbi1wUUtobnJzRGp4SE1PcUtPaTQxbnVDRUdTWFpQTGZjMzh6dTJ0TzJtRVNMbUJMVmlBTlFPTXQxX19QWktWUEhWM3ZkNm51VtIB2gFBVV95cUxQcjQ4VkQzSUZjUnlJeGk3b3ZFQk5QYVM1ejM2X3dZanFHNFhOWTFJME0teEVXZFRQZDgzMzktem9uMWc3ZXphVVJJUGwzUG1KVnpKVi1Xamd4cy1qM0hTYUR6OTVSa2ZUQ1E2S3dwWHV3MTByUGtFQS1seXl0SWNUXzhxeFZ3UEZIQVd2V0w5NlNNeHgzeUVHYTV4ak1iYW5IY0IycU4xYnJ5dGxxMm1QSFdQTGpQYWE3Y2dUekVadEVSeHZYc3c1UDdmMDVJd3hXbjlMRjItUlhBUQ?oc=5", "source": "Business Standard", "published": "2026-10-30 08:02", "score": 0.718, "label": "Positive"}, {"symbol": "MARKET", "title": "IndiGo, Trent, Vedanta Power among buzzing stocks as SENSEX gains over 500 pts; NIFTY trades above 23K", "link": "https://news.google.com/rss/articles/CBMi8gFBVV95cUxQVWhkWWtVc0VYNGNZNEZwLWxOVklBeHdGYnpsM3NiVnRtUlYtNGlwWHVzNWpZUkdnRjJmUVhiT2g2MFEwN2o4SXNwM1ZSOGV4cnEzb3lOUHJDbVdYcnJiMDBVbFB4cHo4Und1XzdMRF9uWEo4ZDRpSks0SE1GUTlFX251ZGNfWVZ2dEw0QklyVmZZR3g4X2dSNWRNOFcxXzJUbnY4WXFqeXVSRUdfVFBNUm9ZVVp5UGRCNG1PaHFsUW5BOVJsTHFPSHJvTlBxd0VIZW9NWkhfUkJGbEFKOXRER0ZBdkE1VDdoNWhyVlloQWlOZw?oc=5", "source": "Upstox", "published": "2026-10-30 07:52", "score": 0.721, "label": "Positive"}, {"symbol": "MARKET", "title": "Why Stock Market Is Rallying? Nifty Reclaims 23,100, Sensex Surges 500 Points; Three Reasons Why", "link": "https://news.google.com/rss/articles/CBMi1gFBVV95cUxNT3ppT2hyUUlUTExXYmkwSWM5TTRRSGd3d1ZzTk5rU1kxU2pRQkZQX2RybGhkWE80aUFRc2gwZ3MyczV4Mzh1emRfd0h5QjlOOWN3S21ZbFkwODVqOUs0b0tnbzNNd2Y2ZENQXzM0WFNxUTZLS3VMUFFidXR1SjdFb19hLVZIY2JxVHZPVW9CMVc1S0cyb0FCOW5ydENoQ1ZSYUVuaGJBY1l6U1RjQXF0c3FYU0VXbGpnLVhkTEtyc01yM1hZTjRvbnpPMEpVNE9JMkRqaVRn0gHeAUFVX3lxTE1JUmRUNjZycl9ZN1RHazZuU2VHLUxzRzMtZWF6Mzg0X2dvOHNhMXYzeUpzc212SU5wdEN6SGhLd1g5ZTNER3pCalNkWnp1NnN4MnNYNi00cVdwZUdyUFRrZnFDdHllaUxYVGFnZy12WEJtMHNGSUxrbkJ2YTZ4djlYWFZ5czdKUW80aFV0YXVjTThZc0tFNmJ1MENSRzZkV1FyMTZQMTc4LXZSWHYyNC1UeFhHWTJaUFM3U2RuZ29HUWVLa3JudW9rb1EyQU9iS3dKN0dxSnNTR1ZHNVRqdw?oc=5", "source": "NDTV Profit", "published": "2026-10-30 07:31", "score": 0.71, "label": "Positive"}, {"symbol": "MARKET", "title": "Passive funds could buy up to Rs 36,500 crore upon Jio Platforms' entry into Nifty, Sensex", "link": "https://news.google.com/rss/articles/CBMi6AFBVV95cUxPQml6RHdZS2FTeE1nN05IMHpUTVYwR3BxdXhNRVViWjlzSExMb2ZsRFBGZmc3bXZRbDR0Z2ZZVkNhclFpRS1tYWtfN3RpM18waHFDdkRzR3FWeDllUFhvb2JlaVQ0RkozVWt6b0dwS1VWRk5zcjVaM09RUjE4ME1rNmZ1WkxqVl9FVm40ZmVoeEp0X25uTWN0Vm5PLVV2OGpLaTF6X1VuNW5kNUVwU1FtclNGdU94LXQxdUozUTNwQnVDQzR1OEhCcVhpNWpOakxseUIySzRrdWMycFR2TWRRSUtjQWdCZUxh0gHuAUFVX3lxTFBvVWFETnc5Y1BDWk1YWmhPdFNTbTZESnpWaHNVSTRoTWJHVlBONW1yVldTVThqckJyTURkTXotaVRCX3lOZ3o0QlRINTZJcnY2SmI0R0JuMkdjV21jVVJrcG55Y1lrM0F5N0NUS1pnODZNTmRIbVRLYU5nbXE3UmZyb0hERFNBdTJ1SEdTLUluV3FldFF2VVd1d2lucXpUcUlxNVlnODdqdkN2UjE1WmNfWlU2NWJLelpwSXptX3hKMGpjQ2xaOVFDdW5hd21UMktsODRIaVdmY0ZoZkdhQnZvaC1Ha01SN1JlVV9TR2c?oc=5", "source": "Moneycontrol.com", "published": "2026-10-30 06:40", "score": 0.691, "label": "Positive"}, {"symbol": "AETHER", "title": "AETHER Share Price Today - Aether Industries on NSE/BSE", "link": "https://news.google.com/rss/articles/CBMiXkFVX3lxTE5YVWFUSmNPUGtKRF9jY2EtNTNkS1lUVHJYOFgzZWJkY3NrY1lucDJqajdnSjhJTFZuSkZMSjhwSUp3UEs2cDZtNTYzd0YzbEs5NE9IRy1VQzgyWm5YTVE?oc=5", "source": "scanx.trade", "published": "2026-10-30 06:37", "score": 0.0, "label": "Neutral"}, {"symbol": "AETHER", "title": "Aether Industries Q2 FY27: Net profit rises 26% to \u20b968 crore as revenue climbs 24% to \u20b9347 crore", "link": "https://news.google.com/rss/articles/CBMi2wFBVV95cUxNbVVVa0lsV1JvNU1BWnlRVFJSNDQ2Y3l5Z0xwZWdFS2JSTkJPbkxlN2ZfNE1ZZ2hVa0EwMVZ3enhwOGNTQ2VFRC0waFdOckhEaGJ5RDctUGg4UUEyNE9La1BweFVkeWNya2h0SFZ4WVZhZlVLTjl2cXhLaURoTkxSMXd6MHVVTmtYZk90SUx1NmsycU1KMHZKZVItNWRuR29pYy1KWTVEMWdPdGVQcHRQMXFadHJ2TFc0UEFjVGpKM2s1WTJER1RJV3Y4eU1GMmItSDNpR2hBZlRNdkk?oc=5", "source": "Business Upturn", "published": "2026-10-30 06:35", "score": 0.612, "label": "Positive"}, {"symbol": "AETHER", "title": "Aether Industries Q2 FY27 Results: Revenue, EBITDA and PAT", "link": "https://news.google.com/rss/articles/CBMiwwFBVV95cUxNLTdIWDMtbG5YaEVpMVZSemJTMzFndWU5OVVkcDJXdHpCeU9ON2JtcGRmNmJESXByQ3ZWYlh0bDZuWExfOXhtQXVhc2U2eThtZ2psXzFKS2NKS1VXU3lPNG1uNmlfWUE0aUlWVERSdS1RTXpGZkVzZlRfWXhhcDN3dGktb2JwdjJHQUM5YTdTZU43RkZGM3Q4RTZKc09HTzFHTlNmNlZpcWtKSi1Ia0hyMWNUZEUtUy1GWXdFMlVPRWNVQ1E?oc=5", "source": "Kalkine India", "published": "2026-10-30 06:31", "score": 0.0, "label": "Neutral"}, {"symbol": "MARKET", "title": "Sensex Today Live: Sensex, Nifty Trade Higher; Trent, IndiGo Gain, Coal India Shares Fall", "link": "https://news.google.com/rss/articles/CBMizAFBVV95cUxOcXdkRkl0dlpWcXlSb1U1T3BxdXhIb0x3Mi1PUUE4QXh6WWNkREVUTWV0djV4MFBUSVlLZk54SDlsbnFsNGg2b0dnZjh4b193bXpzRndMZHZpUjAxb3VTam5mc0J2dEdWOVNNLUt</t>
        </is>
      </c>
    </row>
    <row r="3">
      <c r="A3" t="inlineStr">
        <is>
          <t>CR2VuX2lDWlF4NDhWSTFNVVVyVE9VbHJrSUwzZnJPdG9FVE1NNHVIcWlnMEpiWWZfVjJrZ1hmbE5zTXJXdVptRS05V1ZqM0VpVENxV1gyaDZCT2t4c1Y3d1lQTk5zUEHSAdIBQVVfeXFMTVNfZHAtb3RQNmU4T09SV0dBZFdLSkZJUUdRV2VZSjRUaUtVR05CRVNpR2EwVy1GR3NtdHlrYndwZmZ0T2d5NkNCeDAyS0M2Y1ZkX0oyUks1LXpkTkFqUnNvWHYwYWw1MTJDQno1NWZxT3pDS3F4Z1B2a3ZKTTlkNFM4ZGZicWlSYVV3WTFqbHBWNW05ZmpZZXk1akFpQTl0YWJ3V1FIdGFKOHB4VXVNdkgyanNmdTFYRUczZ2NleW5xaVNiRkNmXzh4dXQ1b2YtM3hB?oc=5", "source": "The Sunday Guardian", "published": "2026-10-30 06:14", "score": 0.402, "label": "Positive"}, {"symbol": "MARKET", "title": "Sensex, Nifty open flat as crude oil prices remain elevated; IT stocks gain", "link": "https://news.google.com/rss/articles/CBMiogFBVV95cUxNMzlJdG1RZmREVmFLalpRMGpfR2k0a010SjVMTk0za3NnazZxdlE1MlZ6TTczdW9aM2s0ZGZsVmlBcTJvSnJ4ZlhTZ0JubW5kTDR6aE9FR0p3ekxHeU9fOHptZVRBNVdHd3lNSVJVZ1F1NzNFcURBRTQ4WjRBNEFqZE1Gamx2VFY2NHJaZkxYRHdiNUhzcDdCck5lZk1WTlhnQWc?oc=5", "source": "Telangana Today", "published": "2026-10-30 05:55", "score": 0.103, "label": "Neutral"}, {"symbol": "MARKET", "title": "BSE IT index set to report 2nd sharpest monthly rally in over two decades", "link": "https://news.google.com/rss/articles/CBMi1wFBVV95cUxNNlZWX3NYV0RDNkQxcXNfZ3Z3VEZwVDY3ejdUOElORUN2YXd3eFNBODctaDV5a3ZrT29fNnY3VzRtTjJOSVdwVVNCRW9LZU5kOWhJZFE1UHlLaGk2VHcyVGZMWGhJUE1KNlR0SkdRN1hpVkhvOG16Y1dSZm5oWEpNYU9oeW11QjEzV3FzbVVDcldGTXJWNng1bHdNbHQtaFlRUGpqWHpUbTVESzVBQnBrT3NoYWVpdS0tYlQzaVRveWhLZG8tN2NQSy00V29SWWdJUEJBTTBHY9IB3AFBVV95cUxQNzFWYUNDdTRJdVR5ZEw4N0RDYXdwaEFTM21GTTZoQ3hLbjNQOGZHTTFjSWk1VXpuY0lmMGZJZlk5ZFdCZkhoX3U2ek5wZU5LbDBnczctRmJxaWFxNVl2TjZWaktwTDBSWjVMTEhBZGh0ZGNoSXN5TEdvYzVqaUtHQ2pCQmZYTXppVmJrdzN0N0hCVTZSRzc2cGdtVTJpREFoUGxQclFpWmdIWUZQVkViaFNwd293dEp3a3BpbW5nZVRCdkZvd2czWXFhLWFlbGlMN3ZYQjJ6b2t3cWlf?oc=5", "source": "Business Standard", "published": "2026-10-30 05:50", "score": 0.459, "label": "Positive"}, {"symbol": "MARKET", "title": "Sensex, Nifty turn lower; broader markets crash as oil tops $116/barrel. What lies ahead?", "link": "https://news.google.com/rss/articles/CBMi2AJBVV95cUxOZEZkOUo3elRXQW41eS1KOUQ0S3NvWFE1OTNHVy04WW1BeHhDV3djcGFrem5PMS10dEVmamxsYjEwYnNJZ1BVbTNwVnQySHpKZ2RPd1NzempiTGp3UTMySEc5d011SkdOYzFXUzlPd0hRLTREMGRmQVZLS0FyNWUwaDNnUm1nSjhISzYtNGNsZEF6VWZVOEc0bjJ5azRJODFKWVZyZldCeUJtbUg4Z19GWEUtWFNQLVA4azNtVkZ6UWNMcDk0ZWdEYmdVS05WQ0RLZElsQ2I1RjVXbUZZaHBaSF9lay1BQzNuMlc5b2o5Uk1oWmNMLU84dmQzRnZub2RXbjVYVlZ4bjVKTVpkaHZLeDRZcjZVNnpocnRTMU00eGQxZHZUbGNGemN3SFl1T1NzbXBCTmdMU3BuYWZMc0pJbmVnOTFCb0dUeXFhRXU3bGNqUjNzamVGQ9IB9AFBVV95cUxOamxtQkl4aWpPQXZ3RXdZblRPa085YklxbVh2ZXczb1BhNGdoLWpOSWF6OEdHTjcydlA4eXlUOHpZMUdNMk45VDNGNXJacFBra25ycnNGQlFJT090el9yc3ZjZ3NYRmhZa0VHX1JEOER2RHQyV3RXRURtUnZrQk5Xci04Wk41X1RTSXhJN0haNmtVNUFpbmVMR0F6VzFPZHliV0dHMU9iR05WTWFPb29QazVvRXk0eVNLb1hfNXlIclJ6YWhfa0ZUc25Xdm5fLWZhWEhHUGk3SHZHNkxKUUpqRm9KdjdyREFhdV8xeXpkMll4aEZk?oc=5", "source": "The Economic Times", "published": "2026-10-30 05:36", "score": -0.34, "label": "Negative"}, {"symbol": "MARKET", "title": "Breakout stocks: Adani Ports, Nykaa, Saregama on radar; analyst tells why", "link": "https://news.google.com/rss/articles/CBMi0gFBVV95cUxOTW50Tkl2NDNWMDEzblZlNmpXRTdHSDNFVkpwNGZIQjJDVTJ0OGJWeVFPWjIwclB4TU9meUs5d25nZUYxU0VYWlRZQjRGSV9PdERaTVRWY1VOcWxXX1pJY0p6WDJ2LWN5N0ZqYXBRSnE0Vzd6Y2MtTWduaTBURU04SXJCVVRBN0RNOVRqcmJDb1hRWW1hdFkzZ2NNM0hGU2RNLVMzVG9taU5XNFBFdkpzNlQ5WDJVckRFTmNKMDFTckRsblJoX2Y0S1czWlc2dDhBMmfSAdcBQVVfeXFMTmQ5Rm4yV2dIQS1VOFR0clFWLUdUTlZUR1A5VVYzV2NhVzdhZXJCMGhKMlNxMElXT3F1UFdTbWl2bWs2N0Iya0U0WHhxZld1U29mRWlwYU1RWnlNOEZmQ3QzQnlIQkFsRjRnMFl3QlZ0c3lfT1NFQk5GVWV0cmQtT093RWE4UTNXMGx5dWZBenZCMmYxak41TkFYNXJEUWFTSlkxWEpsNGFsTl80SE85NVVWYTBiSk9wcG9BVF9jLWpiaVltQWpVVEsyTk9KX2luU1ZsUTA3aHc?oc=5", "source": "Business Standard", "published": "2026-10-30 05:14", "score": 0.421, "label": "Positive"}, {"symbol": "MARKET", "title": "Sensex, Nifty Open Volatile; India VIX Rises, Crude Above $116", "link": "https://news.google.com/rss/articles/CBMixgFBVV95cUxQY2daQnV3TThDSXViZGppTlJha2tMZVU4ZEV6Smw5ai13RUxwa3ZoODdGYTYwLS16eW1UdlY3SHVyQjVSLVAxUlVXNmhiTVNSdTFHVXNNYk94VXY2a1Q4V2c0cjluWDNBbkxwZDVfLXdxUTk3aV9xM0hnVElQcERGaDAwaVBRU2JZam8wTVM5WlhsSXJGMXBkWWlIdUZXWEZITzlJRk9LM1pEOE8yYVdETHp4WjRzWklrV0dvak5Pc0ZiaFdlMVE?oc=5", "source": "HDFC Sky", "published": "2026-10-30 05:13", "score": -0.25, "label": "Negative"}, {"symbol": "MARKET", "title": "Sensex, Nifty trade flat as IT gains counter crude oil concerns", "link": "https://news.google.com/rss/articles/CBMi1gFBVV95cUxOMUFDOGdnZDc3VlZTRnBlVi1TNmpxRmRKTUtJaVVaYXFIOWJYRklfam54WG1OWkU2MEphUEhmbjlEVHBWUEp4TVhNSFZQN256ZGxjcjdaRUxsd1ZsNjYyc192SnlCNnVBdjJXU3gwdEVBX3AxMllFTXlLbFJOUGlkWnNRRjE2RXJRUUhUMVFraGpnZEFRQlFLUTVnY3lDREJkWXdsZ2l4MVhxNXZxSlUzMllBQy1IRm9ja1lYTUdzRXBqdHhvTkFOVlRJTVR1VFRFMjFEUzVR0gHbAUFVX3lxTFAwZDI2NmhfbDE1RmRhTlk3a0NVMGpWakRNLXpfMVdYQmJGcDRjYWpOTkVNTS0xaWc3MVRCRXVrV0g4YlNIY080RmtqN1QwUEdwRzlXOGdESzFXOUZxalN2RmJRZGh5MGdOUUFEQlQ1XzZOSFUtb2dEemREUFJXTUZYSTJ0eWwtRUpMWTBBa2ZBanpkV19PYkpUNFJFVDk0OWN4cnJTeUw1MjdVTjBDNF9Mamdzc3BrTHM3dXFWZWs3Ujh4ZWREQTZQVlRWYU1raXJpMmpOVDFpUC1vbw?oc=5", "source": "India Today", "published": "2026-10-30 05:07", "score": 0.153, "label": "Neutral"}, {"symbol": "MARKET", "title": "Sensex Today Trades Flat | Nifty Below 22,950 | BSE Telecommunication Down 1.7%", "link": "https://news.google.com/rss/articles/CBMi0AFBVV95cUxOcUo1LU9Dd3BjaFU1bVBLSXhidmJfcFJmeDBUWFBaRUFJRF9FVlk0ckhLWTR2ZzJWQ0NIRkhXZUZOQzVHR0VDQjI2NE5IUl9PS0I3UmFSbVVnRVI2V2NoeDdOVGdPYXM2UDdkQTVIa2RMOTAzUzRKRExNTERWbk84eDVsN0RPM3gtcmhENlBhNEcyZEo5UFdoQWZKSkFiUTR1eDltLXpoTFF4VTM4UXUzLVFBSGIwMlVzV0lyTDRrSEFZaGNjTTlLRkp0N1ltbXln?oc=5", "source": "Equitymaster", "published": "2026-10-30 05:01", "score": 0.402, "label": "Positive"}, {"symbol": "MARKET", "title": "Sensex, Nifty Rally 2nd Day on IT Buying, Trent Earnings", "link": "https://news.google.com/rss/articles/CBMipAFBVV95cUxPSHQwT25wUDBQTGJydm9RS2lOZkl5b1Bod190aV94bE5lRVZsNUVYX1ppMHQxRWc3bGZCNTRyeThwbE01bG11OUdmYUtnMEE1VkduNVZUTTBMRkZST2JDM05qaDVnUnY0LWlHV0cya1d6SEh5MnNhUjB1VUtIc2pPVmk5N245MDJ5VVNuR0I3b1VKRlFYcE1YM002b0RRb3IzY0ZMMdIBqgFBVV95cUxPQ2N4c1RBUjFWOGVlVUE2NzFITzlDOVJ3Rm83dXJhX2F4UmF0cE9RLXhOTTFIQzdmYVoyM1ZCamdabGlUTU9tVklfUm4xTVlPZTgyaUNTM1FnRnlUTzdiOVBFeURwTUhWd05qdUxiNjktVmlyQTZyeWZBa1VaWS1UanR2d0dLbEJyQm9YN2hBeXJ6d3hJdlVDR2Q4dmloMG5tbC1YOFR5TUdBUQ?oc=5", "source": "Rediff MoneyWiz", "published": "2026-10-30 04:58", "score": 0.691, "label": "Positive"}, {"symbol": "MARKET", "title": "Stock Markets Today: Sensex, Nifty Up on Gains in IT Stocks", "link": "https://news.google.com/rss/articles/CBMiwgFBVV95cUxNRm9wczhmdDJsYW0tSUc3Q3VzRGVzTzZSMzdpR2o2MmJHX21lYTJHQmNUU2w3dElpcEpyUXFBbHZaZHlqRXNidXdpWVZEaWhXWlNaZlM2TTM1RXpWb1BwTUFNOWU4YjNsSnZzazJWbkdwNE5XTDdueHgzWWdwdWlCZkdUekVNdEhDaDhKRzZuUnFiWlNtaDIxd3RwNHFkWXB2andGM0ZwMUJLUHpOSDExLXZndGtjSmdCYzl1UXNLRWZWUdIBxAFBVV95cUxPTmdzMG1GRF93RmdyMFR4SUYzWFFxSUhLei1zLXZSZXZIaXdFY29CWU5zcVFLNHAxMzBJUGhfUWhEMW9STlRBME9aUUstYzZvMV9TaXFUOF9DWk1mM1BOOUVuUXVPMjJTUTI0Y1BRMkN4MDE0cENsV05mbEEteHAtMmR1WWM2TjVGbHNnWmdoTFVNR1Q3OER3WDFjUU1oMkt1VXJfRmt3bTEwWGM5ZmE0bDZRbDVUUUYzYmVEdl9QS04xNUxY?oc=5", "source": "Rediff", "published": "2026-10-30 04:57", "score": 0.649, "label": "Positive"}, {"symbol": "MARKET", "title": "Stock market today: Sensex opens higher, Trent rallies; Suzlon tumbles 8%", "link": "https://news.google.com/rss/articles/CBMisAFBVV95cUxQd0tQR0Y5aWc2NjdaVlF0a0RFLTFKM0kwclM2WXFsQmJrTGtEbkFSYmRKSk95b3F5LVVYcXVTVTBJNWxBM2xqSzVKOGJGVllrMURVZmhRcmYxa0QyRVRqZW8xYS1kQjdneVktNHRLaUx6ZHlrY3F4ekk0RkktSkVWRl9rME9PNUFsbC1fcDQ5VTR2UDBwVUJGV1AwcXJQQk1pQlBleXF2WVVTWVhuNjZ1SNIBsAFBVV95cUxQd0tQR0Y5aWc2NjdaVlF0a0RFLTFKM0kwclM2WXFsQmJrTGtEbkFSYmRKSk95b3F5LVVYcXVTVTBJNWxBM2xqSzVKOGJGVllrMURVZmhRcmYxa0QyRVRqZW8xYS1kQjdneVktNHRLaUx6ZHlrY3F4ekk0RkktSkVWRl9rME9PNUFsbC1fcDQ5VTR2UDBwVUJGV1AwcXJQQk1pQlBleXF2WVVTWVhuNjZ1SA?oc=5", "source": "NewsDrum", "published": "2026-10-30 04:50", "score": -0.052, "label": "Neutral"}, {"symbol": "MARKET", "title": "Stock Market Today: Sensex Gains in Early Trade as Investors Focus on Earnings and Global Cues", "link": "https://news.google.com/rss/articles/CBMi0gFBVV95cUxPYjRWVkJta0FLZGc0VW1vVWVpMnZxckxFNll3RkVpdGZsbGJrWVJKZk85Y1ZWODY2ZUs3V3pBRnFYSHpCR0VrdXpEX09DTHJwTkgybTdvLTFzZnNCQ1NocmNyMXpyQjBfX29GeWZMdHY3M0g3T0NVeERRT3g0UUN2Vlg3eTNzRlhRaklnalQ2VlF5aWZDcGxZb1puYXNaX1NvUk9yLUZhUklaV0N0ZmhyeW9ROERDbGRtOF92V1pvU2l6NGJwMHNPZk5xWkdWcDhXX0E?oc=5", "source": "Business News This Week", "published": "2026-10-30 04:47", "score": 0.382, "label": "Positive"}, {"symbol": "MARKET", "title": "BLS Polymers IPO allotment today; GMP at 45% \u2014 check status on BSE, NSE and registrar", "link": "https://news.google.com/rss/articles/CBMi4AFBVV95cUxNYWZNdk04SlliSDd0WXdTVm9EYVFNc2lFcXJfbTdXN3BMLTVoeEM1UUh2eVl0WWJTSGpHNnY4aUEySTMxblYtblFzNHplTS1qRE14VXFkQ0lJcHpBa3FZMlphZk5LSEkxTGtFMWlSVm9HMnVieXRJbWc2bmlHdWJxZ1JkNF9IYnpOazNpWjVvcWttbThpdHFJNkJzT3Rrd3I2Q2hPUmduaExHZFA2WWZiaG1BOHVVdGdWRVUxenAtWjJxbU1Ga1lVT1VCcXY4RmlaUjFWWWQwUEg3UFJtcGVVdNIB5gFBVV95cUxNS1JhWVlMbVdvTTVwdFFuaTNRNnZDemVETm8wdjRKRk1LTWRJb3hpWUNWOVY0WUdDRU1iNThsMzFQbnZGQnVRWnBsYnFXVkNTLUh4M1BDZERhdVRXY056NGRuemN3NTZKTFNYUFp5TFlvSWJIdFhFX3RfeEdvcHlVQTA3TnFZNURBclJrR0d5YjN5V2xrbHlkaDM5a1NRVzI1WHUtT3ZoNm0wS3BqQ1BlZEtrSnR4SzNCbjducnpFRHZEMGxlX0sxMEE5NHdPMkM1bGJWN2Jnei1Za3dhMENZbGN0SmhSZw?oc=5", "source": "Moneycontrol.com", "published": "2026-10-30 04:26", "score": 0.0, "label": "Neutral"}, {"symbol": "MARKET", "title": "Sensex, Nifty open marginally higher amid rising crude prices, weak global cues", "link": "https://news.google.com/rss/articles/CBMizwFBVV95cUxQZEVUOGVMeklfRE9LWkxXTEw2eHBrUG9qTkZjSkt1ZFpvZ0laVlpMS2FhN0ZTWnh5RnJjNFZsb1BTcjJreS0xS1pUT29lQVl0UXNUT1dlemdUZEFLVlhjQUQ2QXVCdnZYazJ4bnhnZERxWU9FMGg1WG9vM2pBZEFNV1ZycE55QTdvLXJscl9faTZfSGNWc2VYUTF3R3NUMXZfVWtDak5UNjFjQVJvZVpqTEFWRmhKQnozcjFQdjVKVWV3Z3lxVTA3QkNUU2F3Zjg?oc=5", "source": "TradingView", "published": "2026-10-30 04:19", "score": -0.557, "label": "Negative"}, {"symbol": "SYRMA", "title": "SYRMA Stock Price and Chart \u2014 NSE:SYRMA", "link": "https://news.google.com/rss/articles/CBMiWkFVX3lxTE1ud0tHczZETmVYWGR6VkdGWkdsc1M4N2pKRFM1UXdpNGlyWTVHbGVHS25tOUdlZjBPRExoWlZLcVQ3ckFPU21KdFQ5dHBqc09VdjJZeV9JMjVzUQ?oc=5", "source": "TradingView", "published": "2026-10-30 04:16", "score": 0.0, "label": "Neutral"}, {"symbol": "MARKET", "title": "SFC Environmental Technologies IPO allotment: How to check status online on NSE, BSE, MUFG Intime India; listing date, time here", "link": "https://news.google.com/rss/articles/CBMiiwJBVV95cUxPQnU3M05KNTNXQ1M1NEp0YkxucF9JdkpfYjdVU242WjVTcmI1eFlCWk5odktUV1k2MDJlcUwwTEZzTEFtLU1YMnUtaFdwSk4zZFZScnJ5Uk1IbHpySnYzWmxwYlVBaTdxZ1p0M0NmSGpBMl82blNZSEw0RnNzVHBMbzFJZkV4VDNhUVQ5MWJzT21yelpGMlZ6RHp0Qk1lZzBkSl9GTDJRQk5ZR1FzeTE5OVF1a3VjWlc5eWlkT0M5R2ZsaDFuVWdWRzdEcTREVnVRVnBNUE0tN3JNUGtoY1g2bkVpWmd1OWV3Umc2T2JhekhDOXlRSVMtNDNXRjdBbXg4Qm5rZW8ycVAyRUk?oc=5", "source": "Upstox", "published": "2026-10-30 04:14", "score": 0.0, "label": "Neutral"}, {"symbol": "MARKET", "title": "Sensex, Nifty open flat amid high crude oil prices, jump in IT stocks | Business News", "link": "https://news.google.com/rss/articles/CBMiiwJBVV95cUxQZzBDN3QzQVZXQWpWLTRSUV9kckdKZThxT2F4amxOS2JlZjRYc0puWVUzX3NoTVVxa0V0djNvd2ZNUjhZNEFjTU1DdGxIaGpacXVwb2o5bG9HNnIyRmNTSDZpLU5xSU9vR0RZYU10QUlBQnZPaTlQNDVvZGtaY0h2RnJvN1RXbGhDdG5Mek5UeUNjNXBNd201ekJBSksxTVY2YkhiUzRjaWlQYk9mV2s4Q1Y4RjBSSnd2d2hDcm15TEk2dm5UcHd2UG1IV0lSVVJnR2lYUVk0UHZCZFV2ZnVWZVR0dG5UcVhPSG5nQ2lZT3FpZi1VSjM5SkVrd1Q3R2FGYmhHY1ZERUptajTSAZACQVVfeXFMTVgza0lkcW9ucm1sWEE1YkQteVVCQXpfbE9SWU1FUWxpUHhtcG5pWlpkaVBKNmlka3JaN1N5MW02QTlZUmYwTFdYMUtObGhIQi11dkM0NG9zOHhVZVMzSVYwQU9KQ0l1bGFucktxZ21UcjV3TFd5Q2Q2dzJfUnYwZndLZlUwYkVVRTdhUUNTYkJvZm45Vm5MVUxQT3VyMWxDNDUySi0yNzVKN3hIRG9PZjJEMXpiSE40UWZqem5BU09fVjNSNWZxYzZzZTd1THFCSXRDS2NUV2RmY2RMa1R2bV9mN0pOUzJZaTFGSVlsMG83WTlFNjdSdkswa3NES2lLUW15SENIWWR5blNHWEJaa1Y?oc=5", "source": "Hindustan Times", "published": "2026-10-30 04:11", "score": 0.382, "label": "Positive"}, {"symbol": "MARKET", "title": "Coal India falls 3% post Q2 results but brokerages upbeat on PSU stock", "link": "https://news.google.com/rss/articles/CBMi0gFBVV95cUxNRWNKZDdGNHlETVRZR2VZMEZOdWJVUXZLbzd1RVRqazNuN0NrV2NUMWJDREZxanNlWElPSHRyRUFsY1lMZVRCTWtIMEZNSDBnd0xxREJtVG9FSFU1NUd4WDd4aGN1X2phV2lIY1pjTDRNMlNHYWxYNUZ5NjdnTVp2YndLa3ZDRjFiaGNvTkdQbm5fVTRvX09IakEzMm1CU0VFSjh6UmI1TjdybFJwc19mNjlwM09wU2RrSmRuTDBjOGhlalItM28wa2trQU5fZFpvOEHSAdcBQVVfeXFMTkVnMXZSY1FaMDlfNURXUTctY2NnMml1SExJZHV6SFNSYlhTVTBmckc5YVhrRTJHYndWMlg2YWo5OXRUUV9yNzgyWk9VVnVpU252WENCLXFQNnlTMEdVeHoxb293N1czYnE4WmwwV1lCZE9zS2VOYm9YSEZ2ZDE3RFlDeFMwRTJMZFFSNFh1X3B5RjZ6ek5fbVdqSHd4S3JOMEkwLUdBRkRMSEJ6SFE2eHFmZFJKejdGZ3Y1aGZHdnBHUjN3UUoyY0RYbmJoZnladHV6RS1xQTQ?oc=5", "source": "Business Standard", "published": "2026-10-30 03:59", "score": -0.202, "label": "Negative"}, {"symbol": "MARKET", "title": "Stock Market Today (October 30): Sensex, Nifty Open Flat; Rising Oil Prices, Geopolitical Tensions In Focus", "link": "https://news.google.com/rss/articles/CBMigwJBVV95cUxPSkcyQktHdUYwRC1IRHJsakZFTVhZUHRvX2FiZDRnZmdVdy1jWkd3bkFRQWhkLWlQZHp2aE42MTYxU3ZvOURHQUFUdV9YTGdWb292M0xDWV9TekpLU0pNaEp5MnJDMXRDRFdnZHJDdi13VVM2Tzk0d3FyZmpfVHEtVEpaV29SN25RYS10SjV2SzRTV25uNmZRMjRvR2tXV0w5M1FqcUZVNEVXbFo1aHpyNm42VWQzbnVFY1Q3ZkhpRzF5YkIyWnBqM1JoNkZ2Q2tfc00wNnNKOEJlSW54LXFjSmVZNGlnTkRWS2Q0d2s2RlBQMUJwMnRSazdlaVhRak81d3NR0gGIAkFVX3lxTFBrc1lJc1k2dWYtM3dmcTRSNGZyS0htWEg4akV0MjhNU2dvRkMwTlg2a1poMk5sR0NCLURBNDBBMUwzZEJqa0ZPR1N5dWI1OHBWT3FYV2Itczh6Z2w1SEN0QjFHYTdNUlVEVmZza3F6aGtvSEhPZ19tZkNrQVVtcEFHdGFVNXhiQlJZR0RoTDBkdHBPTXE0WktPT21CQnFPWGQzUmM2b3I4bXBwbWQwX29QWEI2aVpyWk5fSmpYNHVtSWtRSkhmbU9ONHVrNThqQXVNT2dCUXY1R2NxaGQ1dkNTaHVqN1RmcHRTLXdOOEhTbkVncHVpYzNiSVVNY0dtUnhHOGthZF9YVQ?oc=5", "source": "Times Now", "published": "2026-10-30 03:51", "score": 0.0, "label": "Neutral"}, {"symbol": "MARKET", "title": "Stock Market Today: Sensex edges higher, Nifty opens above 22,950", "link": "https://news.google.com/rss/articles/CBMirgFBVV95cUxQNHhZR2hsX1hjcDRiWWxSc1V4QVNpNDFad3g3STVkMGdrTG9vaU5ObV9ZYUNIN3dpUlFUUmhsTHVHWmpHRVRMVVlfUHVFSURqZHJQaksycmc5Y2NVZEt1OVlyWFJOWEVsWDB6Tm1nOVFLOWJ0YjZ1UnJKMXJwcEJGdXljWlJUcmdhWTdkS1A4NFlpeXRDekdoN3l6SEQxSEhSQnhjcURURkkyajlGVHc?oc=5", "source": "Zee Business", "published": "2026-10-30 03:50", "score": 0.402, "label": "Positive"}, {"symbol": "MARKET", "title": "Sensex, Nifty may gain 5-8% if external headwinds recede: Baldev Prakash", "link": "https://news.google.com/rss/articles/CBMi2gFBVV95cUxPcTJTc3Vndll3czhydnJSQk8xRzVicWRTQXIxdWVxb1diVGt1R2IxMEEzWkF6d2stU2F0U2o4SlZQSkVUMUJlSEdzMVdCQ05Da2pNaC1TaUJaYW9Za1Jfd2hFNmJpdTNXQ2NXbXR4SXJ2RU1na183RnUtSk5IYmJ2V0lfVWhTMkx5VXFULUNqY2dUVUVqY1BVbXZvRHpmeS01d0lQbWgyUFBqUURPV2tFTG00eWZQNmFxckRYUkxZVF81TGNEaDRMdkRNZ2txWDBYS2taNnJvTEJ5Z9IB3wFBVV95cUxNeVpabmdOVGR1X3M1R21QQlZJbGZ1MzJmdU81a3lGTTdlaVhGLVNwUUUtMF9QRlFJdXlkNG9UMVdiNjhhUmE4bGV6b2tGREdROGV4MXFGVk43NS1faWNZT3dpcUUwR1FXU19uZW5rUHhZUUFzcjdTVzkzTWlWTWZ0eGxYclR0S2t0VWlHcVpacFVjYlFPazNpYVY4TWxkeGQ4U2JTZTFNd0dDTXBiMS1kY0otbXZjbUpONDBhcnFwMFhqdEhfZW1oWDFvdkZRNkxfUktFaW85RjRXQWhSR2ZZ?oc=5", "source": "Business Standard", "published": "2026-10-30 03:34", "score": 0.625, "label": "Positive"}, {"symbol": "MARKET", "title": "Stock market outlook: Crude oil prices to FPI inflows - 8 triggers that could reverse trend in Sensex, Nifty 50", "link": "https://news.google.com/rss/articles/CBMihgJBVV95cUxNOEZaNmc4dnEtRC16Vm5IVHhCd1Y2S19zcjRpVDdSWVZZajg4NjNGMGtyWnE0U2tPbjJUMXVkOFFlT1RERHZWQlBEOHJxWmdITmJPREVXZ1JIaUd3aWNQUTcyMUlqZnpFQWRiZHJLcE5YWmlZOUdlamlzX1NtYUdqczBmamh5Q044dnNPVHZsdEdfTWRmR2pxLUlXeXduUU1laHVpVHhfVmE3OThMWmdwMHdBa2RmbDdVZW82VUc3TGV4TVM1cG85anM5TUpROGVZZlR6MkYzczB4d2YwcU42YWlPeEtmUUw3Tk4wbFBZTDMwUGlSUWtDeHFmRjQyejJLaXhiVmxn0gGLAkFVX3lxTFBIdUVWNXVfYV8zN0tXeE1oZmNpZS1LTk1GNGxzUXRINHQxcWQ3Zy1SOTN1NWRta2tjeG1uQ2NJaE5nTGpzVUlHeXBtaHlaNTM5NWVGUmM4cm10M25WTGplanFSd0F5OUtYWXFGWklQYkpudlIzakczNDNjQi1HNmJYUnRxSTlsVi1xelhNd2h3MU9wSmpyNjcyMTRoLXNpcXBLc1VreklSaS1DNktabHpISXdSSmhpWXRGRm1wQlgzSUk2RVJOZDJTY21vMFdwS0FNZ2psM1NZT0FpbmZsZGQ5VnRlQmx0Q0RWM0FudEk4SEFqRldYOGpsNktPdGxPdU1DZ2hldlRMaEZFOA?oc=5", "source": "Livemint", "published": "2026-10-30 03:00", "score": -0.25, "label": "Negative"}, {"symbol": "MARKET", "title": "GIFT Nifty down, signals muted start for Sensex, Nifty; Asian markets plunge on AI spending worries, oil...", "link": "https://news.google.com/rss/articles/CBMigAJBVV95cUxOQkZmUHBNNXpGaGxiR2gxMnp3Ry1tVjBlTWlHMUZHUWc0SnJLbk5vU3kteU1zMVFkZDd6RGUwQ0RmZV9OUUtITUgtSU8tMURBT0ExV3dWaDF4MzFKZDhGcTJoeXVzUkg0QzRKcHJiSUZjV29XeGJhVDNIMXE5YzEyNEFiSTJ0cnYyUndHbXY1UTFtUzhZT1l0Q21YYi1Ycy0xekxBR0cxdkxFUmZuMEN1eklZd1c5ekNWV2JtbXEzV1F1emd2eXlhOWtXR3k5VTBaNGd4Z3M0U0ZTdUZ6a0tHakV1WktJd1YwMHh2M3pQUjkwSHRwcE93c0R1bzBhVTdD0gGGAkFVX3lxTE1SNmF2clJMZV9kSHRkZUpwZ0FjcUhOS0NEQVZ1S0NzYzBXaE5jMXQ0Y3NuYUR0VEVFZE94OFpRbGtiYUgxbVc3TzRad3JGb2t6ZDJZQVVzMnd6QXpMeGFMd3RHWTF2QmNGUjlMT0NnTDQ4SURVZ2UtcnJLUjRncVptM1BGMnhtdWRCM1N2STRsUnpSWDhYbnlwcTF1UHhNOUpadWpzaDJTOFZJUzVoN0w2Q3dRNG0tdFpUbDdrVm9XWk5lRUF5bUk3X3BmVTVBZ0E5dzIxMzJDeHdhbWVxVFRtcFNfWkVyV0QtN1BzbFFkRkJiLVVlMVAzMENGMlVYUU43ZGdvUnc?oc=5", "source": "Moneycontrol.com", "published": "2026-10-30 02:41", "score": 0.408, "label": "Positive"}, {"symbol": "MARKET", "title": "Indian shares seen opening higher after earnings-led rebound; higher oil to cap gains", "link": "https://news.google.com/rss/articles/CBMi6gFBVV95cUxORkRQbWxVNzVaYjNjN2d0aXNjQURWdFEyOXVPY2hENENXdU42M2t6M3dWM1Z4M1A1dVBPQ1RoTW8zZF85eXhQZE9Yb1ZORE1sdTcyWmlHem04YXBxWHFPYlFnenYyY0FDMENWdGh2OWd4VERuMERHOFVDTHFPU0FuM2FYOWZ6a0dKUUdJZnh2SlJZUC1aZkNCU0JFSFFqNTROYzRIcEVPek9QejlIZTBlUXVhbHJheTl5YnZXX09MYVpUSmZaV3VaYWE0WkZhYzdwUUo4bU1pS0hKSWNTblg5MnBFX1ZpbW9SZ1HSAe8BQVVfeXFMTlV4SnU3cWpJSUQ0U0ZPdEg3Q016RmVCSmUtb09pY1hsZjBweEZvSDM3d3dlQUwzRy1WX0RISm5naDZCQ1VIWFNTYzdiMm84cW5UZjgzQ2ljOVJFVEctUnFzR0pKZ3R2RE5qVFZvdURFNldfT183VktEcUd2bjgtWGxoSjVsdTFvMjhiXzAyMVBjb0czNjNQRkJmN1Fjb19rUzlFVDNmT3F0MnBCNFAzUnVaTHdXdDBGTl9IQ3RIM3Z3VTR2VHVrTDg4cWR1a25GY1BaUVVaN2RtYVRULTVCN1UtaGJQTlJXcUtTRXBoUk0?oc=5", "source": "Livemint", "published": "2026-10-30 02:35", "score": 0.382, "label": "Positive"}, {"symbol": "MARKET", "title": "Stock Market Today, October 30: RIL, Jio Q2 results, Japan rate decision, forex reserves - 10 key triggers for Sensex, Nifty", "link": "https://news.google.com/rss/articles/CBMi_AFBVV95cUxNamZ1UG1fNEpHV0dYVE1zb1lmLWJxUk5rSEx0M2hsV0NGRXdSaElkZTBNUjZXbU5pZW5STUpUbEkzTFg2OEhGWlk4Q2hkeXZxdHAzMG1vZFZVT2VoTkdweEt4Z0ppU3BscGlFMjN5ell5NE5wNHJ4NWpkV05PMkVENUVHVHR1bjAzQWtNTW8yelVwWjN3SldlUkxpaEIwdHlQdXFRVXh3dUZYR1JMZUVwY3Y3S09GdXBpTVFVVGFxaWdYcXRzR0NYVlBFMVR2NmJYVUNJcmZmVlhXQnJiRG9pZzBiUlJuMnpJVlBpWjBzTjh3bkhEeHpRRWJRdU7SAYICQVVfeXFMTVlBRG51UDZtVlB0OENLRUZvdlJTOXUzNU44SndaYUoxVXplVS1GZFpTMXF4WVUwTUp5bHotM0N6SXJtZlJmdzE3ZjFUaDcwUlBpWmR2c2ZpTUJNSUREOTV5cUN3eUFsTWZ0dmt3UVhEYzFaYTJaaWRFV284OGlZeGVoLUJfTElLZVVqUTVudUR4aGR4aHVEb3lYXzg2WUpIbjR5OVJ0NVdUUE1HWGdfSHoxckxvM09YdVBGRnNLV3laOXNNckVRWXEyd1pvelRCelluV1RNT1Zxb25reU42ODN6SlhBVWdLV0lXd2tXMGx0QVBXM2Y4WVNzZ3Y3c2lTV2Rn?oc=5", "source": "ET Now", "published": "2026-10-30 02:21", "score": 0.402, "label": "Positive"}, {"symbol": "MARKET", "title": "Stock Market Today: Gift Nifty, Tech Stocks Selloff To Binance Hack; Five Key Factors For Sensex, Nifty 50 On Oct 30", "link": "https://news.google.com/rss/articles/CBMigAJBVV95cUxNdkc2UTMzMXp6a3dsbm55eXlZMzFHdzJ2S2UtYWkzcVdJekZDOHh1RVJaOXFMMlFwdXdWd0lMajR2TUItTTl3cF84b2R2R1NXVmd1dVlta0VpcTFhYWkxUlhnZDYxTHhoeEtYM0JGeDAzQkRlc0FNR1dCNWV1RUw1VUdYa1FkQ09FMWZmM21mN2pwQTVfUVU5ejlScGhzY3F0MjVHY1lTNmZkdHNJRTk5dG0zODcwOTVHRzRqYi1OVE1BUVQwbWdQWkQzWE13ZWZlTmJYUGlHRnhGTWJhWGtQTkJmMExFa0ZURmJzcGtOeWVwWHg4SlNfUnc5TC15eUxT0gGIAkFVX3lxTE5kMVJROUdWQWIwcWlxNGduSHdncXluWWduV1l3a3MtMzRMcXdsUmdzekdkVkVPR1JRNUp3bVVhb19WREFhTzUyYU5BVzRpUDNEZTduODNsb1ZyMDR1OGRybGRhWlRGbzB1Q25iTTRLZGtYMlpBT050bTM0TXBDX1BfN1JOLUttSkd2N0dYT2RGX1dUOTE5Tk1aOVVSRXlmd2tmaUVTUTczcTlrVTU0QnEtSHhJdjhDa1Y5R2R0aHlJQVhpNkg5bC1FcWtOU09KN0FuY3pmZW1RcWplZ0toNUZWYXdMZGx4aGJBZXpidlF6MXhnWGpmaHEwUTZVYVVlUE1VM3FBanFvZg?oc=5", "source": "NDTV Profit", "published": "2026-10-30 01:44", "score": 0.807, "label": "Positive"}, {"symbol": "THANGAMAYL", "title": "Thangamayil FY26 Net Profit Jumps 196% to \u20b935,165 Lakhs", "link": "https://news.google.com/rss/articles/CBMi8AFBVV95cUxNZWQxVFZva3o0cms1Y2N2ZmRJMnk0TmZzTTdLUWVuZE8taXVteEgyeDhHQi1wYUIyU0RGb3J5QWFxd2pLSTJILUVSOEZVZTBDbExkVkMtT0tiNjhGOGpubU1KQ25LQ1ZFUXkyUDZmY0FIdWZBSm96cm1vZ3R3VEtQUHFKLTBZM18tZmx4NDhNRWM2OURvX2xQQXJncWtod1ZoR3ZoV3A4bldUSkxXMU8xNlEzU2tMeWYxeHMwYk5LeVlYQ3hJeGVqMkdNYlRIQTZnUXpxTk5xZzA0aGZqNGVId0pnbTRLd3RJNWZZcWQ3azQ?oc=5", "source": "scanx.trade", "published": "2026-10-30 01:17", "score": 0.66, "label": "Positive"}, {"symbol": "MARKET", "title": "Stock market outlook today, 30 Oct: Sensex, Nifty prediction - DJIA, S&amp;P, NASDAQ, GIFT Nifty, Kospi, Nikkei, Taiwan cues", "link": "https://news.google.com/rss/articles/CBMihAJBVV95cUxNU0lLTXdXRXlnWnktM1lpdVdQMEZ1Q0ltbHlFQlZOa1pRM09LcGlnYTRubzNDcks4N21ZaGdEV3ZpRFV0N1FhT3htZkM5djl3WngtREVSVkdhbWkzWFQzNjJQN2MwZDVYaXQ3Q3pPOUxLaDlVUFF5aEFzWkY2TU1jRjloa19jNTBBMHZMYkZGVExUMlV5aXlXaVV6M3Z4QV9WaDF2ekFRMlg4dXV1aE1TMWR5bHlUUi1XODB1MHFraXVKLXZGOXJvNTdmRnJNNmY5WU1JSXJ1dXpVTjdXR2NyVUpVSUdYbFFqS0gybXp5MG5tSDdhWEpTb1RVMkJlZ29ZN09WNdIBigJBVV95cUxQQ3pIRzJQZmY1VXpnc0Nra014TklOZ0lvNkhtZUJ0UFJiQmtZQ090aUpZTlFfTWdMMW9HT1U1UVJEU2NUcVFUUmtyb0E2emhPa1hmMGd6eDYyMWk4R3JURTFVYThqZzNBS3lyNC1zcTRyajNKcWF0d213aWd2Y1J3aGRNMVlqRDhOaUZpNktDcmNSRFlpMnVVU1NOTlV3TTMtX2tLSkNyMWNrVWtwd29sQkxxTkUxYll2X1FoOWJVY2ZTcUVBUXRMVGVTNnY5UGZlNVZpRTQ1bnhUdzBkM1BPTjl4dUxfS2FRd3NzZUpJMF9CWW44QXRWaVFuaW02M29sZlBCMThPRWlfUQ?oc=5", "source": "Livemint", "published": "2026-10-30 01:14", "score": 0.842, "label": "Positive"}, {"symbol": "MARKET", "title": "eClerx Services Q2 FY27 Results | Birlasoft Q2 FY27 Results | Top Buzzing Stocks Today", "link": "https://news.google.com/rss/articles/CBMi3gFBVV95cUxOS0Fuc0x6cVdyNW5qTUFaU2FrZU8wRzZaeXA3ZV9rZ3FtTE9jeml2NzVaOWhaV2stVzl0VnJDRERDNXlnX1dnSUI5M3dROEpacDFlTDF3QldiVTBaVGhvVmR5ZnoySE9zUlVIN0RyeVItTGpiVkFXSjV3TW9hdXF6X1AyWFdyeVNNaGQ3VEh0cWphT3dnTmlBWHBYZmwtazZ4REVpSHJtWC05cUpRc3VCZmVKYkpCbnRvLVl5VXBYVTk5ZTZWZ1FNZVY4V1JNVFV4U2FwNDhuNkZHRjJ6NGc?oc=5", "source": "Equitymaster", "published": "2026-10-30 00:30", "score": 0.202, "label": "Positive"}, {"symbol": "MARKET", "title": "Advance-decline ratio hits 7-month low as market breadth weakens", "link": "https://news.google.com/rss/articles/CBMi0gFBVV95cUxNSXRYTnJUbnhsTDFmcG5lMlVpT3lvVjNCUDR5NmJQTHU2UmdnZ21RZ25XOWRFdmF5X2prVU5nYVMyb0pZMXBZRkZ0SmZmaTczMVVEUlRXblVOUS1aMlg5V2lrMzlHQVJmU285blJNM0Y4T3UtNVlQd184cmlNcTZRUkVJNmc5Qjdva1VVUlJ2RU1taWlqNk1lWVpVOEtFZkNaMTdwRF9rUEZNQVdCUGQyTFBwWFJOVkl5RGx0a0RYVWtQS2pNYWhUY20xWHRJV2pkeFHSAdcBQVVfeXFMTUVCeWwyaTY1Um55NjExa2t4WXR1b09RSHlvRDlPYlA4M3Z4aTVCX05lQ1FpNTlsM3I2dUVRR0FSWk9hNmdYSFdkeWxCM3hDaUZMMVlockdfSnV2bUEtSlBEaHVCdW5NRGw1YjdTaGRjWDlMaDMzMy14Q1RyaHA5UVVxVE1RYXNBTnFQNU9aeVE4amd1UmNFWG5PdlVMMzhvQTlQZGxNeTJVb0ptUUZyNlFjY0tHX0EzQU5PYzVCSXZjdWVpaWRBRnlDRE1oQWNFOWJFRHZQdWM?oc=5", "source": "The Economic Times", "published": "2026-10-30 00:23", "score": -0.612, "label": "Negative"}, {"symbol": "AETHER", "title": "Ather Energy Share Price Today, Ather Energy Stock Price Live NSE/BSE Updates | The Economic Times", "link": "https://news.google.com/rss/articles/CBMiigFBVV95cUxNMmpPVXcxeVFIRHF1aHV6dFRLVnhXV3djOWRQN2tuMmxVTnhDeVNJSnFoV2ZscmFoaEtaWXhCT0tabGNHdVhlOV8zcG45eTJrYS04ek9hSlNlMEZPYlpyeS1pbXNqbjlVVklKeEFrX1R6OUEzXzhRdjNneFZzbEFFMjc4MmZ4T3dSMnc?oc=5", "source": "The Economic Times", "published": "2026-10-30 00:10", "score": 0.494, "label": "Positive"}, {"symbol": "SYRMA", "title": "ZF Commercial Vehicle Control Systems India Share Price, Stock Price - NSE/BSE Live", "link": "https://news.google.com/rss/articles/CBMipAFBVV95cUxQaGJ5UUduMmFWUzQxODJRNUFmT0hGMWE5Ykx6RXRJRFRRMGowSGJ2eE5INlhVYVU2OENDblNfcUFlRUlHNzZBRlFyQlZ6dmxtX1NXUjE4dUxEOHpkM1U2NXM3dl9jdzZsU2FUTnQ3SFRqWUNxOXl4cUV1NzllM296YVBMQlktaHQ3V21QQktRWEp4Vm9xbkhjZ0Y2TEY1SzVDVTVkZw?oc=5", "source": "NDTV Profit", "published": "2026-10-29 17:53", "score": 0.0, "label": "Neutral"}, {"symbol": "AEROFLEX", "title": "Aeroflex Industries (NSE:AEROFLEX) Q2 FY27 Results and Hyd-Air Amalgamation", "link": "https://news.google.com/rss/articles/CBMi8AFBVV95cUxNVzBvb2wxcTMxV1h4Y0l6T01NR1p3blBHcUxEN1pKQVNxVTZXQWFmWmdyMDFMaHRxRERqNkJLMjQ4WGJzNENnUklwaUJBMHVLMmFodmdmWXlPLTdhOEpZSGJwLU9ON1NmUks1VUE5cnNYUHYzQ0hrb1pveURwTU9yd0J3WUMwSmJkWmEyMEZrMUhNcVBCZWRpMV9HSFpPdVFKV0xXOU9BTFB5cWVVbTlFdGU3YmY3cHQtX3M1UTVFYVMwZHg5a3djc09lY09PTWt5UzdRMnJEUF94U0N6ZlZ3X2doc3hmSXFMRGxiZjA5SDQ?oc=5", "source": "Kalkine India", "published": "2026-10-29 15:28", "score": 0.0, "label": "Neutral"}, {"symbol": "MARKET", "title": "Benchmarks rise over 1% on positive Q2 earnings, easing crude prices", "link": "https://news.google.com/rss/articles/CBMi0AFBVV95cUxQN2x1Nk5sek1aeDluWGNMSnEwREx2SGR5ZjRTd0tzT1NiQ3hoY3htWkJtSW1nYWlrOWRNeS1LVlNMYU5sRVF3eWRzQTVzallfc1JEMVhkSWc3TV9IM21vWG1vTmZRUmVEUmllVVhNdU13YUVVS01LUFNzTHVRRE80bDdaVW5XWXFUTm1oVjZNN2dQaExRMmpMNEdiSzdGMlhuTVBvZ2ZVTTZ1aUdYSTRhek9HbXFMZDNyTEdFSF9GLUZkRGZPOVlTU2JsNTF4WWtw0gHWAUFVX3lxTFB2LU9UckFtY0YwdFAtQ080T2I5a0NJZFowOEJ5bGJsRUR0M1E4WU5jR1d1X2ViencxOWR1dUVlYlVBdS1XRDhBWmpHVUhDNWhxbTdIWkdtdDBLY1hSN2hOclNhcG9HYlRITk81azlSZzFIY0lWZ0RrREg3THYxQWw0ZzIwUnFfUVFpbDQtQ3JESmpTMTZ2U1NFRHk5YjJRekdGWmlUaUhPR0I1UnYxc2dMSmRTdV9yc3hVM1VFc3lXWjZPRTB2UzZzT2kwVE9zMlhkZUQ0NFE?oc=5", "source": "Business Standard", "published": "2026-10-29 14:36", "score": 0.226, "label": "Positive"}, {"symbol": "MARKET", "title": "Indian Equities Rally: Sensex Jumps 905 Pts, Nifty Tops 22,900", "link": "https://news.google.com/rss/articles/CBMixgFBVV95cUxNYUVZT0t1WTRFOVoyX2FhRnJvNFl6cWcwVFhIS3llaUlxMzVHQmpoUXhYVHdQM002TFNvdXA2VktDUk5DczlZQ2ZOUkM4X2lyQXhOMkNqcDk3M1BnUkZYLVpPdVNjeGlaaDNrWGZEdXBncTUyMl9lZDVpTTZrclU5eXpaLWdELV8ybmo4cVgxZTRQRkZneC1nSDVESGNzZUhPRnkxMHNaUC1JRlRaQUx0d180VHN2bmZXX1pGM0FzMm0ydmJoZlHSAcgBQVVfeXFMUGFhZ2k5dzdoSnBTZGxVNlpZdVNMYzBwdnJlUmh0NU1Xa2FGOTBSMFV6STJFdzRSQUFWOE1udE1abXdWUklOdVJlN2lFSk1DVlVRbTdNRDlsZFZ6STd2ZE5UYU8zZElhRGR5U1M5NDZFaDROZjNXRS1leXdtNDJsT3JjUDQ3Z1dkd1B3Zjl0Y0RVRWhVRS04b2RxWkZvRUJPY0pBM21IZUY1TDdPNXNwUmlTdEk3WGViTWtQYjltQ3pOb2NvVV9SVHU?oc=5", "source": "Rediff", "published": "2026-10-29 12:44", "score": 0.9, "label": "Positive"}, {"symbol": "SYRMA", "title": "Syrma SGS Tech - Technical picks for Diwali! 10 stocks PL Capital is bullish on this festive season. See full list", "link": "https://news.google.com/rss/articles/CBMijwJBVV95cUxPY0dYWGhsUHRsOC1HMHVFeFR6YlBhcENObTZlV3lXZkJyUVFLMU50T2pfT3k1Qk5aWkJBUWJOZDE4TTNrSDlUd1dCbTJ0NjlYal9SUmFjSTg0LWt5RldXS3YwRzVOZjBGbk96OF9IQnRETU9VcXFXM2tVMHJWb2R4Szk5MU5YNlpsa05xMldaajYxaUtXc3JmWnJZREZpdHlkM2dsS2Z5VDE2bjRZdmZidE1fR3NXTXRGdFdMVTh4czJOVDBxZFB0MDk4bEN4RmZpN2dJT2JyeFMyYVlYbXdxVE13dmxSWEtTa0NnWDM3eGJIaDA2ejJpdkZHcVFLUTJGZEhJVFduNEh0aGNGY3Q0?oc=5", "source": "The Economic Times", "published": "2026-10-29 11:52", "score": 0.771, "label": "Positive"}, {"symbol": "MARKET", "title": "Share Market Today: Nifty 50, Bank Nifty | Oct 29, 2026", "link": "https://news.google.com/rss/articles/CBMizAFBVV95cUxOTzVHQkVNVVJvd3ItZVNfcUVReFBxSXIzdVNXdnpxUF9iYUg5eURJTmlFbHN4M2hqd014d1BKOV9RdUxtTm5XQjd2TmNGU1piWU9uZUZ2S0c3WWFTcnpoRTFQYmN4T2ZLNWNadndEY0h2OFMzXzdoUDU3dXB6cEhhcG45dEdVLVdvanplODBFTnJod2JiWi0zaml0S1Q5MEF1LVFfajRXS1hoakRDZk5jZ3N3akYteTB1RUloODg4UU9aRDZvRUg4bW9TMDA?oc=5", "source": "Liquide Blog", "published": "2026-10-29 11:41", "score": 0.66, "label": "Positive"}, {"symbol": "MARKET", "title": "Sensex jumps 905 points, Nifty gains 238 points as markets stage strong rebound", "link": "https://news.google.com/rss/articles/CBMiygFBVV95cUxNQkR0eEdvajJ2ZVB6SjltUGY0ODdUZ1BYZGxjb3Nfdjd4Y3hYMVZ3MlNqU1BBSmsyQ05fWDVFZ0s1SEd5dmg3ay1OdnNrT0ZINnVfVnU0dzJodXg5ZzBvejZRY2pMb3RBREYwMGNIaTdwXzZsZXJkOEIxUFJxVFRvdjgzVnhfMGdOTVNUVDFmOE4tVDVvM1lZNHlHNlZ6cTNYa000YTVTM19qV1VFek40RVUxVUU4WXhWZjQtV3Y5REdrN1V0VllxMU930gHPAUFVX3lxTE5pbk1LaDNBZDF1WGstdlROOUVfSXBQX2FuaE5FTzVQOEhCNHh1UTdEdmtua3JzLUY2RDRBYkJ5Z0xLRVdRMFkxZEZlcTl3cFZLSXZuM0VBOUw3SDYyazBGcVVyZWFOTVhqRDhteTBnTVc4UzBENXk1YXZwcVY1V19LZ0JVSWV0aGpfbDY0YWwxN1ZOVUlQeVlaTUNhY0NuZVVkTmNvZ2Z3VG1QUk5yd2p5VzdyRTRYUFN0Q2lYejd6cVF1YVBGQko1TzhuOGJxbw?oc=5", "source": "Telegraph India", "published": "2026-10-29 10:56", "score": 0.872, "label": "Positive"}, {"symbol": "MARKET", "title": "Sensex, Nifty see sharp recovery; is the worst finally over?", "link": "https://news.google.com/rss/articles/CBMiwwFBVV95cUxOOEJuMmFvQ1BDSEJEeUIzWTZSdDJ1cGtQZW0ySm4tM2xhM2xIQlhIUHVJUXNFM1pyMGpUMlhQeXIyZXhDT2VLcVRFc3ZfOGVIUTVQMEwwenIxLVF5eDZfRk01VkdBYWN6cmh6Z0dJYmtxNV8wRDdOM0FBOV9QbHluRWFhUkRwalVsM3ZyX19fajBId2tiUmFRUEY0VUkxaVpyOE00cXhXTS1ueFRCRlpacUZYWnNJcFRSMmtQX2ptTXVfT1HSAcgBQVVfeXFMTkhyMVUwVHBnRTl3RUY4U1RJSHNacGtrVEhNbnR5bjFVak9yeTBfWHlqMXZjaTFLUFlFNUtQM1FjY2ZJdW13WFdYR2M2WmppQnBiOTZ2WTRJUG9mNGExOFVxVXJ2OEg3aHpBRmM5eUJoUHBxT2VrUGcyekRPVm9VZFlfX0JuWTFydFlPYnR6OEpscUdPNHcydU9KejNORW5Jd1N5UGh6TGxidWgwb2R2Q01ydWVJVF9Dckd1X2FETVdtVmUxdVd2Tks?oc=5", "source": "Business Today", "published": "2026-10-29 10:50", "score": -0.34, "label": "Negative"}, {"symbol": "MARKET", "title": "Sensex Soars 905 Points; Nifty Near 22,940 as Markets Rebound", "link": "https://news.google.com/rss/articles/CBMiyAFBVV95cUxNTEctOW5hZk9uc1ItTjBmOVl2NmRMZlViRF9VWG5fZEdSMnQ1YU5OSEhTcXZ4RU0yMF9XSDZZeDJQbHprOS0zYkxOSW9scjBCeDlJTTF3Wmo0TDJNWXFTMzNWVUJhZFIxQmFMSmo3Tjk2Sk95RFNzVS0tbDdQWnM0RjlhdnliUldJWGh3c29mTUk3Y04zbExYVno2TDBVdTdka3VvcktuTXlYeWFBNDhDbGlWT1VqVTJuUVQ3YWVoZmRBa3dZb2V2Sg?oc=5", "source": "HDFC Sky", "published": "2026-10-29 10:46", "score": 0.727, "label": "Positive"}, {"symbol": "MARKET", "title": "Indian markets stage a strong rebound, recouping yesterday\u2019s losses as Sensex surges over 1%", "link": "https://news.google.com/rss/articles/CBMi2wFBVV95cUxPNjhqLWVyaGVfUDI5aXNGT3VhMUNQc2wwQVQtVnA3S29YWVc3ZlpRVmQ4WG9JUHBZVjhpOVpIYi04YVBlMmVuMF9ZOXdHM3pfUGNSS1Fzcm05dnQ4Z1ZPN3l4WUVTMlRZdlVRcUQxUDVVdmE2RXg4aF9wcGpYZmlnQTNOVG5zUmJ2OVh6a0dOTjFKY3h1WC0xOU1qd0dZUndxc2NjRUxGNE13cVd5dUJGTTZhUUh4Vnlrc29vRHZmTW4xQmhwM1FpWVJTQVlNYldZRENhTDZWcW5oYm_SAeg</t>
        </is>
      </c>
    </row>
    <row r="4">
      <c r="A4" t="inlineStr">
        <is>
          <t>BQVVfeXFMTUlaeTNneHFjNHF0a2Y0cWpyeXF4QzNSdDBRWFlKTmptOTN6VVJ5MDR3X0pjajQydzZRQWcwNmhKRmhuUXA3T3U1TUo5WDQwT2l0OVV5ZVZ4UGJlVVNtT1luR0plcTBaU1p6dDdqYm1oSS11NEJ1bWR2eGFlcno3eF94U0xOV2Z3WjFVTk9jMmJOUUhlNkZzUjlYekp0VkVaWW12M2pDUlZKbGJUaWtiZFdYVmxPV0x2ekZoX2ZpbU5RMFhZXzNzbnZlcjVLOGFrMTVjMU92VzNZQTFUNDhzSGRpWlQ5cnMybQ?oc=5", "source": "The New Indian Express", "published": "2026-10-29 10:42", "score": 0.459, "label": "Positive"}, {"symbol": "MARKET", "title": "Sensex Today Rallies 905 Points | Nifty Above 22,900 | 5 Reasons Why Indian Stock Markets Are Rising", "link": "https://news.google.com/rss/articles/CBMi7wFBVV95cUxPdmVRUFJReXJwV3FPNWs0U21MRjBvOHE4eGxuMGpOWHpFWlVSSU90WHFITUwtQUM5VjJXQzRGY1RLb3A1UFEzS1l2blhJTUlnaEhxS2ROOVQtNDNNUUl2TGZSajc3ZHh5MG9VdERpbWF4LTRfSFdvS1JxVU1BYmZFdHo0WW5hZkdkam1sbzNDUE51Nmp5NnU2QWlZUFFzYWt3SUR2SW5xTGtFRDdkSklUaHVNSFh5bG9STDd2Q0lRamxfMDlEc2ktX295clRDZVRvN3kwdTBmMVgxV1FKSTh3bW1MLUNVanV3ZXBYQWd1QQ?oc=5", "source": "Equitymaster", "published": "2026-10-29 10:39", "score": 0.691, "label": "Positive"}, {"symbol": "MARKET", "title": "Taking Stock: Markets rebound sharply; Nifty above 22,900, Sensex jumps 905 pts as IT, FMCG, banking...", "link": "https://news.google.com/rss/articles/CBMigwJBVV95cUxOXzFMWXRnalBiNzZsclZWenNqSHowWVV6S2FERmkzNVNwLXBmNzF1c2d6ckVTbkktVlRjUks2VEJFdm5jLU1NXy04MUNaLVE3X0NzU3ZIc2hJOTUxekM2a1llTTZBd3BiNFFFRndOZ0NEZzg0dzcyam96LUpsUnB0dndBa3VndXFvajl1R2JrSl83TWdxVzJITkwwY2UyQjdib2stWUVwSF9FMmc5eG9vZGRtNFdwejNZUmVTeEdsb0lyVVlXOFVRYmZlLTFkLTVyTThFekVvcHgyZXFYOWZCNDdhdzJpVi1YVUFWMnNlMUM5UFV3SzlGMHZFbWVFZF9CQzNR0gGIAkFVX3lxTE1xMWNrVTUzbjlORGN3R2hOcU1qYjFIeW9UMGR3a0FSQUFLTFpnUzBWb0w0UHVxU0tVenQ5V1ZEMTNIb1Z6bGhSenNLblBleUpQckp0SXBuTFpIX1FSNWZhelZxNWtZRVZrMVJ6MTcxbkZ3b3B4MThKdHZXY1M0bGVrcENTd0RrUkMzQWlPemQza0N4bENUZWtOaWl4U0g1Y0JZc0lWRHJJVkpXYmxYal9TRnkxU3FxYnFIdS1WTmlWdzZjWWlVNGJuVjJtOTgxY2x1RURxVXUwTWQ5d1VFXzF1VEhJMlg2NWZkVEl0d1pab3JmMDNxRjFXSlRFSkQwUmVEbGpvQ3d6VA?oc=5", "source": "Moneycontrol.com", "published": "2026-10-29 10:11", "score": 0.691, "label": "Positive"}, {"symbol": "MARKET", "title": "Sensex jumps over 900 points, Nifty inches above 22,950; Reliance, Jio, Adani stocks lead gains", "link": "https://news.google.com/rss/articles/CBMixgFBVV95cUxPQVZrakE3dkhQQVJoLWlTOFk3NUkzSkVhaUJQSkNIR0RVTkpyU1k0ekpCc21oSXhSc2J4MS1ZbHNBSWQtbVhuNGw4WGw0S1RHaTZsU2dqUDQ4ZzVzUHJFSVRpWFdRRzg4ZTFIOVV5VmxfVmY0cXBjV09JWlRLYXhBbEMtSEhQcGlGQzZvdFMzWEllQ0RGTXVlYXZVMml5cnVGbVVIdXNudHNTVlN3ZnVoMlljTXN0TVJ1N2VQa01xUHVRNkZCVlHSAdMBQVVfeXFMTk4xOG9rOGlGVEZVWjhhUEx4X1llNENQeEZHUy13eC1XWjlvY21zZGRWNTdmZTJHTFU1STlpUXZHTFJVOWt2R3FsbTk0cmM1MDFYV2tzdDUyUUVZUTZJVDdqeWNfbFZwZTI0V1RqT3lGT1RkaDFlUFhDd3NTNzdKaUtZVU5OZHpEWC1GU3hxckNJWWI3c3ZDWmM2b2g1cVpaWTBsRTJQVUE2NXlZQzh2QVRQdlZ1RmJKcG9SM3FhZ0hiVGxPbFYwT2tCczd6YVpUTUlqWQ?oc=5", "source": "Fortune India", "published": "2026-10-29 08:33", "score": 0.807, "label": "Positive"}, {"symbol": "AEROFLEX", "title": "OnEMI Technology rises 5% after Q2FY27 profit doubles to \u20b9125 crore", "link": "https://news.google.com/rss/articles/CBMi3AFBVV95cUxNbGlvX0FHQ1JfUEFBa3FfTlJHN01rRC1VSUpYYlN4TFpGVGZMb1d0akNDNFBWNWVQVFBCOXpqQ0FoUm9uNExvd1UtMkxiRVNGNnc3Z0N4Ymk2a3FkR1N3bTNtYkxxVlkwNHdRbEFfTTQ3NXA4VWlCcE01RTZFZTBTbGVsd0dfRmllMDdnbHh1RXpIY0cwSDFVaXVKX0R3dG5kRzdxbVFtZlgwZ3NfMWdpS3RBa3gzREJwTWdyNEIycXFBbzk1YjQ1VS15SE5zemRNYjBjZE5kTXlNWVM50gHiAUFVX3lxTFBrdXI4MnRhaDVEVV9JaW5ibHQtN0Nnc3M0RHd5OFQ4RVp5VGJ1QjRIZXBnejB1ODZFZndtNU1RM1lqUW1FYVhXVGJsc09pT3JpZjhOaDBoX3VMU19LYXdaS1J2TjNVN1FvczdDNUdTaFVjTDZCVDUwNEp5RVoyeElWRWJFdFdLN0RrRFR3ODlXUm91TVYyR3ZWaGRKWTVraWFacDFOOTZaa0xndEtZM1lsaXVTSG9GUkg5SWwyVjB6eXBvdnh3ZmpzUTJ2ZzdQVUlNbnFhTGVhOU5aczdqU1l0QkE?oc=5", "source": "Business Standard", "published": "2026-10-29 08:32", "score": 0.34, "label": "Positive"}, {"symbol": "MARKET", "title": "Stock Market Today: Why are Sensex, Nifty rising? 3 key factors", "link": "https://news.google.com/rss/articles/CBMiqwFBVV95cUxQd2ZpdWNMN2xVa3NjdUc0WDFvUGNhdDZkVUhOZGQ0dm04T0s5R1Q1cHJyVE9CVDF5RXk0V3UzT1lTSFRCYTJfTXNEd3NyRVRrVU5UNUEtbnpPaE1Ycm45MjVmWERFMnR5X05pQldUUlIwVlA3QjQ1Qmh6ZG1Ua3JQVUxRSDBKbjhIYlc4cjVJNmxsS3ZsQV8xZ1VoOF9Ed2NlR01LWU0zcDhtaWc?oc=5", "source": "Zee Business", "published": "2026-10-29 08:03", "score": 0.402, "label": "Positive"}, {"symbol": "MARKET", "title": "SENSEX jumps over 500 pts, NIFTY above 22,800 in noon deals; Power Grid, Hyundai Motor, Jupiter Wagon among buzzing stocks", "link": "https://news.google.com/rss/articles/CBMiiAJBVV95cUxPdnJnbmdzc1NmZ0hiWGxTdWRUQWlaNmdGS0l1U2NrbktXbjBfMldGNmREeVlrakdOOTJQUHN5b0JLUmVYbzgxcWZZcGRmZER3OHkwVS05bGE2YTdkaHFjdDEtYVRaTFFaczBuZ2tPRjd2TlI3b0F6OEZFMDlqT0JDd041b0Z5SUlVOG5hYjVWVk5nd3EyZ1d2UWxORlZnSUtPdllmbU1TcDIxWWVsTnI5Mjlrd0RxRE0ydkNNTUVuZHRJZk9pWXNQSDIwUnlKQnhnNkxRbFhsRHM2TXZNcHk5U1h5UkpwaHZNZFlwWUg1SDhkcWJtR0JnNTkwSFFpRENHcko3VFduRHY?oc=5", "source": "Upstox", "published": "2026-10-29 07:59", "score": 0.753, "label": "Positive"}, {"symbol": "AEROFLEX", "title": "Aeroflex Industries shares rally over 17% on strong Q2 earnings show; material costs jump 120% YoY", "link": "https://news.google.com/rss/articles/CBMi7AFBVV95cUxQQWlWYm1LaHBiMlF4V1d2VEg1UW1NY1FUWHlOWDFRTjBlMVVZNFlNSzBsWjB0MC1TeVRnbS1OZ2tvUjJUWkY1ejlnQXd6Nm44U21MZ0JmOXdsb3hhc19felBvbVJBZW1XMkFNeU1QSU50ZFZPUGs5N0Y5MlR0cVJDNjd3S2wyaF84MG4wQ3g1ajFSOWxTc2pqeGZOWmRoQmE2cHhOeFVodGdGOHBkLXRfNmhkNE1hdFNjcVlkVlJxX19JeGo1V1FJMjFZZUFJOENNMDh0U0pnaW1uQnNoLWJ1SnF4c1FiWENYQldTRg?oc=5", "source": "Upstox", "published": "2026-10-29 07:48", "score": 0.813, "label": "Positive"}, {"symbol": "MARKET", "title": "Sensex, Nifty Rise as Reliance Industries and IT Stocks Gain; Crude Oil Limits Upside", "link": "https://news.google.com/rss/articles/CBMixAFBVV95cUxNRXNQN3ZYVmxrczhYNV9wVHBZTVJ6bjFaY29LT1kyS08yQmd2MXlweEVaQUduNmhhWDBqTVlhZVpKb3dZdHdkdHlvOVRhY2toLTFRajBQMW1lMS1rZGpUaEp5WDJuaTJ1X2M5UW5LM3k0bFp5SkM0TkVwWTViYS1RMlFNcWk5SkVHbnVLbGtxYVNuNl9OanU4Mk5Ja2tUNTVBUDFSVVZ5cFBsQ3pncVZneVBQS3hTV3N3TEhzVm1hYldRLXc3?oc=5", "source": "India Infoline", "published": "2026-10-29 07:05", "score": 0.494, "label": "Positive"}, {"symbol": "SBC", "title": "20 Best Stocks Under 50 Rs In India October 2026 For High Returns", "link": "https://news.google.com/rss/articles/CBMidEFVX3lxTE92U3Fjd2lHOGFGOGZCWE1YTDJpVmo0TktIVk5LUkx5NkE2R3B5M0Y5VjBmZWRYS25aNjB3SlhWMVFVUVNrRVZQX3YzM2FiOHg4b0FhN3kwY1dkejdFWWtFd0dNNlEtRVh4TjNLQnVzRFJWa1ZO?oc=5", "source": "Samco", "published": "2026-10-29 06:51", "score": 0.718, "label": "Positive"}, {"symbol": "AEROFLEX", "title": "NSE: Growth levers, easing regulatory pressure underpin Jefferies' buy call", "link": "https://news.google.com/rss/articles/CBMi1gFBVV95cUxOWDh2RDkydGlLckd3VlBaTWo1NzZfQ1UwRUZzaDlleFQwQTR3MmdmQTlxWkIwTnpFblRKSnVLaHpxSUNVcnpkTmVxZFhuTWdQc1pKTEJJUGZqYnBOWjNVcVNzT2VTa1NLY3VmYXhpQU55Qkd5eTJjMmFWZ2JXM1dmTk1LeEZPQndQdjZadnRmS2pkbV81V3htOXVwUXFXcnVDNkM2VU9PNzR3VzhLUUpyWmw1dUtmWlVPN09BYzlJSEIzZ0RGc2hEemJNcUlPa1hnZFRMaG9B0gHbAUFVX3lxTE53SVEzdlA1N2syc1RkZHBqMW9qcng5UmpVZ1lMczg5VkI3VmFTTzFZckxIVzhScTZZUDRGc1Q3UnlwYkUzcmQ5ZmlaSGJ3NmJBanZxUExPSzdLVlJ2UUJtYUhZNGVOZ0x3c0cxcFhkcVBuOVRjSnJkTS1feGRqN2ZQMU1MaGtJUy15dlRwdnhmT0lSalh2YVN0WDFXWkhIMlJQZVh4RUFja0pDNzVxRHV0eWhTeXFWMTBBcGhTbnZUMG55aEpST2dhZFlocWUxdGl2RVJjMHVEYzJHUQ?oc=5", "source": "Business Standard", "published": "2026-10-29 06:44", "score": 0.542, "label": "Positive"}, {"symbol": "AEROFLEX", "title": "Aeroflex Industries (NSE:AEROFLEX): Did It Publish Q2 FY27 Financial Results?", "link": "https://news.google.com/rss/articles/CBMivAFBVV95cUxOUDdIXzZMbXllYVcydHVDazlNYnJkSm05eGt5eFBtTzEzWDBsOWpiUG1IdjFPaHVwQjNRZm11Zl93S211VmhlaWUxaDNMTmVhaGV3RkhkRnFFYU9rb0pCcWlFRDJHVmtLNXhmVGV0R0ZXbUNLajlVZlZsZGhMZkZqWjA5NEFlbVplSjF0cGwxTE1ob2FzQjFkem9nNkRhdEtzX2tqOUY2SXU2dEhaWVViTDB0QjVwWWw5UmRBdg?oc=5", "source": "Kalkine India", "published": "2026-10-29 06:42", "score": 0.0, "label": "Neutral"}, {"symbol": "AEROFLEX", "title": "Aeroflex zooms 18% on huge volume, over 31 mn shares change hands", "link": "https://news.google.com/rss/articles/CBMiygFBVV95cUxPM0hjTzhyVzdyUnJfQnc5eFZFNlRQbVREa2s0S1VnRFc0UlUtVzRrT1NCa3hHaC0wVXM3RjVRNE5wczd1Tk9idzk2OTY2MGQwUDJCNHFlVDQ1el9RWGl4Zm9sd1pJOU00T2t1RU1ZMzRHeXZ3YzNEWFlFV1RmTUFsakMxY1ZINVFONGxJb091cFhtbjV5QVJfSDVjODZHeWhxT0piOW9EaE9SZlVIcXNMS1JRcFNLbkxxOURKUUxKRmo1N0hPek1TNGNn0gHPAUFVX3lxTE50REw5VnZCd1NnOE1DMUVBeXJuQnpKOWlsNkZnMVNhTmlkZjY0OTY3bEhMaDBnNmdNRkNHdDVEdzhua0NCRW9sdGhoVnE2LUpuYVpJY2Ywbk1vTnlBY3REVHJoT2hIOU1yWTVrdVlDZ0pLZnVTNldwcDZ6dUNYRW5yblpqS3o5NWpDVlByeW5xS3o4ME02NTBZb1Y5VzdTZEloOXR1T3VzaTZxU2cwYVlGMGJIcEhsdVNrUmREYXdDQjRkOUJRV0hPTnMydVF5cw?oc=5", "source": "Business Standard", "published": "2026-10-29 06:38", "score": 0.318, "label": "Positive"}, {"symbol": "AEROFLEX", "title": "Aeroflex Industries Share Price Surges 14% After Q2: Profit Jumps 157%, Why the Depreciation Change Matters", "link": "https://news.google.com/rss/articles/CBMi3AFBVV95cUxNanpjQUFtMlRJTE9VYkRiZHVsdDd4bzhuRTd4MlpDd2RvRzZYTDN0UzdQaDJwcEQwaWc4cktjUzRPVUFBN2RRY2czNlhDRVJ5WnlDMHdyTmpUb2J1ekgtZ3RwcHVJYnptZVV2dWJxX0xuRWU1UkVVVjBmOU5Pd2FBMWl2ZkV6TFlodUt1MUNwb2dRNG9aaTRrenRrU3g3ZnE2TXFWU2NHUjYxUVJVOWpYRG5RdUNRMUdvSC16ZGtQb25uZnVNd1BPZHBpOE80MFNMYy04SS1TaGVSNWtl?oc=5", "source": "Univest", "published": "2026-10-29 05:29", "score": 0.827, "label": "Positive"}, {"symbol": "MARKET", "title": "Why Is Share Market Rising Today? Know Key Reasons Behind Sensex, Nifty Rally On October 29", "link": "https://news.google.com/rss/articles/CBMi2wFBVV95cUxOeE9MZkVEWTFFS1VsUjNNTFU5ZlRHVFdZaWpNSnYxd0Z3RVUxVU44d0VYai1fVWVjQUZOb1RaaTNfVHFSSTNvUFdUNzdwbXI3NWVIYk1SaDRkcGJTdjQxWEdvcVZnZTk2c2psZFRQUmhvVHlpM1ZmVHFvMUpRT2VSZHFnaF9BT2VSc1EtNUxNWVNNekg4ZUVqendFR3NwTDJVSENkaDhncHNmdlYtSGRtWXY3bUxCbDZMVG9yNmh3QlNMSVphWG5iOTF0N240Q0JiVGg3Nzh3eXZJeU3SAeABQVVfeXFMT0RuVlF2YUh6LUZlVTVLRUxEbGVrZHJNV2NLRGdEdVktSWx1UjdYSkpfU1doZFlrZnNCYmRrMmhyWmRlVlhOZ1N3YVdHZlBIelhzbFhuVEJOYkFsQ1g0cHhWOF9sWGlCUDVlY0g0Tm50eUxmWDdtTUpGbllCeUl1anJiWmI1UFJtcURLaXhiNWIwUTFwdFVDM1RMVk9CLXMxOUNIYnpMSi1QNEtzRHRnN1VzVHVzdG96VVktOWdNaGR4Yzl6UUVZdDBzeGVxVVd4dmwxV1I5Z2FvVThNQXJhb0I?oc=5", "source": "News18", "published": "2026-10-29 05:25", "score": 0.691, "label": "Positive"}, {"symbol": "MARKET", "title": "Sensex, Nifty rise in early trade on Reliance buying, foreign inflows", "link": "https://news.google.com/rss/articles/CBMiyAFBVV95cUxNbm9FWDJhbHFCMEpNTC1uZ1dtTWhHd09pYzd6N0s5aTJfclVMU3hmTmVoQVQ4UUxiWXQ2THJ6SkxJSDFIVGRfT3VHZFktS0d1M09BQzIxc1Y3OHE4Vjg5TjYwYjJ6UWpSRk9heE0xdWtSTThObUczdk51dEJmMUlZeXI5eExPQnF6OHp5Z3lna2RhVG9LemNROEkyVFBYUGVwZS04MWxzZkZqbjlpRGd2ekFXZzJ3VHB1YkpOeTBpQ3dabmtjOUFXdtIBzwFBVV95cUxNUm83blpBb3pITXIyTnhpekdUM19lZkFHR3pwOVlxaGRZbHhZeVJ0akN1MW4zSk9EdjgzRl9sUnZUMy1aWkVDQTJJaVJYeVI5SHdnYUVwM3VseEdjNkU2aDU5MlZrdkw3alBCMFlROTRBWVlGMnBHeGFhZXhxSFFRdzU3MjZzSS13djBVcXNpSDVvSlNtSVNkT0JPTmg3SkZ4amFZMFhYTG5uVjN0ZlNmSy02VnUzWlBEaWhZUFlhQmJYakZJQVUxZFJMWnRDZDg?oc=5", "source": "The Hindu", "published": "2026-10-29 05:17", "score": 0.402, "label": "Positive"}, {"symbol": "MARKET", "title": "Sensex, Nifty Rise on Reliance Buying, Foreign Inflows", "link": "https://news.google.com/rss/articles/CBMipwFBVV95cUxPRVNVU1ZRN1V1UUVLcGhjaHU0VFhyOWtyM3liZjJRMktZZ1dyVnk2cVphWFNPUnZLMDlBLW1kLUtid2RoMnpfTUdUZnNid002YVNDWkRqYWFPMHJDVkNzNHlZZGVPOFh6Tm4wRjI1UWtDMFV4cmI3b0l4WHVGRVliMkc2NUVGNHFqOUtKQV84UFgtVTlSa2gwanZxM2k2d0M3RkZQamhoWdIBrAFBVV95cUxOcFR0UC0yTjN5THRxNGk0cXRiaURuZXZhanBvUFNiMW5mOS1TSS1WbTc2TXcweE5IMFd3U01BeTg5R1FKelY0eUhIYVJibUxZNmE5WUtPeWlwQ2ZmUFVEMnNmUUZGT0luS0d5YkNydTcwMFNvOTBHdzctWkl5MzRuNElfU0M4QkVabGtEYlR0U294NFBxNFpRWGs5blc3elZFa3QySy1SdkN4VGNu?oc=5", "source": "Rediff MoneyWiz", "published": "2026-10-29 04:58", "score": 0.402, "label": "Positive"}, {"symbol": "MARKET", "title": "Sensex, Nifty Open Higher as Fed Holds Rates; Oil Dips Slightly", "link": "https://news.google.com/rss/articles/CBMi2AFBVV95cUxOWmtQMEZ5NFEwOHMtVlFJWGFKY005a2RTMWF4NlNNcXFQN1RYMmNHeDVVbmx2YlA0Z0xSUGs3aWZlUUJqVmpDMjhOU1M4enFVbFhTOTZEWmZVUFFUZ2JHSzNmRU5GaDhlQjRNUEpuTUd3aFI4MjJYa0tXamJUU3RXQmlJYXFRc2ZVU2UwSkIyNXF4SU5HRjhlZ1UwUktObGJjU29FRlBTSDJva29XUlVudGd5NldOcmxaTU14OFhsTi05Q2V5NEtFQXY5T0MzQnF2Smo5SWdTV1o?oc=5", "source": "HDFC Sky", "published": "2026-10-29 04:44", "score": 0.402, "label": "Positive"}, {"symbol": "MARKET", "title": "Sensex Today Trades Higher | Nifty Above 22,700 | Jio Platforms Up 4%", "link": "https://news.google.com/rss/articles/CBMixAFBVV95cUxPdHRLMXRySU0yU0lBdUJDU1RzcEpvM01WZjNEOXlaTlJGd2FnZk1fNUxTY2p0Q2lrNUpNOFN6UkNpc2xKNVBTYVJmRkJXaEJyX0Z0eUoxOG9kZmlic1hQaE84eWR4TU9JNDhVa243amFRMC11bjRzN3pwZHpiV2N6VlVMTEJqR2gtYmk5WExRek40TWtvOGtvcHRhTU14MGhaYWtsZHBianlEajd0dnFGdElaR0FIbmQyTkxMSHhjZG1nUTBL?oc=5", "source": "Equitymaster", "published": "2026-10-29 04:35", "score": 0.402, "label": "Positive"}, {"symbol": "MARKET", "title": "Stock Market Highlights: Sensex Jumps 905 Points, Nifty 50 Ends Above 22,900; Adani Stocks, Kotak Bank Lead Rally", "link": "https://news.google.com/rss/articles/CBMi5gFBVV95cUxNd2cxcjN4THQ4TFZtR2FweWRJR1BWYmpUcDJTZlRBVWZEeGZYR3R5RFNsYmFzM1ppNlN0Ykw4ZDdZR3l1Y05qZWdjZGpHOEt0QWZHcWFEQmVEc2RkMzl2cFZGbzV6eWFsZU42Nm1YUWZ1QTM4QVZIWmttM056VDhidk1sNmQ0Z3FDU3V1T3c3THFrTGloTjVUU2FHN3pKRUlfXzk1NkhzWTBmTWxWdGk2OVRwTWlLNmpLb1ZDamdaYVFwNHBtdzJObklHbXVEYzhCZHowY0o0OGs4WC1OTDl4WnVtUS1ld9IB7gFBVV95cUxObXhwRThRVnFsTlU0c3E5ejlpZEV1TTJ1QzBWd1JraWdFVWdaMjgwV2p6UUZGSGx6U0Rrajd6cjRlQUdocWczWDUzcGhpSE9YQ2g0RlN2eGg4M01aUHM2TzdPMm1Id1BqVS1pTnQ5eEl5MEZIaGQ2YVBRYlZ2ZU9hdVVkeGJ3NVVVQUpuRlVKQy1MdDl5SHdQUzFhM1A1eFdOcWVKN0k0cmlJOHN2NlNoamZaNlZIWF9GQ1JMWHRFM2drU3FTVERXX2ZYYlFUOGo3dmpVN3N3YUFNV1pTbzJwQUJkUnRLSFV3SXBFZkFn?oc=5", "source": "NDTV Profit", "published": "2026-10-29 03:51", "score": 0.827, "label": "Positive"}, {"symbol": "MARKET", "title": "Sensex, Nifty trade higher after US Fed holds rates; crude oil remains a concern", "link": "https://news.google.com/rss/articles/CBMiwgFBVV95cUxNQXViREYtTGFhN2E1dTNudm5xR0VHZU1kakd2WHZiNDZXV3VvWFRhVXVvUlAxU3FEVTlmeHdWbjc3VFRvVmNvczJwTkVPbldUejYza0FYcFBDVTFrWHVtS2xLYXhPNjNkLWRmbE5wMDNTbWY2Mm92UGNhZDhaNUdZSF9GODkyMjhselJ0eDVQbGpscENobHRpWkxBU1F3R2cwWVR4cDNDVkd4dWZ1dS1nRkhEQTA4WlBnZGZERndyM1M2UdIBxwFBVV95cUxQV2VVVC1qZXc5RGl2TGRPd0Y5YTFKQV9GWFVLV3o1WHpDVldxaDdWVEljWGxsTVViS2R6Q1BXNTNJYXVMX1g5NDZ5cUFiOUNjMnlUZ1NHYWlqUUhRUWl3S29FR3haNFl5OGZnakRVbmVNWjdnclA1anlWbDZ2aGFXZ29KQnJncXcyWGZjd3pCYVBmZjJDbDJ5UXFxanBlcm1kNXRBRlo0UmlQaVBxWkF6eEV5T3ZjamRZY0dpc2dHS04xWjI0NFhv?oc=5", "source": "India Today", "published": "2026-10-29 03:50", "score": -0.25, "label": "Negative"}, {"symbol": "MARKET", "title": "Stock market outlook today, 29 Oct: Sensex, Nifty prediction - DJIA, S&amp;P, NASDAQ, GIFT Nifty, Kospi, Nikkei, Taiwan cues", "link": "https://news.google.com/rss/articles/CBMihAJBVV95cUxPbGZqMHp2VC02aEFPMWpFUDdkcGlUbGVqSHFVUTdtem9scXhMSTdwRHlQNWxyeGFjd19oVUJBLWtEWXA4bGVSVFlHY3BMTzdhc2RlekgyWmpWVFBYdThfNGJqT05SREFmb2NVT3hsZ0IxSWlVSXVWXzhyeUVQYWlWQWV5OUlmdDA1dldGM1JQdjBSZEtackdibmVLVEFwdWo3M0lha3hvdTNaNEZYTzhXQ01ic3lPMlFjSWFIRHJDeGlTTVR5dUc5S0RvaW85aG82T2xwdnFoSy1yTDRWNnloQ2UxaUpWbW9xYTFHNGw4dDJZMWoxVEUtZER0NlFQa2p2NHZQddIBigJBVV95cUxOYWFiZ291M3RVdE1Oc3JKM05Nd0d0LTM3dWFHS2laLXF6M1ltczBYWlh0SUFtejJZVU9lZlM1R0FWcldBZGRvT2hyWjlBZkl0QV8wUTFqN2J3THNzUGtYekI3MU5oRUVTbklKMXp4Q3NZQUJUaE4zaUJvVXFCRDZiXzN2NTZUWlRQdkRpNWFFdDdpTi0wSTR6ejhNMXBVQWNoMFI0MzVCckFaeklBMUZINEZ6czM0YjdpRjBId1lfVXFqYWszN0tvRy1leWhDZEJZSDBQa2lzdUtIZjNqVHpFcTBJZFZRbzJTMVZkS3BKVUVERWdhWUhlQkdUWGlKOHhuWXpqRDFTbnFHUQ?oc=5", "source": "Livemint", "published": "2026-10-29 01:15", "score": 0.842, "label": "Positive"}, {"symbol": "AEROFLEX", "title": "Stocks to Watch Today: Dr Reddys Labs, Fortis Healthcare, Titagarh Rail, Hero MotoCorp, RR Kabel, Meesho,...", "link": "https://news.google.com/rss/articles/CBMivwJBVV95cUxOckZvTEdLSXpNR2ZfZFZRSlBSb251aFdLSERNTF9tTEVuOWt2a3JoVG9GWEZZa1B5VTVCZDc3Sm40VWlpZGJ0TWQzcWJNbmJjenNTcVpBUW83Mm1ySWpaYUVabmpaUHhGTmxWMjNqWWdmcHJtWWJvS3haYzEzY1J5MHg1YmVlV2FiTkZRTGNyQ1Yxb05WUFNiaDJNVjRjRHBjZHR6SmYyakpkNXFRWm1rcnpxaDlUVktBTWUtaTVoNjRjejJJUUVDeEl0ak5qWjBBb291eERuUHp2dkNNTXJCczFSaE9ycUpic0hZY2llYTFSdmNUMS1pQ3ZwRDczNkZ2UU9xMFNTLV9XMVF5Y1dCcTRfeE1aR2FqMW85ekJCMGhUWTY5ejhEd0NLT0tDTTdKR3pOVklydkxjX0pSb0R30gHEAkFVX3lxTE4zbTVMdTBDbDhuSFZpOUNZQWlQc000SVprR1hFRHIzajZFVkhEUGFRRjhXaDVwai15X2VfQUxVYnVnRW00QmxzZktoRms4UjB5N3Q0U2ZSNElMWktubjhxcVdBY0tlSldIMkI5czlWZU1QNkF5dlRINHBOa2VKakp0RnFMbUhiMzFNSHEtOHN6QnZxUEM3aHhHSF94cC1kMEtFck5QM3A4RzBydk83dHFETWxkOWFhYzltM0RPTkdMMTl2NXp0RUtsTFJrRjU4dlNWcjFTXzBYTEdQSFB3STBXY2YyR2tGNnFTTlBTRGhJODdpbDdPRVJBUlFzN0FxWnpQN05vVzVWSDN4R2ZzWlJ0bFN5dlloOVh5QWlWZWJHTGtWRmtXOG85djNCdlhNM3V4bTNSSl91QlZoOFVKSzBENVVEaw?oc=5", "source": "Moneycontrol.com", "published": "2026-10-29 01:01", "score": 0.557, "label": "Positive"}, {"symbol": "MARKET", "title": "How can US Fed FOMC meeting outcome impact Indian stock market? Sensex, Nifty to rise? Experts decode", "link": "https://news.google.com/rss/articles/CBMi_AFBVV95cUxOZFZvM3NMeWFaZWdDOXJWX3Y3dnA3RjJmMUlZNjZUU3I4RlRwemFzWjNLc2VGSXIxOThvYXJmekVZMkJDNjkxbkV0SVNRWjI2ZGdsOFctY2Z3TExhbFFKUXlfUHZXUG5RNmVtVktMLUtLVjN1WmdmM2RvQUs5b0gwVlBhbkEwdlFkN1duNURLcGJ2Ni1fSVpCdXpORXlFR1JudmYyZHM4U3RsRFpuMUxtakh2MjFMLUJKMkRoSmZmU3lSRmxhWHpNLUlDS2E2c2VGbU5fV0d1dW5jc2tpb1VQWjQzYV9sRmh4Ykk5Vk5rLWR4UkZZZFdJNW1yNzDSAYICQVVfeXFMTXhyQlhLeEtxLW9oR0lQcHoxNTBaaTdqaDgyMWVYVXhJZXlteDZGUEcwUjlZd05rUXdSRC1yMmFZWkl6ZEZZRmFiZ0dBSFBMcTVzU3ZORG82VzZ6VGVseW0yZGZxR1M4V1VLTjI0aDJfU29EZ0NqT1VsaktXNTVoeXdPNlNxYlNpSWZpOXpTQzB4c1lrb2Y3T1F1MVp2T08xaW4zNTVobVpQTmlfdlRITThka2hhc1U5WTF5cXgtXzBZdXlYbGVPT0t5OTd1MXZnTUtMWUxVRUFwbWlPWmxTeFRKV0VvNkh6U3pEUVdBZ04wSzJaN0dEWUFsWnMteWpuZzB3?oc=5", "source": "Livemint", "published": "2026-10-28 18:46", "score": 0.47, "label": "Positive"}, {"symbol": "RATNAVEER", "title": "Ratnaveer Precision Engineering Q2 FY27 Earnings Call on 3 Nov", "link": "https://news.google.com/rss/articles/CBMi1gFBVV95cUxOT0FlR3g5MTluX3phZ0tWLW1iVHAzbUh0dGFBRjcyLTBFQTl5bXkweTNIYlAtYjFSYlhBUFJYQ05VOVUzUFRLaDhwcmg0b2xZSE1JMV9rNlpuMFFDYTljQnpjdE5rMDJ2YWxGaDJZMFpCWFd5RDBuYjFvbE8xS085dmc0aktudXE5MDc5UlhCUVlQSVBtRnFwbUtwNG1lNkFVM2tWYzNLeDdHTGlhUjBXNEVMZ011Q0RJVkVoM24tWTNHWERXbHZ5U1hhOTRDQ0RmSlBFWDdn?oc=5", "source": "Kalkine India", "published": "2026-10-28 13:42", "score": 0.0, "label": "Neutral"}, {"symbol": "AEROFLEX", "title": "Aeroflex Industries Q2 FY27 Results and CFO Change Announced", "link": "https://news.google.com/rss/articles/CBMiwgFBVV95cUxNUnE1em5WY3o4a3A5REpCZ2hBWEVjVmh0SHZrdTlNcFpIaWs4cGZvWVBSeXZ5QU5vQkJHX25UMk9CVVQ0VVFfRXNuMnJWcDhrOWczYko2Q2FmYk90LWRadHFfbFRwM1hrQ2lBYmNaX3psWFp1MTg2dGdyTmtCTWt4OF9hQkdmaG1JVU13TFVaNVVrLURGOVVDckl5Z1pMenBsc3Axdmswam1ET0NLMk1MNzVubVFTTkVVR0dsbUhxMU1UZw?oc=5", "source": "Kalkine India", "published": "2026-10-28 12:25", "score": 0.0, "label": "Neutral"}, {"symbol": "SYRMA", "title": "Syrma SGS Technology (NSEI:SYRMA) Stock Forecast &amp; Analyst Predictions", "link": "https://news.google.com/rss/articles/CBMiiAFBVV95cUxOdkctWjFPZDVydlFqbGVBQmtXM184Ny1vUmw1dnFzSGNyTmNRRzd4dWVLTFZEeXNRbjRYdng5eXhaaGE4cDV3RHNBd21HeGJZYVhDbFU5anp4LURYeUFpeVV0bUk3ekF2NEtWN0NTTFRDekFwTUY5MEpoeGlobnNOWWxWMFVPVTdt?oc=5", "source": "Simply Wall St", "published": "2026-10-28 07:00", "score": 0.0, "label": "Neutral"}, {"symbol": "MARKET", "title": "Market News: Share Market Today, NIFTY, BSE/NSE LIVE, Sensex Today, Latest Share Market News Live Updates", "link": "https://news.google.com/rss/articles/CBMiRkFVX3lxTFA2eURra0RNN0hZR0ZxYmMxV00ycGZkVS14M1JaTGFnc2lGeVdLS3NUaDQ0Q0pKSkpLbDcwMUhQN1lwcHJNbmc?oc=5", "source": "Livemint", "published": "2026-10-28 07:00", "score": 0.532, "label": "Positive"}, {"symbol": "SYRMA", "title": "NSE adds six stocks to F&amp;O segment from today, October 28: Check full list", "link": "https://news.google.com/rss/articles/CBMiugFBVV95cUxQcXRqZ2VkU1BlRnY3clZsRkEweDlZOXdLYUFpMmM5QUc2eVhULTBmaXZNOTJaM1ltRkMwY1g5NUFSSUJibzdac2JSeV9pLWlzblJuMmdwTVlRSktfNlJ4YkxfYWpVd1VMd3JLel9hcGNrcmZJQUJsYlplNVMtQXNROC1CZTBvOE55eXpUSnhIaXNPeGt5V09rdjVEQlhJaTJDbmJlRTMxeGtONVhJbGNJb3FuSHRaWXFPMlE?oc=5", "source": "Zee Business", "published": "2026-10-28 06:20", "score": 0.0, "label": "Neutral"}, {"symbol": "SYRMA", "title": "Syrma SGS Technology (SYRMA.NS) Jumps 3.67% to \u20b91575.3, Approaches \u20b91654.07 Resistance Zone - Time Weighted Price", "link": "https://news.google.com/rss/articles/CBMiwgFBVV95cUxNeXpfQm9hem5Ed2xQdUZyMjYxaWUwd0pFME01Rmoza0E3VjctMWFyUHlBNEpNVWNaTkdyc1dBelRsbmZaWVRObEx2eXFsS2hxWVpsRGVDeEEtYmtjcG1rVHNzNllEbTVFVks2YklNTFJiUjU1Qld0bUZjVUhxN0NzYmp2dmFOc05wcmFHOFV5aVBhRHdBb2dmcERPZ2RhMEZ2UGpfeVpxZTJJV2hnZlZFOGdJcXJZN3N6X21uVDY4TngwZw?oc=5", "source": "https://www.siam.in/", "published": "2026-10-28 05:30", "score": 0.459, "label": "Positive"}, {"symbol": "MARKET", "title": "Why Is Stock Market Falling Today? 4 Key Reasons Behind Sensex, Nifty Crash", "link": "https://news.google.com/rss/articles/CBMiuAFBVV95cUxObWxhVDV4ZlIydzBlUDdmdzFaMGRMcWw5N3RjWHRSWnZKOU85V1BaM1pOVDJBU0NjcUcycEZ0a1lGdTFjT2JBU3hGRl8xV0tmRmN6Rk9pSmo2MTJXLW1sRTFEZXROZ2NyaWlOc25CajVNNlBBTWN1aTNrWk9rTDU0QlhJaUt4MHV0cDdwSUs4M1M0WEZGYUJxTWtUUDhJeUNRc1Z1NXhlZTRPZHFzZmgwQzlWQWNxeldN0gHAAUFVX3lxTE5jb2ZQVkFqMmdkV1pQR3ZUaFBnRnNEODlSbFdlOWpxNGUxVnlRTlZjX1JraXlkVlZhNjc0ektuZ0VpaVFfbkhwRFI2N3JaSEtKc0pkZ1RQRjFVS3hhQlFVSUJHdE0yODNqS1NJRXc5LU9mM19GMWc4ZjdfbXd5WnRZTWpqTDJ3eGs3NnUxNmdhOWg2S2YxS2FnUUdPOFZoQ1JBdElkQWZJaVBNVXNuRDB2c1dpSEpxaDVwWWdKOFo4LQ?oc=5", "source": "NDTV", "published": "2026-10-28 05:26", "score": -0.402, "label": "Negative"}, {"symbol": "MARKET", "title": "Jio Platforms becomes 12th Reliance Group company to list on NSE, says CEO Ashishkumar Chauhan", "link": "https://news.google.com/rss/articles/CBMi6gFBVV95cUxQVmpfeVpRbWpoMXJWS3BUZUQtMXRSUXgweXpYTEdsTERjUVNUdWNtbWJTZHFzeDBhNTdvUVpDUVA4b19UMXVjYVpNZ09HbVd1VmhqRlRfeTNrYVp4LXR1YXRGaTI0V1pOdnYyVk0wWmlrd01PazZzQzIxQndjcGdDZlBmYUdfQ3BXSEdzMF9sZExrcXRNV1NFRGFfMGo1MVZ3S0JpU1lXbmNadFc2S0RWV3JOSzVxc1Q3MzAzV25jMTc2WDY0SU5jRkthRy1JVGQwQUNDZWRSWXVMVFBKaVRINXdsUnRKdHVHX2fSAe8BQVVfeXFMT054SUVmc0J6eEdQOWs4NzBLcGRoOExnZkEzTWpwMVFYeDBHZjBnYkJkTDF4WTI1d1UwMWFheFgwQWRJTHJCb3A0dGF0b3l5R01USkMwUmtiUktQWE4wWlluU1dhRDBvbVBfTHpUNFhzZ0gzTEN4WmtXOGVzRlo5U0RBb3g3aGRwNzRQdkdqcEhyOXlYYTc1eWJKQ3d0MS1FbkJxT1FmbUc0NXlId1Q3ZmRKYWtORWRmUlQ4eEpTQjhlbkVhQ2lqRWNQdUhwaHo1UHU4UEd0c0p0bU13aEprR2ZqUEFLdE5takk0RU5fWTQ?oc=5", "source": "Moneycontrol.com", "published": "2026-10-28 04:15", "score": 0.0, "label": "Neutral"}, {"symbol": "MARKET", "title": "Stock Market Today Highlights , Oct 6: Sensex settles 685 pts higher; Nifty 50 rises 220 pts; IT, Realty, PSU Banks end in red", "link": "https://news.google.com/rss/articles/CBMixwFBVV95cUxPNjdLa1Q4STc5UFU5VzcxNWpmcHBDaXd3U1ktUkJhTUk0ZjlJRHZ6YWtzTkRhNDg0WFlELXdwLUlkMkVCYm1GUHhQNUlwazJHWlZIaVlhZmVBcGdOVHZsNFd2QUg5VXJkNjRKSzlvMnc3dWN0SjVFTnlidVVZMzctRjdEVzF4X3B0TEpUNURhcHFRV2ZMb3VDUGtnNDZhNXdIQWNlTTBHRGZPXzNkLUVXY1ZONFNHYjhqbFQwS0JqMGROVjE2bmZJ0gHOAUFVX3lxTE8wN3RPazNfT2JQaWdsVUpBb01Jd1FBTU9qYkZrNnZ2eENBY1UwSTBwOU1FWEcteXJ3RDNBME40TTRJTGdWOGxRVGl6TC1FTTkzenVWTFczZ2Q4c19jSXcyU3VfdFVwdzVZaktpa0hsRWIyZWtRbkVYcWdtWHpUTWd2MWFlTG4xVWhTY1o3czQ0RmF6NU5xTXNTRUdPZXhTNGVlT1Z6TXZHUHN0aVlmeTVBalhXdVBYdl96OGxaSksyQ19wMks2em5jNDZOdDFn?oc=5", "source": "BusinessLine", "published": "2026-10-28 01:13", "score": 0.402, "label": "Positive"}, {"symbol": "AETHER", "title": "Ather Energy shares: 125% YTD returns! Experts give 'portfolio stock' tag after Q2 results 2026 | Target, stop-loss", "link": "https://news.google.com/rss/articles/CBMi9wFBVV95cUxPYmlLLVpwT1RwQ2tYR1F6WlNVTWJ3N3h6R3MyX2ZvVlhHUjlDZVdHTHhGeVF1dnBQOEdjb21UQUFuclpzTVh6a283ZF9EWWJqb1lreEp1dzZFMEx0eVJLQmlUcXc2elo2SEE2c3ZiVEZLYk1sLVJkZ191cnZOb0QyT1pBSUxfR1o2UkRoMlN5dnlnWklGMC1OTVp0bmlNaFJwdW1JOUhFdkg1TWlIZl9xUUwweTlfUThhaE9oeGstZ1ZnaUZGckh0b2xsSldWb3B1Um9MUWtCUDJzTmQycFVUTExRUFdGSkx1a0hubHVjYmtLZEo1ZGRr?oc=5", "source": "TradingView", "published": "2026-10-27 12:08", "score": 0.457, "label": "Positive"}, {"symbol": "CPPLUS", "title": "Aditya Infotech partners with Ranveer Singh as brand ambassador for CP PLUS", "link": "https://news.google.com/rss/articles/CBMitwFBVV95cUxOYV92ZHBGUmxnOU0ydGQwSjdwUnBLNFBuMHdjbGhLSWpRYzI4ajM2dEFIVW9lQkV5NFZOdzNYeFJtS3pISkZXMVZET1p3aWZXQ1N1cU92OUNMa19wNGEycXF6Ykw5SlJ0eGVreTZZdW9UTktVbTFGeU5HRHpuVWpLOTQ5SWo1bTJKU0tJNUlVVzhqYnBoMEpuVGFWelJ1U09EclhrM19FeVNCbVFOUENnZ2xraFNiZVE?oc=5", "source": "Business Upturn", "published": "2026-10-27 10:46", "score": 0.0, "label": "Neutral"}, {"symbol": "MARKET", "title": "Sensex Today | Stock Market Live: Sensex, Nifty trade flat; smallcaps jump 2.5%, IT slides 1.5%", "link": "https://news.google.com/rss/articles/CBMivgFBVV95cUxNeXFmTEJhQTB3U2FSNW5IN0lub2hFVk1aSGlmU1RUUE1ITjFDcmpDTVdFQ1VJOHFzYWpqZXpoNEVUbE9pVjh3ZWE2VEcybVI0VEdLNDV2WF9jbHdIX1llcklPcjFXMDM4QzZ0MXptcGtVTjdLTjlUN0pPeFhjOS1vel9YcERQWWFibVdYdzAwTkdtak9UNV9ObGlfdmVXU2RhZGNvaW9XV2o4VFlvOXFUQmd6OU9PaW5GbEhkdDBn?oc=5", "source": "IndiaIPO", "published": "2026-10-27 07:00", "score": 0.67, "label": "Positive"}, {"symbol": "CPPLUS", "title": "Do Aditya Infotech's (NSE:CPPLUS) Earnings Warrant Your Attention?", "link": "https://news.google.com/rss/articles/CBMi0gFBVV95cUxPWm03Y2s2TzZiU2ZxV1l5QTBwZTlLVXkzOFd2WlYyZ1ZiU2dEWUFneElwRG1HMUNaNTFCX1p2V3otUVhCZU5SOTlyRUNIdjZaTTh4cUVmWDRHMlg3ZDNCX0VQaEtITUpRNVBvbHRFMnJ0NjV4YjhOUHZNUFJhZ1IwRGt3UXJDeE16ck5zb3ZSN0ozNVVMc2xjM05NRGVrUjVfWlVEZGJpWGNicFNnb0NvSDYxMFZyS0FoRkFhZTU2T2lienVEZzV5WWxkeFF4bjFsMHfSAdcBQVVfeXFMTkpxQ2JGc2tYb1NXcGpqQzBib1gxRXpKNUpTcmZ0a3lkcm1oMVpBcTN5M3piTUludmVTZWN2ekRHUnpDTThqRVd5TFloZ0h2UkpScFBiWkJ1ZlhxMUtqaXdNaTU0bGhlZVFPX2wyOG9fRDhZYWRPVWxkUzRTTmZabnFpSnA4b0FnM0VDbTY1R3U0ZmJueThIU180bWtiSTV6NHhzbzd4blZsVDdSaHQwWlo3RTdDSk9iTFdqSkZKbEJhSHhzWFJhR3NkVnVzdUVXbTNUTXM5c00?oc=5", "source": "Simply Wall St", "published": "2026-10-27 02:09", "score": 0.0, "label": "Neutral"}, {"symbol": "MARKET", "title": "Indian Stock Market Crash: Sensex Falls 5,035 Pts, Nifty Drops 1,453 Pts From Peak; Can Budget Revive Bulls?", "link": "https://news.google.com/rss/articles/CBMi3gFBVV95cUxNaTRicEdpc2xjWnRrZGlDQmVHYUhyYlk5bE5VeU9FSWtwWEQ2MzFWMGtmeDJ3NFo2R0dEX3cwblVQemxEWFp0U3dwalVQTnFWOGlWb08zbGNVSlYyQzUtM244eWJPeGFXTHZMMm9RdVlHaTJqb0NJeFNiekM0TmxJbnhRSl82YWFUNlpyaWR0Q0NsMEVkb05jQXVOQTI1Vlpmb1FCZzVrcjcybUpJX1NON3dMRUVDbE9jV2FHQXd1OU1FRll5Rm40NVpkYmdlZTVpUFZ1b2dEb1VXU3FKaWc?oc=5", "source": "Goodreturns", "published": "2026-10-26 21:36", "score": -0.318, "label": "Negative"}, {"symbol": "SMLMAH", "title": "SML Mahindra Limited (SMLMAH.NS) Slips 2.83% to \u20b94,706.5 as Stock Tests Lower End of \u20b94,471\u2013\u20b94,942 Range - Hedge Fund Favorites", "link": "https://news.google.com/rss/articles/CBMizwFBVV95cUxNbV9TQktMZzVLS2k1YWJHSlJsamJtNXBFOHJwZHEtX2ZCZ2Y2azU5blNvbVpLQngxeF94SEVkb3phRXVpOUFVb2tBdFJCUkczMENNTU92Ry12WE5idExOVjFVOXZNdndUNEVIdVpFZlpvczFiT3ZtRlVDeE9ibkhleVc0dEJNWFF1ZmJpMTdMa3V2a1ZaNzBGenpNTXRxTEdERXNVb3dQbXBPMWdWMURzeXNkZHVfRnFnTkxvclhiVk1FcVBJQUlDUDNzcFNtTUU?oc=5", "source": "https://www.siam.in/", "published": "2026-10-26 05:47", "score": -0.318, "label": "Negative"}, {"symbol": "MARKET", "title": "Stock market prediction for Monday Oct 26: Sensex, Nifty levels, top stocks to watch - Will bulls dance again?", "link": "https://news.google.com/rss/articles/CBMi1wFBVV95cUxQaHNMNE94WElpelJxRFNZMmFoS1p0a2lrZUFFa2Vla0JFb2psbEVOSW5HY2pCNjZ5VzBfa1lyem8zRktLVVduZ1hlc1E0aW0yQ0Fxb0ZSUFJZLWlMd3hKZjFqY1VaOTRSNGxpN3QzbVNvaFhoX2Zyc2JueHVtRWRyTkhkalBPZ2M1dWdwU2NFWURyTmFLUjFvV3NybkJiTVpQYy1Fd1dLMlRxRHFZWGNobWpUclFZQ184OGk2eFRqUFBaWF9sT1FiUlJ2SjdpWTZCT1ktVzhNdw?oc=5", "source": "IndiaIPO", "published": "2026-10-25 14:34", "score": 0.542, "label": "Positive"}], "errors": []}, "created": "2026-10-30T14:55:17", "last_updated": "2026-10-30T18:08:40", "corp_actions": [], "fundamentals": {"AEROFLEX": {"name": "AEROFLEX INDUSTRIES LTD", "pe": 78.65103, "fwd_pe": 54.181824, "sector": "Industrials", "industry": "Metal Fabrication", "mcap_cr": 7098.2230016, "pb": 14.2838125, "rev_growth": 0.873, "earn_growth": 1.509}, "CPPLUS": {"name": "ADITYA INFOTECH LIMITED", "pe": 93.28194, "fwd_pe": 50.383343, "sector": "Industrials", "industry": "Building Products &amp; Equipment", "mcap_cr": 46739.259392, "pb": 23.922348, "rev_growth": 0.895, "earn_growth": 3.037}, "THANGAMAYL": {"name": "THANGAMAYIL JEWELLERY LTD", "pe": 35.413353, "fwd_pe": 24.44221, "sector": "Consumer Cyclical", "industry": "Luxury Goods", "mcap_cr": 13847.0391808, "pb": 9.778979, "rev_growth": 0.712, "earn_growth": 0.861}, "KIRLOSENG": {"name": "KIRLOSKAR OIL ENG LTD", "pe": 47.92156, "fwd_pe": 31.48291, "sector": "Industrials", "industry": "Specialty Industrial Machinery", "mcap_cr": 26136.82176, "pb": 7.2113123, "rev_growth": 0.134, "earn_growth": -0.199}, "SMLMAH": {"name": "SML MAHINDRA LIMITED", "pe": 46.491833, "fwd_pe": null, "sector": "Consumer Cyclical", "industry": "Auto Manufacturers", "mcap_cr": 6837.129216, "pb": 12.203249, "rev_growth": 0.207, "earn_growth": -0.444}, "AETHER": {"name": "AETHER INDUSTRIES LIMITED", "pe": 91.00225, "fwd_pe": 54.33023, "sector": "Basic Materials", "industry": "Specialty Chemicals", "mcap_cr": 21451.4745344, "pb": 8.731544, "rev_growth": 0.275, "earn_growth": 0.341}, "SBC": {"name": "SBC EXPORTS LIMITED", "pe": 77.82353, "fwd_pe": null, "sector": "Consumer Cyclical", "industry": "Apparel Manufacturing", "mcap_cr": 3149.997056, "pb": 31.276596, "rev_growth": 0.855, "earn_growth": 0.0}, "SYRMA": {"name": "SYRMA SGS TECHNOLOGY LTD", "pe": 84.51898, "fwd_pe": 50.154373, "sector": "Technology", "industry": "Electronic Components", "mcap_cr": 31307.3369088, "pb": 10.862635, "rev_growth": 0.683, "earn_growth": 0.86}, "TDPOWERSYS": {"name": "TD POWER SYSTEMS LTD.", "pe": 81.125, "fwd_pe": 47.99328, "sector": "Industrials", "industry": "Specialty Industrial Machinery", "mcap_cr": 22948.2299392, "pb": 20.810984, "rev_growth": 0.721, "earn_growth": 0.72}, "RATNAVEER": {"name": "RATNAVEER PRECISION ENG L", "pe": 18.569588, "fwd_pe": 22.657234, "sector": "Basic Materials", "industry": "Steel", "mcap_cr": 3023.4468352, "pb": 3.659887, "rev_growth": 0.189, "earn_growth": -0.097}}, "research": {"method": "auto", "generated": "2026-10-30 18:08", "title": "Stock by stock (auto-generated)", "stocks": {"AEROFLEX": {"symbol": "AEROFLEX", "name": "AEROF</t>
        </is>
      </c>
    </row>
    <row r="5">
      <c r="A5" t="inlineStr">
        <is>
          <t>LEX INDUSTRIES LTD", "view": "Moderately bullish", "view_score": 0.85, "tone": "mod-bull", "summary": "6.1% below its 12-month high: a shallow pullback inside the uptrend.", "why": "Shallow pullback, strong earnings growth, highest volatility", "points": [{"text": "6.1% below its 12-month high: a shallow pullback inside the uptrend.", "kind": "catalyst", "source": "SwingScope data", "url": ""}, {"text": "Highest volatility of the batch (70%) \u2014 expect big swings.", "kind": "risk", "source": "SwingScope data", "url": ""}, {"text": "Premium valuation (P/E \u2248 79).", "kind": "context", "source": "SwingScope data", "url": ""}, {"text": "Earnings growth \u2248 151% YoY (latest quarter).", "kind": "catalyst", "source": "SwingScope data", "url": ""}, {"text": "[Results] Aeroflex Industries Share Price Surges 14% After Q2: Profit Jumps 157%, Why the Depreciation Change Matters", "kind": "catalyst", "source": "Univest", "url": "https://news.google.com/rss/articles/CBMi3AFBVV95cUxNanpjQUFtMlRJTE9VYkRiZHVsdDd4bzhuRTd4MlpDd2RvRzZYTDN0UzdQaDJwcEQwaWc4cktjUzRPVUFBN2RRY2czNlhDRVJ5WnlDMHdyTmpUb2J1ekgtZ3RwcHVJYnptZVV2dWJxX0xuRWU1UkVVVjBmOU5Pd2FBMWl2ZkV6TFlodUt1MUNwb2dRNG9aaTRrenRrU3g3ZnE2TXFWU2NHUjYxUVJVOWpYRG5RdUNRMUdvSC16ZGtQb25uZnVNd1BPZHBpOE80MFNMYy04SS1TaGVSNWtl?oc=5"}, {"text": "Since entry: -0.36% (Day 1).", "kind": "risk", "source": "SwingScope data", "url": ""}]}, "CPPLUS": {"symbol": "CPPLUS", "name": "ADITYA INFOTECH LIMITED", "view": "Neutral to bullish", "view_score": 0.4, "tone": "spec", "summary": "11.0% below its 12-month high: a shallow pullback inside the uptrend.", "why": "Shallow pullback, strong earnings growth, stretched valuation", "points": [{"text": "11.0% below its 12-month high: a shallow pullback inside the uptrend.", "kind": "catalyst", "source": "SwingScope data", "url": ""}, {"text": "Valuation is stretched (P/E \u2248 93).", "kind": "risk", "source": "SwingScope data", "url": ""}, {"text": "Earnings growth \u2248 304% YoY (latest quarter).", "kind": "catalyst", "source": "SwingScope data", "url": ""}, {"text": "[Results] Do Aditya Infotech's (NSE:CPPLUS) Earnings Warrant Your Attention?", "kind": "context", "source": "Simply Wall St", "url": "https://news.google.com/rss/articles/CBMi0gFBVV95cUxPWm03Y2s2TzZiU2ZxV1l5QTBwZTlLVXkzOFd2WlYyZ1ZiU2dEWUFneElwRG1HMUNaNTFCX1p2V3otUVhCZU5SOTlyRUNIdjZaTTh4cUVmWDRHMlg3ZDNCX0VQaEtITUpRNVBvbHRFMnJ0NjV4YjhOUHZNUFJhZ1IwRGt3UXJDeE16ck5zb3ZSN0ozNVVMc2xjM05NRGVrUjVfWlVEZGJpWGNicFNnb0NvSDYxMFZyS0FoRkFhZTU2T2lienVEZzV5WWxkeFF4bjFsMHfSAdcBQVVfeXFMTkpxQ2JGc2tYb1NXcGpqQzBib1gxRXpKNUpTcmZ0a3lkcm1oMVpBcTN5M3piTUludmVTZWN2ekRHUnpDTThqRVd5TFloZ0h2UkpScFBiWkJ1ZlhxMUtqaXdNaTU0bGhlZVFPX2wyOG9fRDhZYWRPVWxkUzRTTmZabnFpSnA4b0FnM0VDbTY1R3U0ZmJueThIU180bWtiSTV6NHhzbzd4blZsVDdSaHQwWlo3RTdDSk9iTFdqSkZKbEJhSHhzWFJhR3NkVnVzdUVXbTNUTXM5c00?oc=5"}, {"text": "Since entry: -3.07% (Day 1).", "kind": "risk", "source": "SwingScope data", "url": ""}]}, "THANGAMAYL": {"symbol": "THANGAMAYL", "name": "THANGAMAYIL JEWELLERY LTD", "view": "Neutral to bearish", "view_score": -0.91, "tone": "mod-bear", "summary": "36.7% below its 12-month high \u2014 a deep drawdown; the trend is weakening.", "why": "Strong earnings growth, results, deep drawdown, negative recent leg", "points": [{"text": "36.7% below its 12-month high \u2014 a deep drawdown; the trend is weakening.", "kind": "risk", "source": "SwingScope data", "url": ""}, {"text": "3-1 month return -22.3% \u2014 the recent leg is negative.", "kind": "risk", "source": "SwingScope data", "url": ""}, {"text": "High volatility (58%).", "kind": "risk", "source": "SwingScope data", "url": ""}, {"text": "Thin liquidity (\u20b937 cr/day) \u2014 gap risk in a falling market.", "kind": "risk", "source": "SwingScope data", "url": ""}, {"text": "Earnings growth \u2248 86% YoY (latest quarter).", "kind": "catalyst", "source": "SwingScope data", "url": ""}, {"text": "[Results] Thangamayil FY26 Net Profit Jumps 196% to \u20b935,165 Lakhs", "kind": "catalyst", "source": "scanx.trade", "url": "https://news.google.com/rss/articles/CBMi8AFBVV95cUxNZWQxVFZva3o0cms1Y2N2ZmRJMnk0TmZzTTdLUWVuZE8taXVteEgyeDhHQi1wYUIyU0RGb3J5QWFxd2pLSTJILUVSOEZVZTBDbExkVkMtT0tiNjhGOGpubU1KQ25LQ1ZFUXkyUDZmY0FIdWZBSm96cm1vZ3R3VEtQUHFKLTBZM18tZmx4NDhNRWM2OURvX2xQQXJncWtod1ZoR3ZoV3A4bldUSkxXMU8xNlEzU2tMeWYxeHMwYk5LeVlYQ3hJeGVqMkdNYlRIQTZnUXpxTk5xZzA0aGZqNGVId0pnbTRLd3RJNWZZcWQ3azQ?oc=5"}, {"text": "Since entry: -3.79% (Day 1).", "kind": "risk", "source": "SwingScope data", "url": ""}]}, "KIRLOSENG": {"symbol": "KIRLOSENG", "name": "KIRLOSKAR OIL ENG LTD", "view": "Neutral to bearish", "view_score": -1.2, "tone": "mod-bear", "summary": "26.3% below its 12-month high \u2014 a deep drawdown; the trend is weakening.", "why": "Deep drawdown", "points": [{"text": "26.3% below its 12-month high \u2014 a deep drawdown; the trend is weakening.", "kind": "risk", "source": "SwingScope data", "url": ""}, {"text": "Since entry: -4.98% (Day 1).", "kind": "risk", "source": "SwingScope data", "url": ""}]}, "SMLMAH": {"symbol": "SMLMAH", "name": "SML MAHINDRA LIMITED", "view": "Bearish", "view_score": -1.78, "tone": "bear", "summary": "29.0% below its 12-month high \u2014 a deep drawdown; the trend is weakening.", "why": "Accelerating momentum, deep drawdown, high volatility", "points": [{"text": "29.0% below its 12-month high \u2014 a deep drawdown; the trend is weakening.", "kind": "risk", "source": "SwingScope data", "url": ""}, {"text": "3-1 month return +42.7% \u2014 recent momentum is accelerating.", "kind": "catalyst", "source": "SwingScope data", "url": ""}, {"text": "High volatility (62%).", "kind": "risk", "source": "SwingScope data", "url": ""}, {"text": "Thin liquidity (\u20b938 cr/day) \u2014 gap risk in a falling market.", "kind": "risk", "source": "SwingScope data", "url": ""}, {"text": "Since entry: -3.93% (Day 1).", "kind": "risk", "source": "SwingScope data", "url": ""}]}, "AETHER": {"symbol": "AETHER", "name": "AETHER INDUSTRIES LIMITED", "view": "Neutral", "view_score": -0.46, "tone": "neutral", "summary": "12.2% below its 12-month high \u2014 consolidating after a big run.", "why": "Results, thin liquidity, stretched valuation", "points": [{"text": "12.2% below its 12-month high \u2014 consolidating after a big run.", "kind": "context", "source": "SwingScope data", "url": ""}, {"text": "Thin liquidity (\u20b939 cr/day) \u2014 gap risk in a falling market.", "kind": "risk", "source": "SwingScope data", "url": ""}, {"text": "Valuation is stretched (P/E \u2248 91).", "kind": "risk", "source": "SwingScope data", "url": ""}, {"text": "[Results] Aether Industries Q2 FY27: Net profit rises 26% to \u20b968 crore as revenue climbs 24% to \u20b9347 crore", "kind": "catalyst", "source": "Business Upturn", "url": "https://news.google.com/rss/articles/CBMi2wFBVV95cUxNbVVVa0lsV1JvNU1BWnlRVFJSNDQ2Y3l5Z0xwZWdFS2JSTkJPbkxlN2ZfNE1ZZ2hVa0EwMVZ3enhwOGNTQ2VFRC0waFdOckhEaGJ5RDctUGg4UUEyNE9La1BweFVkeWNya2h0SFZ4WVZhZlVLTjl2cXhLaURoTkxSMXd6MHVVTmtYZk90SUx1NmsycU1KMHZKZVItNWRuR29pYy1KWTVEMWdPdGVQcHRQMXFadHJ2TFc0UEFjVGpKM2s1WTJER1RJV3Y4eU1GMmItSDNpR2hBZlRNdkk?oc=5"}, {"text": "Since entry: +1.18% (Day 1).", "kind": "catalyst", "source": "SwingScope data", "url": ""}]}, "SBC": {"symbol": "SBC", "name": "SBC EXPORTS LIMITED", "view": "Strongest, bullish", "view_score": 2.0, "tone": "strong-bull", "summary": "Close is only -0.0% below its 12-month high \u2014 relative strength near highs.", "why": "Near highs, accelerating momentum, thin liquidity", "points": [{"text": "Close is only -0.0% below its 12-month high \u2014 relative strength near highs.", "kind": "catalyst", "source": "SwingScope data", "url": ""}, {"text": "3-1 month return +27.2% \u2014 recent momentum is accelerating.", "kind": "catalyst", "source": "SwingScope data", "url": ""}, {"text": "Lowest volatility of the batch (36%).", "kind": "catalyst", "source": "SwingScope data", "url": ""}, {"text": "Thin liquidity (\u20b948 cr/day) \u2014 gap risk in a falling market.", "kind": "risk", "source": "SwingScope data", "url": ""}, {"text": "Premium valuation (P/E \u2248 78).", "kind": "context", "source": "SwingScope data", "url": ""}, {"text": "Since entry: -1.34% (Day 1).", "kind": "risk", "source": "SwingScope data", "url": ""}]}, "SYRMA": {"symbol": "SYRMA", "name": "SYRMA SGS TECHNOLOGY LTD", "view": "Bullish", "view_score": 1.54, "tone": "bull", "summary": "6.4% below its 12-month high: a shallow pullback inside the uptrend.", "why": "Shallow pullback, accelerating momentum", "points": [{"text": "6.4% below its 12-month high: a shallow pullback inside the uptrend.", "kind": "catalyst", "source": "SwingScope data", "url": ""}, {"text": "3-1 month return +30.0% \u2014 recent momentum is accelerating.", "kind": "catalyst", "source": "SwingScope data", "url": ""}, {"text": "Premium valuation (P/E \u2248 85).", "kind": "context", "source": "SwingScope data", "url": ""}, {"text": "Earnings growth \u2248 86% YoY (latest quarter).", "kind": "catalyst", "source": "SwingScope data", "url": ""}, {"text": "[Results] Syrma SGS Q2 results: Profit nearly doubles to \u20b9117 crore, revenue jumps 74%", "kind": "catalyst", "source": "CNBC TV18", "url": "https://news.google.com/rss/articles/CBMirAFBVV95cUxQWWVNajdfcWthd1FGS3dENzdIeWltVzdfWTRueHBPYlFWSEs4MHNnOW9HQnVWODIxTENyb21PblA5Y3d2Ym4zeVkza29VZ0VQSENCb3dhUVQyN1N4WFlGWnNTaUt1czBRWl9NTy01UmU0bExnQXZKMUhpeW8yUU9GT0tPbDFpeHh6em5GZzNZNzZTYUFuSkR6RlFwS0Fwcy1SQjZLSHdDdTRFaTZm0gGsAUFVX3lxTFBZZU1qN19xa2F3UUZLd0Q3N0h5aW1XN19ZNG54cE9iUVZISzgwc2c5b0dCdVY4MjFMQ3JvbU9uUDljd3ZibjN5WTNrb1VnRVBIQ0Jvd2FRVDI3U3hYWUZac1NpS3VzMFFaX01PLTVSZTRsTGdBdkoxSGl5bzJRT0ZPS09sMWl4eHp6bkZnM1k3NlNhQW5KRHpGUXBLQXBzLVJCNktId0N1NEVpNmY?oc=5"}, {"text": "Since entry: -2.97% (Day 1).", "kind": "risk", "source": "SwingScope data", "url": ""}]}, "TDPOWERSYS": {"symbol": "TDPOWERSYS", "name": "TD POWER SYSTEMS LTD.", "view": "Neutral to bullish", "view_score": 0.5, "tone": "spec", "summary": "12.9% below its 12-month high \u2014 consolidating after a big run.", "why": "Accelerating momentum, strong earnings growth, high volatility", "points": [{"text": "12.9% below its 12-month high \u2014 consolidating after a big run.", "kind": "context", "source": "SwingScope data", "url": ""}, {"text": "3-1 month return +39.4% \u2014 recent momentum is accelerating.", "kind": "catalyst", "source": "SwingScope data", "url": ""}, {"text": "High volatility (63%).", "kind": "risk", "source": "SwingScope data", "url": ""}, {"text": "Premium valuation (P/E \u2248 81).", "kind": "context", "source": "SwingScope data", "url": ""}, {"text": "Earnings growth \u2248 72% YoY (latest quarter).", "kind": "catalyst", "source": "SwingScope data", "url": ""}, {"text": "Since entry: -0.77% (Day 1).", "kind": "risk", "source": "SwingScope data", "url": ""}]}, "RATNAVEER": {"symbol": "RATNAVEER", "name": "RATNAVEER PRECISION ENG L", "view": "Strongest, bullish", "view_score": 1.8, "tone": "strong-bull", "summary": "Close is only -0.0% below its 12-month high \u2014 relative strength near highs.", "why": "Near highs, very strong 6-1", "points": [{"text": "Close is only -0.0% below its 12-month high \u2014 relative strength near highs.", "kind": "catalyst", "source": "SwingScope data", "url": ""}, {"text": "6-1 month return +106% \u2014 very strong medium-term momentum.", "kind": "catalyst", "source": "SwingScope data", "url": ""}, {"text": "3-1 month return +77.9% \u2014 recent momentum is accelerating.", "kind": "catalyst", "source": "SwingScope data", "url": ""}, {"text": "Most liquid name in the batch (\u20b9178 cr/day).", "kind": "context", "source": "SwingScope data", "url": ""}, {"text": "[Results] Ratnaveer Precision Engineering Q2 FY27 Earnings Call on 3 Nov", "kind": "context", "source": "Kalkine India", "url": "https://news.google.com/rss/articles/CBMi1gFBVV95cUxOT0FlR3g5MTluX3phZ0tWLW1iVHAzbUh0dGFBRjcyLTBFQTl5bXkweTNIYlAtYjFSYlhBUFJYQ05VOVUzUFRLaDhwcmg0b2xZSE1JMV9rNlpuMFFDYTljQnpjdE5rMDJ2YWxGaDJZMFpCWFd5RDBuYjFvbE8xS085dmc0aktudXE5MDc5UlhCUVlQSVBtRnFwbUtwNG1lNkFVM2tWYzNLeDdHTGlhUjBXNEVMZ011Q0RJVkVoM24tWTNHWERXbHZ5U1hhOTRDQ0RmSlBFWDdn?oc=5"}, {"text": "Since entry: +1.71% (Day 1).", "kind": "catalyst", "source": "SwingScope data", "url": ""}]}}, "shortlist": ["SBC", "RATNAVEER", "SYRMA", "AEROFLEX", "TDPOWERSYS", "CPPLUS", "AETHER", "THANGAMAYL", "KIRLOSENG", "SMLMAH"], "missing": []}, "telegram_sent": "2026-10-30", "pending_alerts": []}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2026-10-30T18:08:44Z</dcterms:created>
  <dcterms:modified xmlns:dcterms="http://purl.org/dc/terms/" xmlns:xsi="http://www.w3.org/2001/XMLSchema-instance" xsi:type="dcterms:W3CDTF">2026-10-30T18:08:44Z</dcterms:modified>
</cp:coreProperties>
</file>