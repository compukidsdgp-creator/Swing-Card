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1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left" vertical="center"/>
    </xf>
    <xf numFmtId="0" fontId="16" fillId="14" borderId="1" applyAlignment="1" pivotButton="0" quotePrefix="0" xfId="0">
      <alignment horizontal="left" vertical="center"/>
    </xf>
    <xf numFmtId="0" fontId="17" fillId="15" borderId="1" applyAlignment="1" pivotButton="0" quotePrefix="0" xfId="0">
      <alignment horizontal="left" vertical="center"/>
    </xf>
    <xf numFmtId="0" fontId="18" fillId="16" borderId="1" applyAlignment="1" pivotButton="0" quotePrefix="0" xfId="0">
      <alignment horizontal="left" vertical="center"/>
    </xf>
    <xf numFmtId="0" fontId="14" fillId="17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Path'!$A$5:$A$6</f>
            </numRef>
          </cat>
          <val>
            <numRef>
              <f>'Portfolio Path'!$D$5:$D$6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 TargetMode="External" Id="rId1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2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3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4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5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6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7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8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9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10"/><Relationship Type="http://schemas.openxmlformats.org/officeDocument/2006/relationships/hyperlink" Target=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 TargetMode="External" Id="rId11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12"/><Relationship Type="http://schemas.openxmlformats.org/officeDocument/2006/relationships/hyperlink" Target=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 TargetMode="External" Id="rId13"/><Relationship Type="http://schemas.openxmlformats.org/officeDocument/2006/relationships/hyperlink" Target=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 TargetMode="External" Id="rId14"/><Relationship Type="http://schemas.openxmlformats.org/officeDocument/2006/relationships/hyperlink" Target=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 TargetMode="External" Id="rId15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16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17"/><Relationship Type="http://schemas.openxmlformats.org/officeDocument/2006/relationships/hyperlink" Target=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 TargetMode="External" Id="rId18"/><Relationship Type="http://schemas.openxmlformats.org/officeDocument/2006/relationships/hyperlink" Target=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 TargetMode="External" Id="rId19"/><Relationship Type="http://schemas.openxmlformats.org/officeDocument/2006/relationships/hyperlink" Target=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 TargetMode="External" Id="rId20"/><Relationship Type="http://schemas.openxmlformats.org/officeDocument/2006/relationships/hyperlink" Target=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 TargetMode="External" Id="rId21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22"/><Relationship Type="http://schemas.openxmlformats.org/officeDocument/2006/relationships/hyperlink" Target=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 TargetMode="External" Id="rId23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24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25"/><Relationship Type="http://schemas.openxmlformats.org/officeDocument/2006/relationships/hyperlink" Target=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 TargetMode="External" Id="rId26"/><Relationship Type="http://schemas.openxmlformats.org/officeDocument/2006/relationships/hyperlink" Target=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 TargetMode="External" Id="rId27"/><Relationship Type="http://schemas.openxmlformats.org/officeDocument/2006/relationships/hyperlink" Target=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 TargetMode="External" Id="rId28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29"/><Relationship Type="http://schemas.openxmlformats.org/officeDocument/2006/relationships/hyperlink" Target=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 TargetMode="External" Id="rId30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31"/><Relationship Type="http://schemas.openxmlformats.org/officeDocument/2006/relationships/hyperlink" Target=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 TargetMode="External" Id="rId32"/><Relationship Type="http://schemas.openxmlformats.org/officeDocument/2006/relationships/hyperlink" Target=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 TargetMode="External" Id="rId33"/><Relationship Type="http://schemas.openxmlformats.org/officeDocument/2006/relationships/hyperlink" Target=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 TargetMode="External" Id="rId34"/><Relationship Type="http://schemas.openxmlformats.org/officeDocument/2006/relationships/hyperlink" Target=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 TargetMode="External" Id="rId35"/><Relationship Type="http://schemas.openxmlformats.org/officeDocument/2006/relationships/hyperlink" Target=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 TargetMode="External" Id="rId36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37"/><Relationship Type="http://schemas.openxmlformats.org/officeDocument/2006/relationships/hyperlink" Target="https://news.google.com/rss/articles/CBMi5wFBVV95cUxNMmZlbEQ0Z0pQZ3FTUXJfQ3E0YkxMTFZlY3pIRjROZTIxeXE3T05xbW1iTUpkV3QwTGlqUnplMUtNZHF0Y0ZzSXBnS1luZG5UZ2h0NkpxNzhPZW52NGUyMjZPaHpveHVHZmpHM21TNmRtS3FldUdGeFRyMEk3MzhLRVkzMWI0RVhKbHFqa2JCUGh3U09IckU2bTEwbkxwenhaSC02X2NVTVBlT0FWN0hPWGFleXdzR1FwZWhBYW1kUmVMdHdha0s2REl2LWxjczAtOTBIQjMtZ3N2SnZHNDdRY3VydlJCM0XSAewBQVVfeXFMUHQ2MUh1aFVLaDBFTVZuR05mVGlpR2V2QVkzMnJFSC1DRXROZDNRSENDMHk2blF4TGR2WllXRk13YlhFRTJJT0UxN1BPbnRBcEpJZWRSc1VTU2tfcWwtNk5vTHZYdjlRZ0FjOG1OYlVuNHFyQjN5MGRicU14eEpadzRkMjVYdmNWbG1Zbmh3ZkJicGV6c3ppMlMtLWhqazd0VkpsVHEwNFlfVFlOTDd0Zjg0OWJLeFBXMGxGWlBzS3ZheDYwdDN0UWNXdl9BUGFnTnRMamNnTWJYUVNmRWJWTzJhN0U3YzU0YS1PSDI?oc=5" TargetMode="External" Id="rId38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39"/><Relationship Type="http://schemas.openxmlformats.org/officeDocument/2006/relationships/hyperlink" Target=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 TargetMode="External" Id="rId40"/><Relationship Type="http://schemas.openxmlformats.org/officeDocument/2006/relationships/hyperlink" Target=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 TargetMode="External" Id="rId41"/><Relationship Type="http://schemas.openxmlformats.org/officeDocument/2006/relationships/hyperlink" Target=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 TargetMode="External" Id="rId42"/><Relationship Type="http://schemas.openxmlformats.org/officeDocument/2006/relationships/hyperlink" Target="https://news.google.com/rss/articles/CBMimwFBVV95cUxQVWNmQ2tBRmd0NTdUbmZ2YW9kZW1wdDZrMXU4Y0gtTXZPYU9uc3JGRGJXQnhBaEY2YXk2TGhCWlhqZGU5OWs1eDlPOTJMcHp3ek5GUEYtcGQtYUdUVmpTZzVNZGlnS2UxVXhHZE9DcTYxSk9uWkFmaThOdUdzbnpmanpXUF9sSVVReXFLY29VeTg5QUZPNkszSmNGQQ?oc=5" TargetMode="External" Id="rId43"/><Relationship Type="http://schemas.openxmlformats.org/officeDocument/2006/relationships/hyperlink" Target=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 TargetMode="External" Id="rId44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45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46"/><Relationship Type="http://schemas.openxmlformats.org/officeDocument/2006/relationships/hyperlink" Target="https://news.google.com/rss/articles/CBMi5wFBVV95cUxNeDY4VXlDMWttUXVoM1pMNFhYeks3ZVJpaUI1eDVJZklkME5QbmdzcFpRbFMyT3JYUEV5REM1V1hPSE9JckhRcE5EU0xpOWFfZmtTdVVqM3h2TDdwLWJDWUpMb09XOHdkVURHaUx1Y1BYNW1qbWh2cUpTazhOREdqa0lmMkl5d2pSV0RqSDhUOXlmT2VCWUdxdlZMV0lOeDc4ZFJIWHk1ZXhhbUhjUlpVSmVZNEY2cVpTQUxXdjVpOFJEWDU3RGZOemRCVEJiLUVSMXNhSWE3N25TQVV1eUoxMjJjcHh3YlU?oc=5" TargetMode="External" Id="rId47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48"/><Relationship Type="http://schemas.openxmlformats.org/officeDocument/2006/relationships/hyperlink" Target="https://news.google.com/rss/articles/CBMi0gFBVV95cUxQc3R2Z25xanJ3ZVVqYmk4THp6a0pjWnc2UFg5VUNQLUZOaEowZW9WREszOXhBNURRYzh4ZkZNNWJaUmx2TGZjZDBVUUsyQ2VRczJUa0lvNzBLVzFZX1ZhdlV4R1Z4T3pIaWZOdWVvaDcxLXJ0Q1hxQzNaaDBURkRVN3VYT3ZUd3ZjNFNCNzJkZWtnZHgwQ2ViSWxHa1p0TUVlRXpROXVQaTNnbGtHM1dOOHkzUkJtSnBXS0YwU3JEd2J0VmdpQng2bENyOVFfTHhiTXfSAdcBQVVfeXFMUEE2WUJINWNtZDJCUTRSY1RsRHJsWUVSZi16N1F6YjBwVU1keTJZRFpUaE9rZ2FYZ2lKdU1KaldxM1ZFZkRMelphRi0xTnBxRWczdUNlU1FQTExxUE1qSnBzQkxlVGFNZUwwdExoVG91NFlEcHdOOUtJZ0xmZ0wyMnh1QjJrZzVUSWMwX0JYbHNBVVBNNXJLbkx4UG1GdmxKNExxWVdpWFVYUkoxSWRHQWRmTWh0QlNzSTVrMHlRaGVjSFowbUtkdF9GR2FUN0wtaEJWd0t5SWM?oc=5" TargetMode="External" Id="rId49"/><Relationship Type="http://schemas.openxmlformats.org/officeDocument/2006/relationships/hyperlink" Target=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 TargetMode="External" Id="rId50"/><Relationship Type="http://schemas.openxmlformats.org/officeDocument/2006/relationships/hyperlink" Target=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51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52"/><Relationship Type="http://schemas.openxmlformats.org/officeDocument/2006/relationships/hyperlink" Target=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 TargetMode="External" Id="rId53"/><Relationship Type="http://schemas.openxmlformats.org/officeDocument/2006/relationships/hyperlink" Target="https://news.google.com/rss/articles/CBMi5gFBVV95cUxObFRUUjZrRFpjTE1NcXBPb2NicXQtS3RtU0wtNHVjVHV4VHRlWWtMc1RtMzYwbXN2dnl3SVRBcjJxWFphN0hXMm0yZFNFNVduQ2dDdnVweVhTR24xNW5qemFXaTl2dkxsMkFYTlNCbGM1Si1IcmZIN3ZBTmF2ajBCcERjU1RPNXlIRHdlanZ1T0VxWWlWZkZ2eEYyZFBJWUJiSUp6b2gtcEtUQjJMaHNuWHNrRkNYek0tZlRITmkteDFreTNVb2VvcmhWZnJNa3FzTnZiUy1aXzVMMzg0cGNZR3pvMUFRQQ?oc=5" TargetMode="External" Id="rId54"/><Relationship Type="http://schemas.openxmlformats.org/officeDocument/2006/relationships/hyperlink" Target="https://news.google.com/rss/articles/CBMi5AFBVV95cUxOMEwwTHh2ZHV6TVZtbjNDSEprS000QlNTUjh4X09yNWFTUmpHcW12aERXVXNSOUlSNWVrMlM1eG94ckljVXRpdDUzVHFtWUJ1M1p2TncyUDdBUWItZnppY0dSV2VZQjZiTDNLNzRBYVZnZUpIQzBPQk1BbjNEckUtdUxuU0oxMmRLYmw1cnhOV2FpUkMwNHhqazg4MGs0VTQySklGWTJwUGl5U09GS0t4alJNajVvc2lMdi1nMTJxQkNLeTg1OWUyYWlwbVJoR3F0b2NWU1pOVDFiOVhBZk9Nbk5TQUTSAecBQVVfeXFMTkhYdHl3d2FCU3RHT2JTZzJfcmhZbzNWWFZqMXFObDVBVHNsNnZsX29kak5jdG1BLUowT0REU2xTQWt0RmdoVVg5LXpzSEJobHl0U2hnNUJ6ZDU5MHlIaVVpTG1YeG5VQThDa05fTm1IczQwR3o2TjdQa2NEOVZ6dVZuU1lXN1dEN3dZWTV6ZkgxX0tYWXJNZXJLSU1nYXh2aGtrQTJJQUl1VnRJVGhjbmZpRmp5QnBjcThMTlJrbGFvb2tjUnkyT3B3MXo4VkdEdERQM3hKSmMwWWdoWk9uZGphb0M2a1Q4?oc=5" TargetMode="External" Id="rId55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56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57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58"/><Relationship Type="http://schemas.openxmlformats.org/officeDocument/2006/relationships/hyperlink" Target=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 TargetMode="External" Id="rId59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60"/><Relationship Type="http://schemas.openxmlformats.org/officeDocument/2006/relationships/hyperlink" Target=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 TargetMode="External" Id="rId61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 TargetMode="External" Id="rId62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63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64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65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66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67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68"/><Relationship Type="http://schemas.openxmlformats.org/officeDocument/2006/relationships/hyperlink" Target=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 TargetMode="External" Id="rId69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70"/><Relationship Type="http://schemas.openxmlformats.org/officeDocument/2006/relationships/hyperlink" Target=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 TargetMode="External" Id="rId71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72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73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74"/><Relationship Type="http://schemas.openxmlformats.org/officeDocument/2006/relationships/hyperlink" Target=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 TargetMode="External" Id="rId75"/><Relationship Type="http://schemas.openxmlformats.org/officeDocument/2006/relationships/hyperlink" Target=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 TargetMode="External" Id="rId76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77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78"/><Relationship Type="http://schemas.openxmlformats.org/officeDocument/2006/relationships/hyperlink" Target=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 TargetMode="External" Id="rId79"/><Relationship Type="http://schemas.openxmlformats.org/officeDocument/2006/relationships/hyperlink" Target="https://news.google.com/rss/articles/CBMimgFBVV95cUxOYVJvTS1CRXVsT2ZzNUhBV0piRVV1UnZTeDVEcDJmRElmWHB5WkZsM2s5YzlYaXJuVU9vVjQ2dE5XVk93WTVVLUx2d19wRm9lc2YzWW9xX0F1YWJCTUJtMURwVzRxbC1vUlNDWEpLRUZibzdnbVdjdEJUeThfeHZLSXpwTktCQnlMM0tTNUhwWmplMHJKb2ptYmVn?oc=5" TargetMode="External" Id="rId80"/><Relationship Type="http://schemas.openxmlformats.org/officeDocument/2006/relationships/hyperlink" Target=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 TargetMode="External" Id="rId81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82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83"/><Relationship Type="http://schemas.openxmlformats.org/officeDocument/2006/relationships/hyperlink" Target=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 TargetMode="External" Id="rId84"/><Relationship Type="http://schemas.openxmlformats.org/officeDocument/2006/relationships/hyperlink" Target="https://news.google.com/rss/articles/CBMiYEFVX3lxTE01VG4tR1ZHRnF6bF9CZzh6bHlySkh2MFd6bGJKUVhycUhNQkh2R2syeXEzOG9tLVpSTmNrcUEtOUVWZm45QUE1ZTB1VXFYSEc0LUI0akZJc3NQTDE5SHh0cg?oc=5" TargetMode="External" Id="rId85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86"/><Relationship Type="http://schemas.openxmlformats.org/officeDocument/2006/relationships/hyperlink" Target=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 TargetMode="External" Id="rId87"/><Relationship Type="http://schemas.openxmlformats.org/officeDocument/2006/relationships/hyperlink" Target="https://news.google.com/rss/articles/CBMihwFBVV95cUxQbV84TnZBcDlZcGRjQ2YxN1Z3eC1lNHdhNTN1ZENIRnZsR21zVVQyQUFmNnpKbmQ1VWl6SEpGNi1XX01ZcXZuM09QZklRNUh3YTZwd1RJNDRpM01BRUJfS0VJSXRGVy12UllLVU5jZnd4UWMyQjlkZHJPRGsxX2RQZnY2c3RRRE0?oc=5" TargetMode="External" Id="rId88"/><Relationship Type="http://schemas.openxmlformats.org/officeDocument/2006/relationships/hyperlink" Target=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 TargetMode="External" Id="rId89"/><Relationship Type="http://schemas.openxmlformats.org/officeDocument/2006/relationships/hyperlink" Target=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 TargetMode="External" Id="rId90"/><Relationship Type="http://schemas.openxmlformats.org/officeDocument/2006/relationships/hyperlink" Target="https://news.google.com/rss/articles/CBMi0AFBVV95cUxPMGh4UXhKOTVzdW1BeE5LNGFFR2Jwbzd3T3ZvV0NTYU4wekJVZmE1U0FuZ3FsTXlTakZ1Y09lZTFJRXVIOVl2Z1R2ZmJsUUFHaEZXREJUZEtCdFNjWjRKWHhZWDNBMGpMOTJnZHhIa3ZLdHpvQ0tmMEdOTy1BN1hBcm5WcFZpYUdVZmdXZkVFYUkwdnA1VFhQWlNDc2xGNzY1eGlPdjhvZGR2MlRYbnVoTVFjakVVeTd5SWxEbnc2RjlxcHdkcTRYb2tDaXhocjVD0gHTAUFVX3lxTFBiSHlyQWowSl9jdW9fNEZsWnBKV0VjVkFTcV9kNkNoNDQxUHhiZHZiREtiMjkzMGplU19TNjNqVXlVTFRTd1kzeTBwSlFCS2VDdEt2VmlOb1ZvY3ZhMW11aFZWd3Y0bWxUWUQ5WmhGN21xeE9XcnNHWUpvQ05iRER2R1NoaXIwMDJ2dm84a2NpRzRVZ1N5NWk4Tk9XOGxKb0R3aHZlNFdfTzU2MFBMQjBBeEFVSUV5cDQ5eTVWSWgwRGY2dGs3X1BoWDdQQWRhUzJiRXM?oc=5" TargetMode="External" Id="rId91"/><Relationship Type="http://schemas.openxmlformats.org/officeDocument/2006/relationships/hyperlink" Target=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 TargetMode="External" Id="rId92"/><Relationship Type="http://schemas.openxmlformats.org/officeDocument/2006/relationships/hyperlink" Target=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 TargetMode="External" Id="rId93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94"/><Relationship Type="http://schemas.openxmlformats.org/officeDocument/2006/relationships/hyperlink" Target="https://news.google.com/rss/articles/CBMie0FVX3lxTE5hVC1JSXRqcHpiOC1BcW9STzVMX1E1Y2FuZThSci15UVN4VVBkU0syaVFzU01NaXVDZ21QSS03M0h2N0JoZFFOV1lZVlZna1YtRzRHdi03OHRLS3B0OGdGbzRKX01uc3BVbzZwTXVmVkFoMXU5Nk04aGhYZw?oc=5" TargetMode="External" Id="rId95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96"/><Relationship Type="http://schemas.openxmlformats.org/officeDocument/2006/relationships/hyperlink" Target="https://news.google.com/rss/articles/CBMihwFBVV95cUxPYURIakNOVnRybktpTUJSR0ZBR1Vla0tUNHQzQmY4clE5d0o4Q1pZM3BtaGhTcjk4UWtuR2tXbmJ1S3kxOGZ4SVhYSURHRkRCN3NwUUxzaDJ0dUZZWWZ0aWhlQkZtclZ6U0hIbTNJTlpNQk9Sblp6WW1WUTVyb3ZRRHJlV1BoUUE?oc=5" TargetMode="External" Id="rId97"/><Relationship Type="http://schemas.openxmlformats.org/officeDocument/2006/relationships/hyperlink" Target="https://news.google.com/rss/articles/CBMilgFBVV95cUxOSmhSUlhBeGVjR0VmV1paYzdJdDlLd045M2hLX1dPc0NQdkJXUmR5dUNCNGNYeGxBNnlrTVNtMkQya1JiamhQQTNfbU8zdmxndzB4TWlmSndSdmpzZ3RGU0VickFfeDg2U0x0ZmFkMWtxMndNU3FkdmMyTTE3R20wdnNpdUJoN1RNdlFKbXJHNXlqMU9KUUE?oc=5" TargetMode="External" Id="rId98"/><Relationship Type="http://schemas.openxmlformats.org/officeDocument/2006/relationships/hyperlink" Target=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 TargetMode="External" Id="rId99"/><Relationship Type="http://schemas.openxmlformats.org/officeDocument/2006/relationships/hyperlink" Target=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 TargetMode="External" Id="rId100"/><Relationship Type="http://schemas.openxmlformats.org/officeDocument/2006/relationships/hyperlink" Target=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 TargetMode="External" Id="rId101"/><Relationship Type="http://schemas.openxmlformats.org/officeDocument/2006/relationships/hyperlink" Target=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 TargetMode="External" Id="rId102"/><Relationship Type="http://schemas.openxmlformats.org/officeDocument/2006/relationships/hyperlink" Target=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 TargetMode="External" Id="rId103"/><Relationship Type="http://schemas.openxmlformats.org/officeDocument/2006/relationships/hyperlink" Target=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 TargetMode="External" Id="rId104"/><Relationship Type="http://schemas.openxmlformats.org/officeDocument/2006/relationships/hyperlink" Target=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 TargetMode="External" Id="rId105"/><Relationship Type="http://schemas.openxmlformats.org/officeDocument/2006/relationships/hyperlink" Target="https://news.google.com/rss/articles/CBMipwFBVV95cUxOekdBdkJnQy1zc05YRUg5aFF1a0lwT04xNl9vZlhFaUhGVE0yeENFRkdPYWp5eW5qNGJPQ1Z5M0tIQWJTMmVBZ2NIcG13ZTFtc3FJaE9hOG1SQVk2UENVdGNWTXktTE10MGNUVmpvNkxodGg4TS1KdHFlZGprNUpZMkRsS2x6OW1LcGtSVnJPQnFvNlpOaHZZbFlnSlZ0MGtEdjdSdzVvSQ?oc=5" TargetMode="External" Id="rId106"/><Relationship Type="http://schemas.openxmlformats.org/officeDocument/2006/relationships/hyperlink" Target=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 TargetMode="External" Id="rId107"/><Relationship Type="http://schemas.openxmlformats.org/officeDocument/2006/relationships/hyperlink" Target=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 TargetMode="External" Id="rId108"/><Relationship Type="http://schemas.openxmlformats.org/officeDocument/2006/relationships/hyperlink" Target=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 TargetMode="External" Id="rId109"/><Relationship Type="http://schemas.openxmlformats.org/officeDocument/2006/relationships/hyperlink" Target=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 TargetMode="External" Id="rId110"/><Relationship Type="http://schemas.openxmlformats.org/officeDocument/2006/relationships/hyperlink" Target=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 TargetMode="External" Id="rId111"/><Relationship Type="http://schemas.openxmlformats.org/officeDocument/2006/relationships/hyperlink" Target=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 TargetMode="External" Id="rId112"/><Relationship Type="http://schemas.openxmlformats.org/officeDocument/2006/relationships/hyperlink" Target=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 TargetMode="External" Id="rId113"/><Relationship Type="http://schemas.openxmlformats.org/officeDocument/2006/relationships/hyperlink" Target=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 TargetMode="External" Id="rId114"/><Relationship Type="http://schemas.openxmlformats.org/officeDocument/2006/relationships/hyperlink" Target=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 TargetMode="External" Id="rId115"/><Relationship Type="http://schemas.openxmlformats.org/officeDocument/2006/relationships/hyperlink" Target=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 TargetMode="External" Id="rId116"/><Relationship Type="http://schemas.openxmlformats.org/officeDocument/2006/relationships/hyperlink" Target=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sZGhlVjdIaVh6dFRhU0FERjk4aE15ZmlNR19BbmlCei1FRHV2TXNwV1BJaVRHQmxSZnh5dGotNDRaUEpUZV9pMmR2STRRbkhLUHhPa2FMelZzX0VfdXJMOGVoeQ?oc=5" TargetMode="External" Id="rId117"/><Relationship Type="http://schemas.openxmlformats.org/officeDocument/2006/relationships/hyperlink" Target=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 TargetMode="External" Id="rId118"/><Relationship Type="http://schemas.openxmlformats.org/officeDocument/2006/relationships/hyperlink" Target=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 TargetMode="External" Id="rId119"/><Relationship Type="http://schemas.openxmlformats.org/officeDocument/2006/relationships/hyperlink" Target=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 TargetMode="External" Id="rId120"/><Relationship Type="http://schemas.openxmlformats.org/officeDocument/2006/relationships/hyperlink" Target=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 TargetMode="External" Id="rId121"/><Relationship Type="http://schemas.openxmlformats.org/officeDocument/2006/relationships/hyperlink" Target="https://news.google.com/rss/articles/CBMihgFBVV95cUxQcUhUNEJMQ3ZXeU5ZcFk0aUE1NndmWmVMR2E0MVJuM2RhTi1QRHhxT1lZRTZKeXp3NEkwak4yQ1RPVDBDRDlXUlJVUXQ1QjVIMURYTEtsZ2lXVW52SmR2VzZRS3FHanh2RklUTlNTWElScmtkaTdGMGx0SWIxdlF0YjlzVTZzQQ?oc=5" TargetMode="External" Id="rId122"/><Relationship Type="http://schemas.openxmlformats.org/officeDocument/2006/relationships/hyperlink" Target=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 TargetMode="External" Id="rId123"/><Relationship Type="http://schemas.openxmlformats.org/officeDocument/2006/relationships/hyperlink" Target=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 TargetMode="External" Id="rId124"/><Relationship Type="http://schemas.openxmlformats.org/officeDocument/2006/relationships/hyperlink" Target=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 TargetMode="External" Id="rId125"/><Relationship Type="http://schemas.openxmlformats.org/officeDocument/2006/relationships/hyperlink" Target=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 TargetMode="External" Id="rId126"/><Relationship Type="http://schemas.openxmlformats.org/officeDocument/2006/relationships/hyperlink" Target=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 TargetMode="External" Id="rId127"/><Relationship Type="http://schemas.openxmlformats.org/officeDocument/2006/relationships/hyperlink" Target=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 TargetMode="External" Id="rId128"/><Relationship Type="http://schemas.openxmlformats.org/officeDocument/2006/relationships/hyperlink" Target=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 TargetMode="External" Id="rId129"/><Relationship Type="http://schemas.openxmlformats.org/officeDocument/2006/relationships/hyperlink" Target=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 TargetMode="External" Id="rId130"/><Relationship Type="http://schemas.openxmlformats.org/officeDocument/2006/relationships/hyperlink" Target=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 TargetMode="External" Id="rId131"/><Relationship Type="http://schemas.openxmlformats.org/officeDocument/2006/relationships/hyperlink" Target=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 TargetMode="External" Id="rId132"/><Relationship Type="http://schemas.openxmlformats.org/officeDocument/2006/relationships/hyperlink" Target=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 TargetMode="External" Id="rId133"/><Relationship Type="http://schemas.openxmlformats.org/officeDocument/2006/relationships/hyperlink" Target=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 TargetMode="External" Id="rId134"/><Relationship Type="http://schemas.openxmlformats.org/officeDocument/2006/relationships/hyperlink" Target=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 TargetMode="External" Id="rId135"/><Relationship Type="http://schemas.openxmlformats.org/officeDocument/2006/relationships/hyperlink" Target="https://news.google.com/rss/articles/CBMijAJBVV95cUxOUExzY0ZPTTBDblhZUWV1SjVUZWd0amE1STlQN1N6bm9VajdoT2NVb1ZvVjJrcHg2WTNBYlI1SGkwMlVOU3o4NDY2ZVpRMHRkRUhVUWVaS0N5QUdNbzRLa1I4UkRhNkVwOWpaVVNxOHhFV0NxZFhGOUx4anFCRDlDb0ptMHlzWFhvTmhMTEFvSk1ybFBSTzA1SG1KQnczZVdTX1NmUktxYURuVTBFbk0ydGhjNVBNN1d0Q1lUWkZlQVBJWWJLd0NhVml5amI0STBVcEs5WW4tN1pTajJSbU1wYm5ydUdIUjdvSW04MWVkdl85NmpZVmVVVFl1YmxZaWxBTVB5bkhUSFVaMXFu0gGSAkFVX3lxTE5LZmlZbUxuSjFGRzllWHk1R0RmZ0tla0huTUZYM25TUGxFMXpWLU5rTXc0WXdXM3lTWW1nYUNmNTI2elJWcEhZOTRhZ3A2X2JOUHZ1XzBuSmRRX2ZsNGZrQVBkVDlFSExzbHc3Z0VPYjRTekszODB5QndnS1Q3NmVvRmpfdmc4QzhRcGZScWlZZ01KUE1ZVWZmSFQ0UnpKVFllOFZxY3ZIME1LX2xaZ2o5bUxoYkR6Q0JQTlN0b3ZWU19IRHRCaTRmdFZLVXo1dG1oODdLOWJhSkQ4akVrODVaQTUxZnZtLWxUNDhyTGdxMDBkS3ExQXJwbnRPQlpxTFdReTZxNEtLWGRwNnIwTEhCcGc?oc=5" TargetMode="External" Id="rId136"/><Relationship Type="http://schemas.openxmlformats.org/officeDocument/2006/relationships/hyperlink" Target="https://news.google.com/rss/articles/CBMigwJBVV95cUxPaHBTQzhTRUdZS2tNRmJlTDU1UXJ4bnYzUXZNY1RzZWhub0dSbFFIZDM3aGZCNFJ2V2F1QmJRX3lVelpSd2ZsTkZVTF9ncUZCZ1NYblZYUjBYNi13Z19fOVhDN19taGt4MGV1Q1NtWEY4U0lrdnVXaUtFQm9TZTFUMGlzNWdoTUdBYWZxOUtWcG1idGJwOE10NTloS1hrdV9HN3lhLXZXWUh3dzA2TVVLcHRuRFJDVXdmUC1nV084LTVEV2N4OFRVQjU1Smg4Q2ktSTBKWmRCRGtRdWdWOEc5UGh0YWpOTUlNWmVyV2l0RC10T3d1YndQalotU0NWWDBqTDhn?oc=5" TargetMode="External" Id="rId137"/><Relationship Type="http://schemas.openxmlformats.org/officeDocument/2006/relationships/hyperlink" Target="https://news.google.com/rss/articles/CBMimwFBVV95cUxNbjd5UVZ4d3N3ZUtybnEyZW1MZ1R4T0NrS1JsMEhETFc5d2tyclFHRnV4bzQ1RVQyUkZvNnIwOURYdjdBUzZldEpRN0FBV29YLVZOTjlFalZfemVpUzBVZ3BZSDJxSVFqSmdCMDVfNVNVXy1ZZVJpZUZORHdmNUFzazBrdGVsOGVPN1ZMRmdyQ0U1X3kzS1ZNZU1mQQ?oc=5" TargetMode="External" Id="rId138"/><Relationship Type="http://schemas.openxmlformats.org/officeDocument/2006/relationships/hyperlink" Target="https://news.google.com/rss/articles/CBMihwFBVV95cUxPYU9VS2psbTA2SEFlWWF6NVFFbVRManpTcU0wUjJIbWRQdEU2S1JUeWVXWVUtSW1RNGp3VmdEZjRGYkdVYmFtV2tZd1BQLWJfT2ZHYzhXcFhMTVgwaDlmNmZkOHhaY0JiOEVaQmZmTk5FS1luRmcxeE9ZbGV3VDlqOWR4VFhCZEE?oc=5" TargetMode="External" Id="rId139"/><Relationship Type="http://schemas.openxmlformats.org/officeDocument/2006/relationships/hyperlink" Target=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 TargetMode="External" Id="rId140"/><Relationship Type="http://schemas.openxmlformats.org/officeDocument/2006/relationships/hyperlink" Target="https://news.google.com/rss/articles/CBMihgFBVV95cUxNS3pobG5zQUpFLU53cFlCQWxZTFQ5S0E1dDNmbTU3V2daQUx1ZTMxMjctRHphNW5OSWVoYk9UY09CU2NxbF9GWjVCZDJzeF9OTXVTX3NUYVRjZ1U3ekZnLVFxZ01Sc3dVWlZIcnZOdXdvTzVlNTdoMlhYaVZZaWNaTEpZTkxpZw?oc=5" TargetMode="External" Id="rId141"/><Relationship Type="http://schemas.openxmlformats.org/officeDocument/2006/relationships/hyperlink" Target=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 TargetMode="External" Id="rId142"/><Relationship Type="http://schemas.openxmlformats.org/officeDocument/2006/relationships/hyperlink" Target=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 TargetMode="External" Id="rId143"/><Relationship Type="http://schemas.openxmlformats.org/officeDocument/2006/relationships/hyperlink" Target="https://news.google.com/rss/articles/CBMi-AFBVV95cUxNUnltRmdqM0NYQ2wzZWItS3BOdjdlU1pUcFJ6aEtPV1Zub1hfcVR0MERkbjZzTWpuc3pFdFVxUFBSY3U5WEhLVjdOLV9tX2lSWG1yNjJzUzVWR2xhRFJ1NUctcDN6VlJtMGlZaGlpQWx3T3RBYWs0ZExick04cTBYd0tYY1dBcTV2MjFVTUtsWFdtY3NZMFFiVjYyM0JpSmpNUWVzSVJqRGpUMzUyRHc2dm1yZEgyRmNnQmpjbDFYaXZkV3NPaXgxM2ZFWGtoemxNWU9STmpkUVlSa3oydXk5bjJpMWFRWlNqM2J5Y2lCMTB4d0FoTGFNNdIBgAJBVV95cUxQYm1wblRHcjNRcnF0MG5Uel9qVFEycDNoSzNfQWx4WWoweVQzX3d3Ym5UTTM3cjVzUG9STkdXYmlzc1psbE10cUNKYTBGVlZPaTh4bEFkN0szUHJmS2wzYzRmazBKT2MxY29WZUxaWVhmdjVEbS1TU0NyeFlRVGFEbXk3R2R3OFJYc0s1bTZmbzJGZ1hDRWE4Z05Wa2lPT0FiWWRvaFlRWFFkaDNoYnBmazJfYVlhblBVMF8yMDlfVllVdk9BeVZKUzRVSXUwNUlxOE9LUVZENWw2LW8yNGhWX3VnaUxSZC04bDljRXJGZUE0RlgycFlabTVrRDVoYy1W?oc=5" TargetMode="External" Id="rId144"/><Relationship Type="http://schemas.openxmlformats.org/officeDocument/2006/relationships/hyperlink" Target=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 TargetMode="External" Id="rId145"/><Relationship Type="http://schemas.openxmlformats.org/officeDocument/2006/relationships/hyperlink" Target=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 TargetMode="External" Id="rId146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 of 21  •  Entry day (bought at open)  •  Exit ~2026-10-29  •  Updated 29-Sep-2026 17:07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4" t="inlineStr">
        <is>
          <t>5%</t>
        </is>
      </c>
    </row>
    <row r="7">
      <c r="B7" s="6" t="inlineStr">
        <is>
          <t>CURRENT DAY</t>
        </is>
      </c>
      <c r="C7" s="7" t="n"/>
      <c r="E7" s="6" t="inlineStr">
        <is>
          <t>LAST SESSION</t>
        </is>
      </c>
      <c r="F7" s="7" t="n"/>
      <c r="H7" s="6" t="inlineStr">
        <is>
          <t>INVESTED</t>
        </is>
      </c>
      <c r="I7" s="7" t="n"/>
      <c r="K7" s="6" t="inlineStr">
        <is>
          <t>MARKET VALUE</t>
        </is>
      </c>
      <c r="L7" s="7" t="n"/>
    </row>
    <row r="8" ht="26" customHeight="1">
      <c r="B8" s="8" t="inlineStr">
        <is>
          <t>Day 1 / 21</t>
        </is>
      </c>
      <c r="C8" s="9" t="n"/>
      <c r="E8" s="8" t="inlineStr">
        <is>
          <t>2026-09-29</t>
        </is>
      </c>
      <c r="F8" s="9" t="n"/>
      <c r="H8" s="10">
        <f>'Daily Closes'!E16</f>
        <v/>
      </c>
      <c r="I8" s="9" t="n"/>
      <c r="K8" s="10">
        <f>'Daily Closes'!AB16</f>
        <v/>
      </c>
      <c r="L8" s="9" t="n"/>
    </row>
    <row r="9">
      <c r="B9" s="11" t="inlineStr">
        <is>
          <t>Entry day (bought at open)</t>
        </is>
      </c>
      <c r="C9" s="9" t="n"/>
      <c r="E9" s="11" t="inlineStr">
        <is>
          <t>Exit ~2026-10-29</t>
        </is>
      </c>
      <c r="F9" s="9" t="n"/>
      <c r="H9" s="11" t="inlineStr">
        <is>
          <t>Qty × entry price</t>
        </is>
      </c>
      <c r="I9" s="9" t="n"/>
      <c r="K9" s="11" t="inlineStr">
        <is>
          <t>At latest close</t>
        </is>
      </c>
      <c r="L9" s="9" t="n"/>
    </row>
    <row r="11">
      <c r="B11" s="6" t="inlineStr">
        <is>
          <t>GROSS P&amp;L</t>
        </is>
      </c>
      <c r="C11" s="7" t="n"/>
      <c r="E11" s="6" t="inlineStr">
        <is>
          <t>GROSS RETURN</t>
        </is>
      </c>
      <c r="F11" s="7" t="n"/>
      <c r="H11" s="6" t="inlineStr">
        <is>
          <t>EST. COSTS</t>
        </is>
      </c>
      <c r="I11" s="7" t="n"/>
      <c r="K11" s="6" t="inlineStr">
        <is>
          <t>NET P&amp;L</t>
        </is>
      </c>
      <c r="L11" s="7" t="n"/>
    </row>
    <row r="12" ht="26" customHeight="1">
      <c r="B12" s="10">
        <f>'Daily Closes'!AD16</f>
        <v/>
      </c>
      <c r="C12" s="9" t="n"/>
      <c r="E12" s="12">
        <f>'Daily Closes'!AC16</f>
        <v/>
      </c>
      <c r="F12" s="9" t="n"/>
      <c r="H12" s="10">
        <f>'Daily Closes'!E16*0.006</f>
        <v/>
      </c>
      <c r="I12" s="9" t="n"/>
      <c r="K12" s="10">
        <f>B12-H12</f>
        <v/>
      </c>
      <c r="L12" s="9" t="n"/>
    </row>
    <row r="13">
      <c r="B13" s="11" t="inlineStr">
        <is>
          <t>Before costs</t>
        </is>
      </c>
      <c r="C13" s="9" t="n"/>
      <c r="E13" s="11" t="inlineStr">
        <is>
          <t>vs entry</t>
        </is>
      </c>
      <c r="F13" s="9" t="n"/>
      <c r="H13" s="11" t="inlineStr">
        <is>
          <t>0.6% round trip</t>
        </is>
      </c>
      <c r="I13" s="9" t="n"/>
      <c r="K13" s="11" t="inlineStr">
        <is>
          <t>After est. costs</t>
        </is>
      </c>
      <c r="L13" s="9" t="n"/>
    </row>
    <row r="15">
      <c r="B15" s="6" t="inlineStr">
        <is>
          <t>NIFTY 50</t>
        </is>
      </c>
      <c r="C15" s="7" t="n"/>
      <c r="E15" s="6" t="inlineStr">
        <is>
          <t>ALPHA vs NIFTY</t>
        </is>
      </c>
      <c r="F15" s="7" t="n"/>
      <c r="H15" s="6" t="inlineStr">
        <is>
          <t>WINNERS / LOSERS</t>
        </is>
      </c>
      <c r="I15" s="7" t="n"/>
      <c r="K15" s="6" t="inlineStr">
        <is>
          <t>MAX DRAWDOWN</t>
        </is>
      </c>
      <c r="L15" s="7" t="n"/>
    </row>
    <row r="16" ht="26" customHeight="1">
      <c r="B16" s="12" t="n">
        <v>-0.002811646053050287</v>
      </c>
      <c r="C16" s="9" t="n"/>
      <c r="E16" s="12" t="n">
        <v>0.04013470084814344</v>
      </c>
      <c r="F16" s="9" t="n"/>
      <c r="H16" s="8" t="inlineStr">
        <is>
          <t>8 / 2</t>
        </is>
      </c>
      <c r="I16" s="9" t="n"/>
      <c r="K16" s="12" t="n">
        <v>0</v>
      </c>
      <c r="L16" s="9" t="n"/>
    </row>
    <row r="17">
      <c r="B17" s="11" t="inlineStr">
        <is>
          <t>Same window</t>
        </is>
      </c>
      <c r="C17" s="9" t="n"/>
      <c r="E17" s="11" t="inlineStr">
        <is>
          <t>Gross return − Nifty</t>
        </is>
      </c>
      <c r="F17" s="9" t="n"/>
      <c r="H17" s="11" t="inlineStr">
        <is>
          <t>of 10 stocks</t>
        </is>
      </c>
      <c r="I17" s="9" t="n"/>
      <c r="K17" s="11" t="inlineStr">
        <is>
          <t>Peak-to-trough, portfolio</t>
        </is>
      </c>
      <c r="L17" s="9" t="n"/>
    </row>
    <row r="19">
      <c r="B19" s="13" t="inlineStr">
        <is>
          <t>STOCK LEAGUE TABLE (sorted by return)</t>
        </is>
      </c>
    </row>
    <row r="20">
      <c r="B20" s="14" t="inlineStr">
        <is>
          <t>Symbol</t>
        </is>
      </c>
      <c r="C20" s="14" t="inlineStr">
        <is>
          <t>Qty</t>
        </is>
      </c>
      <c r="D20" s="14" t="inlineStr">
        <is>
          <t>Entry ₹</t>
        </is>
      </c>
      <c r="E20" s="14" t="inlineStr">
        <is>
          <t>Last ₹</t>
        </is>
      </c>
      <c r="F20" s="14" t="inlineStr">
        <is>
          <t>Return %</t>
        </is>
      </c>
      <c r="G20" s="14" t="inlineStr">
        <is>
          <t>P&amp;L ₹</t>
        </is>
      </c>
      <c r="H20" s="14" t="inlineStr">
        <is>
          <t>Max gain %</t>
        </is>
      </c>
      <c r="I20" s="14" t="inlineStr">
        <is>
          <t>Max loss %</t>
        </is>
      </c>
      <c r="J20" s="14" t="inlineStr">
        <is>
          <t>Weight %</t>
        </is>
      </c>
      <c r="K20" s="14" t="inlineStr">
        <is>
          <t>Contrib %</t>
        </is>
      </c>
    </row>
    <row r="21">
      <c r="B21" s="15" t="inlineStr">
        <is>
          <t>KIRLOSENG</t>
        </is>
      </c>
      <c r="C21" s="16" t="n">
        <v>7</v>
      </c>
      <c r="D21" s="17" t="n">
        <v>2141.2</v>
      </c>
      <c r="E21" s="17" t="n">
        <v>2402</v>
      </c>
      <c r="F21" s="18" t="n">
        <v>0.121801</v>
      </c>
      <c r="G21" s="19" t="n">
        <v>1825.6</v>
      </c>
      <c r="H21" s="18" t="n">
        <v>0.121801</v>
      </c>
      <c r="I21" s="18" t="n">
        <v>0.121801</v>
      </c>
      <c r="J21" s="20" t="n">
        <v>0.107094</v>
      </c>
      <c r="K21" s="18" t="n">
        <v>0.013044</v>
      </c>
    </row>
    <row r="22">
      <c r="B22" s="21" t="inlineStr">
        <is>
          <t>TDPOWERSYS</t>
        </is>
      </c>
      <c r="C22" s="22" t="n">
        <v>20</v>
      </c>
      <c r="D22" s="23" t="n">
        <v>719</v>
      </c>
      <c r="E22" s="23" t="n">
        <v>777.35</v>
      </c>
      <c r="F22" s="24" t="n">
        <v>0.081154</v>
      </c>
      <c r="G22" s="25" t="n">
        <v>1167</v>
      </c>
      <c r="H22" s="24" t="n">
        <v>0.081154</v>
      </c>
      <c r="I22" s="24" t="n">
        <v>0.081154</v>
      </c>
      <c r="J22" s="26" t="n">
        <v>0.102747</v>
      </c>
      <c r="K22" s="24" t="n">
        <v>0.008338</v>
      </c>
    </row>
    <row r="23">
      <c r="B23" s="15" t="inlineStr">
        <is>
          <t>AEROFLEX</t>
        </is>
      </c>
      <c r="C23" s="16" t="n">
        <v>29</v>
      </c>
      <c r="D23" s="17" t="n">
        <v>511.3</v>
      </c>
      <c r="E23" s="17" t="n">
        <v>539.6</v>
      </c>
      <c r="F23" s="18" t="n">
        <v>0.055349</v>
      </c>
      <c r="G23" s="19" t="n">
        <v>820.7</v>
      </c>
      <c r="H23" s="18" t="n">
        <v>0.055349</v>
      </c>
      <c r="I23" s="18" t="n">
        <v>0.055349</v>
      </c>
      <c r="J23" s="20" t="n">
        <v>0.105946</v>
      </c>
      <c r="K23" s="18" t="n">
        <v>0.005864</v>
      </c>
    </row>
    <row r="24">
      <c r="B24" s="21" t="inlineStr">
        <is>
          <t>E2E</t>
        </is>
      </c>
      <c r="C24" s="22" t="n">
        <v>23</v>
      </c>
      <c r="D24" s="23" t="n">
        <v>619.55</v>
      </c>
      <c r="E24" s="23" t="n">
        <v>651.8</v>
      </c>
      <c r="F24" s="24" t="n">
        <v>0.052054</v>
      </c>
      <c r="G24" s="25" t="n">
        <v>741.75</v>
      </c>
      <c r="H24" s="24" t="n">
        <v>0.052054</v>
      </c>
      <c r="I24" s="24" t="n">
        <v>0.052054</v>
      </c>
      <c r="J24" s="26" t="n">
        <v>0.101816</v>
      </c>
      <c r="K24" s="24" t="n">
        <v>0.0053</v>
      </c>
    </row>
    <row r="25">
      <c r="B25" s="15" t="inlineStr">
        <is>
          <t>DIACABS</t>
        </is>
      </c>
      <c r="C25" s="16" t="n">
        <v>44</v>
      </c>
      <c r="D25" s="17" t="n">
        <v>336.9</v>
      </c>
      <c r="E25" s="17" t="n">
        <v>352.05</v>
      </c>
      <c r="F25" s="18" t="n">
        <v>0.044969</v>
      </c>
      <c r="G25" s="19" t="n">
        <v>666.6</v>
      </c>
      <c r="H25" s="18" t="n">
        <v>0.044969</v>
      </c>
      <c r="I25" s="18" t="n">
        <v>0.044969</v>
      </c>
      <c r="J25" s="20" t="n">
        <v>0.105917</v>
      </c>
      <c r="K25" s="18" t="n">
        <v>0.004763</v>
      </c>
    </row>
    <row r="26">
      <c r="B26" s="21" t="inlineStr">
        <is>
          <t>THANGAMAYL</t>
        </is>
      </c>
      <c r="C26" s="22" t="n">
        <v>2</v>
      </c>
      <c r="D26" s="23" t="n">
        <v>5010</v>
      </c>
      <c r="E26" s="23" t="n">
        <v>5204.5</v>
      </c>
      <c r="F26" s="24" t="n">
        <v>0.038822</v>
      </c>
      <c r="G26" s="25" t="n">
        <v>389</v>
      </c>
      <c r="H26" s="24" t="n">
        <v>0.038822</v>
      </c>
      <c r="I26" s="24" t="n">
        <v>0.038822</v>
      </c>
      <c r="J26" s="26" t="n">
        <v>0.071594</v>
      </c>
      <c r="K26" s="24" t="n">
        <v>0.002779</v>
      </c>
    </row>
    <row r="27">
      <c r="B27" s="15" t="inlineStr">
        <is>
          <t>RRKABEL</t>
        </is>
      </c>
      <c r="C27" s="16" t="n">
        <v>6</v>
      </c>
      <c r="D27" s="17" t="n">
        <v>2459.8</v>
      </c>
      <c r="E27" s="17" t="n">
        <v>2523.2</v>
      </c>
      <c r="F27" s="18" t="n">
        <v>0.025774</v>
      </c>
      <c r="G27" s="19" t="n">
        <v>380.4</v>
      </c>
      <c r="H27" s="18" t="n">
        <v>0.025774</v>
      </c>
      <c r="I27" s="18" t="n">
        <v>0.025774</v>
      </c>
      <c r="J27" s="20" t="n">
        <v>0.105454</v>
      </c>
      <c r="K27" s="18" t="n">
        <v>0.002718</v>
      </c>
    </row>
    <row r="28">
      <c r="B28" s="21" t="inlineStr">
        <is>
          <t>ACUTAAS</t>
        </is>
      </c>
      <c r="C28" s="22" t="n">
        <v>4</v>
      </c>
      <c r="D28" s="23" t="n">
        <v>3290</v>
      </c>
      <c r="E28" s="23" t="n">
        <v>3304.1</v>
      </c>
      <c r="F28" s="24" t="n">
        <v>0.004286</v>
      </c>
      <c r="G28" s="25" t="n">
        <v>56.4</v>
      </c>
      <c r="H28" s="24" t="n">
        <v>0.004286</v>
      </c>
      <c r="I28" s="24" t="n">
        <v>0.004286</v>
      </c>
      <c r="J28" s="26" t="n">
        <v>0.09403</v>
      </c>
      <c r="K28" s="24" t="n">
        <v>0.000403</v>
      </c>
    </row>
    <row r="29">
      <c r="B29" s="15" t="inlineStr">
        <is>
          <t>LAURUSLABS</t>
        </is>
      </c>
      <c r="C29" s="16" t="n">
        <v>7</v>
      </c>
      <c r="D29" s="17" t="n">
        <v>2020.7</v>
      </c>
      <c r="E29" s="17" t="n">
        <v>1979</v>
      </c>
      <c r="F29" s="18" t="n">
        <v>-0.020636</v>
      </c>
      <c r="G29" s="19" t="n">
        <v>-291.9</v>
      </c>
      <c r="H29" s="18" t="n">
        <v>-0.020636</v>
      </c>
      <c r="I29" s="18" t="n">
        <v>-0.020636</v>
      </c>
      <c r="J29" s="20" t="n">
        <v>0.101067</v>
      </c>
      <c r="K29" s="18" t="n">
        <v>-0.002086</v>
      </c>
    </row>
    <row r="30">
      <c r="B30" s="21" t="inlineStr">
        <is>
          <t>ATHERENERG</t>
        </is>
      </c>
      <c r="C30" s="22" t="n">
        <v>10</v>
      </c>
      <c r="D30" s="23" t="n">
        <v>1460.2</v>
      </c>
      <c r="E30" s="23" t="n">
        <v>1407</v>
      </c>
      <c r="F30" s="24" t="n">
        <v>-0.036433</v>
      </c>
      <c r="G30" s="25" t="n">
        <v>-532</v>
      </c>
      <c r="H30" s="24" t="n">
        <v>-0.036433</v>
      </c>
      <c r="I30" s="24" t="n">
        <v>-0.036433</v>
      </c>
      <c r="J30" s="26" t="n">
        <v>0.104333</v>
      </c>
      <c r="K30" s="24" t="n">
        <v>-0.003801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 of 21  •  Entry day (bought at open)  •  Exit ~2026-10-29  •  Updated 29-Sep-2026 17:07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7" t="inlineStr">
        <is>
          <t>Closes from Day 0 (signal) to Day 21 (exit). Highlighted column = latest session. Grey = future session (projected date).</t>
        </is>
      </c>
    </row>
    <row r="4" ht="20" customHeight="1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28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28" t="inlineStr">
        <is>
          <t>Day 21</t>
        </is>
      </c>
      <c r="AB4" s="30" t="inlineStr">
        <is>
          <t>Last Close</t>
        </is>
      </c>
      <c r="AC4" s="30" t="inlineStr">
        <is>
          <t>Return %</t>
        </is>
      </c>
      <c r="AD4" s="30" t="inlineStr">
        <is>
          <t>P&amp;L ₹</t>
        </is>
      </c>
      <c r="AE4" s="30" t="inlineStr">
        <is>
          <t>Day Chg %</t>
        </is>
      </c>
      <c r="AF4" s="30" t="inlineStr">
        <is>
          <t>Trend</t>
        </is>
      </c>
    </row>
    <row r="5">
      <c r="A5" s="31" t="n"/>
      <c r="B5" s="31" t="n"/>
      <c r="C5" s="31" t="n"/>
      <c r="D5" s="31" t="n"/>
      <c r="E5" s="31" t="n"/>
      <c r="F5" s="32" t="inlineStr">
        <is>
          <t>28-Sep</t>
        </is>
      </c>
      <c r="G5" s="32" t="inlineStr">
        <is>
          <t>29-Sep</t>
        </is>
      </c>
      <c r="H5" s="33" t="inlineStr">
        <is>
          <t>30-Sep (p)</t>
        </is>
      </c>
      <c r="I5" s="33" t="inlineStr">
        <is>
          <t>01-Oct (p)</t>
        </is>
      </c>
      <c r="J5" s="33" t="inlineStr">
        <is>
          <t>05-Oct (p)</t>
        </is>
      </c>
      <c r="K5" s="33" t="inlineStr">
        <is>
          <t>06-Oct (p)</t>
        </is>
      </c>
      <c r="L5" s="33" t="inlineStr">
        <is>
          <t>07-Oct (p)</t>
        </is>
      </c>
      <c r="M5" s="33" t="inlineStr">
        <is>
          <t>08-Oct (p)</t>
        </is>
      </c>
      <c r="N5" s="33" t="inlineStr">
        <is>
          <t>09-Oct (p)</t>
        </is>
      </c>
      <c r="O5" s="33" t="inlineStr">
        <is>
          <t>12-Oct (p)</t>
        </is>
      </c>
      <c r="P5" s="33" t="inlineStr">
        <is>
          <t>13-Oct (p)</t>
        </is>
      </c>
      <c r="Q5" s="33" t="inlineStr">
        <is>
          <t>14-Oct (p)</t>
        </is>
      </c>
      <c r="R5" s="33" t="inlineStr">
        <is>
          <t>15-Oct (p)</t>
        </is>
      </c>
      <c r="S5" s="33" t="inlineStr">
        <is>
          <t>16-Oct (p)</t>
        </is>
      </c>
      <c r="T5" s="33" t="inlineStr">
        <is>
          <t>19-Oct (p)</t>
        </is>
      </c>
      <c r="U5" s="33" t="inlineStr">
        <is>
          <t>21-Oct (p)</t>
        </is>
      </c>
      <c r="V5" s="33" t="inlineStr">
        <is>
          <t>22-Oct (p)</t>
        </is>
      </c>
      <c r="W5" s="33" t="inlineStr">
        <is>
          <t>23-Oct (p)</t>
        </is>
      </c>
      <c r="X5" s="33" t="inlineStr">
        <is>
          <t>26-Oct (p)</t>
        </is>
      </c>
      <c r="Y5" s="33" t="inlineStr">
        <is>
          <t>27-Oct (p)</t>
        </is>
      </c>
      <c r="Z5" s="33" t="inlineStr">
        <is>
          <t>28-Oct (p)</t>
        </is>
      </c>
      <c r="AA5" s="33" t="inlineStr">
        <is>
          <t>29-Oct (p)</t>
        </is>
      </c>
      <c r="AB5" s="31" t="n"/>
      <c r="AC5" s="31" t="n"/>
      <c r="AD5" s="31" t="n"/>
      <c r="AE5" s="31" t="n"/>
      <c r="AF5" s="31" t="n"/>
    </row>
    <row r="6">
      <c r="A6" s="34" t="n">
        <v>1</v>
      </c>
      <c r="B6" s="15" t="inlineStr">
        <is>
          <t>TDPOWERSYS</t>
        </is>
      </c>
      <c r="C6" s="35" t="inlineStr">
        <is>
          <t>INE419M01035</t>
        </is>
      </c>
      <c r="D6" s="16" t="n">
        <v>20</v>
      </c>
      <c r="E6" s="36" t="n">
        <v>719</v>
      </c>
      <c r="F6" s="17" t="n">
        <v>722</v>
      </c>
      <c r="G6" s="37" t="n">
        <v>777.35</v>
      </c>
      <c r="H6" s="38" t="n"/>
      <c r="I6" s="38" t="n"/>
      <c r="J6" s="38" t="n"/>
      <c r="K6" s="38" t="n"/>
      <c r="L6" s="38" t="n"/>
      <c r="M6" s="38" t="n"/>
      <c r="N6" s="38" t="n"/>
      <c r="O6" s="38" t="n"/>
      <c r="P6" s="38" t="n"/>
      <c r="Q6" s="38" t="n"/>
      <c r="R6" s="38" t="n"/>
      <c r="S6" s="38" t="n"/>
      <c r="T6" s="38" t="n"/>
      <c r="U6" s="38" t="n"/>
      <c r="V6" s="38" t="n"/>
      <c r="W6" s="38" t="n"/>
      <c r="X6" s="38" t="n"/>
      <c r="Y6" s="38" t="n"/>
      <c r="Z6" s="38" t="n"/>
      <c r="AA6" s="38" t="n"/>
      <c r="AB6" s="36">
        <f>LOOKUP(2,1/(F6:AA6&lt;&gt;""),F6:AA6)</f>
        <v/>
      </c>
      <c r="AC6" s="39">
        <f>AB6/E6-1</f>
        <v/>
      </c>
      <c r="AD6" s="40">
        <f>D6*(AB6-E6)</f>
        <v/>
      </c>
      <c r="AE6" s="18">
        <f>IFERROR(G6/F6-1,0)</f>
        <v/>
      </c>
      <c r="AF6" s="34">
        <f>IF(AC6&gt;0,"▲ Up",IF(AC6&lt;0,"▼ Down","■ Flat"))</f>
        <v/>
      </c>
    </row>
    <row r="7">
      <c r="A7" s="41" t="n">
        <v>2</v>
      </c>
      <c r="B7" s="21" t="inlineStr">
        <is>
          <t>AEROFLEX</t>
        </is>
      </c>
      <c r="C7" s="42" t="inlineStr">
        <is>
          <t>INE024001021</t>
        </is>
      </c>
      <c r="D7" s="22" t="n">
        <v>29</v>
      </c>
      <c r="E7" s="43" t="n">
        <v>511.3</v>
      </c>
      <c r="F7" s="23" t="n">
        <v>513.4</v>
      </c>
      <c r="G7" s="37" t="n">
        <v>539.6</v>
      </c>
      <c r="H7" s="38" t="n"/>
      <c r="I7" s="38" t="n"/>
      <c r="J7" s="38" t="n"/>
      <c r="K7" s="38" t="n"/>
      <c r="L7" s="38" t="n"/>
      <c r="M7" s="38" t="n"/>
      <c r="N7" s="38" t="n"/>
      <c r="O7" s="38" t="n"/>
      <c r="P7" s="38" t="n"/>
      <c r="Q7" s="38" t="n"/>
      <c r="R7" s="38" t="n"/>
      <c r="S7" s="38" t="n"/>
      <c r="T7" s="38" t="n"/>
      <c r="U7" s="38" t="n"/>
      <c r="V7" s="38" t="n"/>
      <c r="W7" s="38" t="n"/>
      <c r="X7" s="38" t="n"/>
      <c r="Y7" s="38" t="n"/>
      <c r="Z7" s="38" t="n"/>
      <c r="AA7" s="38" t="n"/>
      <c r="AB7" s="36">
        <f>LOOKUP(2,1/(F7:AA7&lt;&gt;""),F7:AA7)</f>
        <v/>
      </c>
      <c r="AC7" s="39">
        <f>AB7/E7-1</f>
        <v/>
      </c>
      <c r="AD7" s="40">
        <f>D7*(AB7-E7)</f>
        <v/>
      </c>
      <c r="AE7" s="18">
        <f>IFERROR(G7/F7-1,0)</f>
        <v/>
      </c>
      <c r="AF7" s="34">
        <f>IF(AC7&gt;0,"▲ Up",IF(AC7&lt;0,"▼ Down","■ Flat"))</f>
        <v/>
      </c>
    </row>
    <row r="8">
      <c r="A8" s="34" t="n">
        <v>3</v>
      </c>
      <c r="B8" s="15" t="inlineStr">
        <is>
          <t>ATHERENERG</t>
        </is>
      </c>
      <c r="C8" s="35" t="inlineStr">
        <is>
          <t>INE0LEZ01016</t>
        </is>
      </c>
      <c r="D8" s="16" t="n">
        <v>10</v>
      </c>
      <c r="E8" s="36" t="n">
        <v>1460.2</v>
      </c>
      <c r="F8" s="17" t="n">
        <v>1454.9</v>
      </c>
      <c r="G8" s="37" t="n">
        <v>1407</v>
      </c>
      <c r="H8" s="38" t="n"/>
      <c r="I8" s="38" t="n"/>
      <c r="J8" s="38" t="n"/>
      <c r="K8" s="38" t="n"/>
      <c r="L8" s="38" t="n"/>
      <c r="M8" s="38" t="n"/>
      <c r="N8" s="38" t="n"/>
      <c r="O8" s="38" t="n"/>
      <c r="P8" s="38" t="n"/>
      <c r="Q8" s="38" t="n"/>
      <c r="R8" s="38" t="n"/>
      <c r="S8" s="38" t="n"/>
      <c r="T8" s="38" t="n"/>
      <c r="U8" s="38" t="n"/>
      <c r="V8" s="38" t="n"/>
      <c r="W8" s="38" t="n"/>
      <c r="X8" s="38" t="n"/>
      <c r="Y8" s="38" t="n"/>
      <c r="Z8" s="38" t="n"/>
      <c r="AA8" s="38" t="n"/>
      <c r="AB8" s="36">
        <f>LOOKUP(2,1/(F8:AA8&lt;&gt;""),F8:AA8)</f>
        <v/>
      </c>
      <c r="AC8" s="39">
        <f>AB8/E8-1</f>
        <v/>
      </c>
      <c r="AD8" s="40">
        <f>D8*(AB8-E8)</f>
        <v/>
      </c>
      <c r="AE8" s="18">
        <f>IFERROR(G8/F8-1,0)</f>
        <v/>
      </c>
      <c r="AF8" s="34">
        <f>IF(AC8&gt;0,"▲ Up",IF(AC8&lt;0,"▼ Down","■ Flat"))</f>
        <v/>
      </c>
    </row>
    <row r="9">
      <c r="A9" s="41" t="n">
        <v>4</v>
      </c>
      <c r="B9" s="21" t="inlineStr">
        <is>
          <t>THANGAMAYL</t>
        </is>
      </c>
      <c r="C9" s="42" t="inlineStr">
        <is>
          <t>INE085J01014</t>
        </is>
      </c>
      <c r="D9" s="22" t="n">
        <v>2</v>
      </c>
      <c r="E9" s="43" t="n">
        <v>5010</v>
      </c>
      <c r="F9" s="23" t="n">
        <v>5011.5</v>
      </c>
      <c r="G9" s="37" t="n">
        <v>5204.5</v>
      </c>
      <c r="H9" s="38" t="n"/>
      <c r="I9" s="38" t="n"/>
      <c r="J9" s="38" t="n"/>
      <c r="K9" s="38" t="n"/>
      <c r="L9" s="38" t="n"/>
      <c r="M9" s="38" t="n"/>
      <c r="N9" s="38" t="n"/>
      <c r="O9" s="38" t="n"/>
      <c r="P9" s="38" t="n"/>
      <c r="Q9" s="38" t="n"/>
      <c r="R9" s="38" t="n"/>
      <c r="S9" s="38" t="n"/>
      <c r="T9" s="38" t="n"/>
      <c r="U9" s="38" t="n"/>
      <c r="V9" s="38" t="n"/>
      <c r="W9" s="38" t="n"/>
      <c r="X9" s="38" t="n"/>
      <c r="Y9" s="38" t="n"/>
      <c r="Z9" s="38" t="n"/>
      <c r="AA9" s="38" t="n"/>
      <c r="AB9" s="36">
        <f>LOOKUP(2,1/(F9:AA9&lt;&gt;""),F9:AA9)</f>
        <v/>
      </c>
      <c r="AC9" s="39">
        <f>AB9/E9-1</f>
        <v/>
      </c>
      <c r="AD9" s="40">
        <f>D9*(AB9-E9)</f>
        <v/>
      </c>
      <c r="AE9" s="18">
        <f>IFERROR(G9/F9-1,0)</f>
        <v/>
      </c>
      <c r="AF9" s="34">
        <f>IF(AC9&gt;0,"▲ Up",IF(AC9&lt;0,"▼ Down","■ Flat"))</f>
        <v/>
      </c>
    </row>
    <row r="10">
      <c r="A10" s="34" t="n">
        <v>5</v>
      </c>
      <c r="B10" s="15" t="inlineStr">
        <is>
          <t>RRKABEL</t>
        </is>
      </c>
      <c r="C10" s="35" t="inlineStr">
        <is>
          <t>INE777K01022</t>
        </is>
      </c>
      <c r="D10" s="16" t="n">
        <v>6</v>
      </c>
      <c r="E10" s="36" t="n">
        <v>2459.8</v>
      </c>
      <c r="F10" s="17" t="n">
        <v>2459.8</v>
      </c>
      <c r="G10" s="37" t="n">
        <v>2523.2</v>
      </c>
      <c r="H10" s="38" t="n"/>
      <c r="I10" s="38" t="n"/>
      <c r="J10" s="38" t="n"/>
      <c r="K10" s="38" t="n"/>
      <c r="L10" s="38" t="n"/>
      <c r="M10" s="38" t="n"/>
      <c r="N10" s="38" t="n"/>
      <c r="O10" s="38" t="n"/>
      <c r="P10" s="38" t="n"/>
      <c r="Q10" s="38" t="n"/>
      <c r="R10" s="38" t="n"/>
      <c r="S10" s="38" t="n"/>
      <c r="T10" s="38" t="n"/>
      <c r="U10" s="38" t="n"/>
      <c r="V10" s="38" t="n"/>
      <c r="W10" s="38" t="n"/>
      <c r="X10" s="38" t="n"/>
      <c r="Y10" s="38" t="n"/>
      <c r="Z10" s="38" t="n"/>
      <c r="AA10" s="38" t="n"/>
      <c r="AB10" s="36">
        <f>LOOKUP(2,1/(F10:AA10&lt;&gt;""),F10:AA10)</f>
        <v/>
      </c>
      <c r="AC10" s="39">
        <f>AB10/E10-1</f>
        <v/>
      </c>
      <c r="AD10" s="40">
        <f>D10*(AB10-E10)</f>
        <v/>
      </c>
      <c r="AE10" s="18">
        <f>IFERROR(G10/F10-1,0)</f>
        <v/>
      </c>
      <c r="AF10" s="34">
        <f>IF(AC10&gt;0,"▲ Up",IF(AC10&lt;0,"▼ Down","■ Flat"))</f>
        <v/>
      </c>
    </row>
    <row r="11">
      <c r="A11" s="41" t="n">
        <v>6</v>
      </c>
      <c r="B11" s="21" t="inlineStr">
        <is>
          <t>ACUTAAS</t>
        </is>
      </c>
      <c r="C11" s="42" t="inlineStr">
        <is>
          <t>INE00FF01025</t>
        </is>
      </c>
      <c r="D11" s="22" t="n">
        <v>4</v>
      </c>
      <c r="E11" s="43" t="n">
        <v>3290</v>
      </c>
      <c r="F11" s="23" t="n">
        <v>3214.4</v>
      </c>
      <c r="G11" s="37" t="n">
        <v>3304.1</v>
      </c>
      <c r="H11" s="38" t="n"/>
      <c r="I11" s="38" t="n"/>
      <c r="J11" s="38" t="n"/>
      <c r="K11" s="38" t="n"/>
      <c r="L11" s="38" t="n"/>
      <c r="M11" s="38" t="n"/>
      <c r="N11" s="38" t="n"/>
      <c r="O11" s="38" t="n"/>
      <c r="P11" s="38" t="n"/>
      <c r="Q11" s="38" t="n"/>
      <c r="R11" s="38" t="n"/>
      <c r="S11" s="38" t="n"/>
      <c r="T11" s="38" t="n"/>
      <c r="U11" s="38" t="n"/>
      <c r="V11" s="38" t="n"/>
      <c r="W11" s="38" t="n"/>
      <c r="X11" s="38" t="n"/>
      <c r="Y11" s="38" t="n"/>
      <c r="Z11" s="38" t="n"/>
      <c r="AA11" s="38" t="n"/>
      <c r="AB11" s="36">
        <f>LOOKUP(2,1/(F11:AA11&lt;&gt;""),F11:AA11)</f>
        <v/>
      </c>
      <c r="AC11" s="39">
        <f>AB11/E11-1</f>
        <v/>
      </c>
      <c r="AD11" s="40">
        <f>D11*(AB11-E11)</f>
        <v/>
      </c>
      <c r="AE11" s="18">
        <f>IFERROR(G11/F11-1,0)</f>
        <v/>
      </c>
      <c r="AF11" s="34">
        <f>IF(AC11&gt;0,"▲ Up",IF(AC11&lt;0,"▼ Down","■ Flat"))</f>
        <v/>
      </c>
    </row>
    <row r="12">
      <c r="A12" s="34" t="n">
        <v>7</v>
      </c>
      <c r="B12" s="15" t="inlineStr">
        <is>
          <t>DIACABS</t>
        </is>
      </c>
      <c r="C12" s="35" t="inlineStr">
        <is>
          <t>INE989C01038</t>
        </is>
      </c>
      <c r="D12" s="16" t="n">
        <v>44</v>
      </c>
      <c r="E12" s="36" t="n">
        <v>336.9</v>
      </c>
      <c r="F12" s="17" t="n">
        <v>339.25</v>
      </c>
      <c r="G12" s="37" t="n">
        <v>352.05</v>
      </c>
      <c r="H12" s="38" t="n"/>
      <c r="I12" s="38" t="n"/>
      <c r="J12" s="38" t="n"/>
      <c r="K12" s="38" t="n"/>
      <c r="L12" s="38" t="n"/>
      <c r="M12" s="38" t="n"/>
      <c r="N12" s="38" t="n"/>
      <c r="O12" s="38" t="n"/>
      <c r="P12" s="38" t="n"/>
      <c r="Q12" s="38" t="n"/>
      <c r="R12" s="38" t="n"/>
      <c r="S12" s="38" t="n"/>
      <c r="T12" s="38" t="n"/>
      <c r="U12" s="38" t="n"/>
      <c r="V12" s="38" t="n"/>
      <c r="W12" s="38" t="n"/>
      <c r="X12" s="38" t="n"/>
      <c r="Y12" s="38" t="n"/>
      <c r="Z12" s="38" t="n"/>
      <c r="AA12" s="38" t="n"/>
      <c r="AB12" s="36">
        <f>LOOKUP(2,1/(F12:AA12&lt;&gt;""),F12:AA12)</f>
        <v/>
      </c>
      <c r="AC12" s="39">
        <f>AB12/E12-1</f>
        <v/>
      </c>
      <c r="AD12" s="40">
        <f>D12*(AB12-E12)</f>
        <v/>
      </c>
      <c r="AE12" s="18">
        <f>IFERROR(G12/F12-1,0)</f>
        <v/>
      </c>
      <c r="AF12" s="34">
        <f>IF(AC12&gt;0,"▲ Up",IF(AC12&lt;0,"▼ Down","■ Flat"))</f>
        <v/>
      </c>
    </row>
    <row r="13">
      <c r="A13" s="41" t="n">
        <v>8</v>
      </c>
      <c r="B13" s="21" t="inlineStr">
        <is>
          <t>KIRLOSENG</t>
        </is>
      </c>
      <c r="C13" s="42" t="inlineStr">
        <is>
          <t>INE146L01010</t>
        </is>
      </c>
      <c r="D13" s="22" t="n">
        <v>7</v>
      </c>
      <c r="E13" s="43" t="n">
        <v>2141.2</v>
      </c>
      <c r="F13" s="23" t="n">
        <v>2141.2</v>
      </c>
      <c r="G13" s="37" t="n">
        <v>2402</v>
      </c>
      <c r="H13" s="38" t="n"/>
      <c r="I13" s="38" t="n"/>
      <c r="J13" s="38" t="n"/>
      <c r="K13" s="38" t="n"/>
      <c r="L13" s="38" t="n"/>
      <c r="M13" s="38" t="n"/>
      <c r="N13" s="38" t="n"/>
      <c r="O13" s="38" t="n"/>
      <c r="P13" s="38" t="n"/>
      <c r="Q13" s="38" t="n"/>
      <c r="R13" s="38" t="n"/>
      <c r="S13" s="38" t="n"/>
      <c r="T13" s="38" t="n"/>
      <c r="U13" s="38" t="n"/>
      <c r="V13" s="38" t="n"/>
      <c r="W13" s="38" t="n"/>
      <c r="X13" s="38" t="n"/>
      <c r="Y13" s="38" t="n"/>
      <c r="Z13" s="38" t="n"/>
      <c r="AA13" s="38" t="n"/>
      <c r="AB13" s="36">
        <f>LOOKUP(2,1/(F13:AA13&lt;&gt;""),F13:AA13)</f>
        <v/>
      </c>
      <c r="AC13" s="39">
        <f>AB13/E13-1</f>
        <v/>
      </c>
      <c r="AD13" s="40">
        <f>D13*(AB13-E13)</f>
        <v/>
      </c>
      <c r="AE13" s="18">
        <f>IFERROR(G13/F13-1,0)</f>
        <v/>
      </c>
      <c r="AF13" s="34">
        <f>IF(AC13&gt;0,"▲ Up",IF(AC13&lt;0,"▼ Down","■ Flat"))</f>
        <v/>
      </c>
    </row>
    <row r="14">
      <c r="A14" s="34" t="n">
        <v>9</v>
      </c>
      <c r="B14" s="15" t="inlineStr">
        <is>
          <t>E2E</t>
        </is>
      </c>
      <c r="C14" s="35" t="inlineStr">
        <is>
          <t>INE255Z01027</t>
        </is>
      </c>
      <c r="D14" s="16" t="n">
        <v>23</v>
      </c>
      <c r="E14" s="36" t="n">
        <v>619.55</v>
      </c>
      <c r="F14" s="17" t="n">
        <v>625.9</v>
      </c>
      <c r="G14" s="37" t="n">
        <v>651.8</v>
      </c>
      <c r="H14" s="38" t="n"/>
      <c r="I14" s="38" t="n"/>
      <c r="J14" s="38" t="n"/>
      <c r="K14" s="38" t="n"/>
      <c r="L14" s="38" t="n"/>
      <c r="M14" s="38" t="n"/>
      <c r="N14" s="38" t="n"/>
      <c r="O14" s="38" t="n"/>
      <c r="P14" s="38" t="n"/>
      <c r="Q14" s="38" t="n"/>
      <c r="R14" s="38" t="n"/>
      <c r="S14" s="38" t="n"/>
      <c r="T14" s="38" t="n"/>
      <c r="U14" s="38" t="n"/>
      <c r="V14" s="38" t="n"/>
      <c r="W14" s="38" t="n"/>
      <c r="X14" s="38" t="n"/>
      <c r="Y14" s="38" t="n"/>
      <c r="Z14" s="38" t="n"/>
      <c r="AA14" s="38" t="n"/>
      <c r="AB14" s="36">
        <f>LOOKUP(2,1/(F14:AA14&lt;&gt;""),F14:AA14)</f>
        <v/>
      </c>
      <c r="AC14" s="39">
        <f>AB14/E14-1</f>
        <v/>
      </c>
      <c r="AD14" s="40">
        <f>D14*(AB14-E14)</f>
        <v/>
      </c>
      <c r="AE14" s="18">
        <f>IFERROR(G14/F14-1,0)</f>
        <v/>
      </c>
      <c r="AF14" s="34">
        <f>IF(AC14&gt;0,"▲ Up",IF(AC14&lt;0,"▼ Down","■ Flat"))</f>
        <v/>
      </c>
    </row>
    <row r="15">
      <c r="A15" s="41" t="n">
        <v>10</v>
      </c>
      <c r="B15" s="21" t="inlineStr">
        <is>
          <t>LAURUSLABS</t>
        </is>
      </c>
      <c r="C15" s="42" t="inlineStr">
        <is>
          <t>INE947Q01028</t>
        </is>
      </c>
      <c r="D15" s="22" t="n">
        <v>7</v>
      </c>
      <c r="E15" s="43" t="n">
        <v>2020.7</v>
      </c>
      <c r="F15" s="23" t="n">
        <v>2010.7</v>
      </c>
      <c r="G15" s="37" t="n">
        <v>1979</v>
      </c>
      <c r="H15" s="38" t="n"/>
      <c r="I15" s="38" t="n"/>
      <c r="J15" s="38" t="n"/>
      <c r="K15" s="38" t="n"/>
      <c r="L15" s="38" t="n"/>
      <c r="M15" s="38" t="n"/>
      <c r="N15" s="38" t="n"/>
      <c r="O15" s="38" t="n"/>
      <c r="P15" s="38" t="n"/>
      <c r="Q15" s="38" t="n"/>
      <c r="R15" s="38" t="n"/>
      <c r="S15" s="38" t="n"/>
      <c r="T15" s="38" t="n"/>
      <c r="U15" s="38" t="n"/>
      <c r="V15" s="38" t="n"/>
      <c r="W15" s="38" t="n"/>
      <c r="X15" s="38" t="n"/>
      <c r="Y15" s="38" t="n"/>
      <c r="Z15" s="38" t="n"/>
      <c r="AA15" s="38" t="n"/>
      <c r="AB15" s="36">
        <f>LOOKUP(2,1/(F15:AA15&lt;&gt;""),F15:AA15)</f>
        <v/>
      </c>
      <c r="AC15" s="39">
        <f>AB15/E15-1</f>
        <v/>
      </c>
      <c r="AD15" s="40">
        <f>D15*(AB15-E15)</f>
        <v/>
      </c>
      <c r="AE15" s="18">
        <f>IFERROR(G15/F15-1,0)</f>
        <v/>
      </c>
      <c r="AF15" s="34">
        <f>IF(AC15&gt;0,"▲ Up",IF(AC15&lt;0,"▼ Down","■ Flat"))</f>
        <v/>
      </c>
    </row>
    <row r="16">
      <c r="A16" s="44" t="inlineStr"/>
      <c r="B16" s="45" t="inlineStr">
        <is>
          <t>PORTFOLIO</t>
        </is>
      </c>
      <c r="C16" s="44" t="inlineStr"/>
      <c r="D16" s="46">
        <f>SUM(D6:D15)</f>
        <v/>
      </c>
      <c r="E16" s="47">
        <f>SUMPRODUCT(D6:D15,E6:E15)</f>
        <v/>
      </c>
      <c r="F16" s="47">
        <f>IF(COUNT(F6:F15)=0,"",SUMPRODUCT($D$6:$D$15,F6:F15))</f>
        <v/>
      </c>
      <c r="G16" s="47">
        <f>IF(COUNT(G6:G15)=0,"",SUMPRODUCT($D$6:$D$15,G6:G15))</f>
        <v/>
      </c>
      <c r="H16" s="47">
        <f>IF(COUNT(H6:H15)=0,"",SUMPRODUCT($D$6:$D$15,H6:H15))</f>
        <v/>
      </c>
      <c r="I16" s="47">
        <f>IF(COUNT(I6:I15)=0,"",SUMPRODUCT($D$6:$D$15,I6:I15))</f>
        <v/>
      </c>
      <c r="J16" s="47">
        <f>IF(COUNT(J6:J15)=0,"",SUMPRODUCT($D$6:$D$15,J6:J15))</f>
        <v/>
      </c>
      <c r="K16" s="47">
        <f>IF(COUNT(K6:K15)=0,"",SUMPRODUCT($D$6:$D$15,K6:K15))</f>
        <v/>
      </c>
      <c r="L16" s="47">
        <f>IF(COUNT(L6:L15)=0,"",SUMPRODUCT($D$6:$D$15,L6:L15))</f>
        <v/>
      </c>
      <c r="M16" s="47">
        <f>IF(COUNT(M6:M15)=0,"",SUMPRODUCT($D$6:$D$15,M6:M15))</f>
        <v/>
      </c>
      <c r="N16" s="47">
        <f>IF(COUNT(N6:N15)=0,"",SUMPRODUCT($D$6:$D$15,N6:N15))</f>
        <v/>
      </c>
      <c r="O16" s="47">
        <f>IF(COUNT(O6:O15)=0,"",SUMPRODUCT($D$6:$D$15,O6:O15))</f>
        <v/>
      </c>
      <c r="P16" s="47">
        <f>IF(COUNT(P6:P15)=0,"",SUMPRODUCT($D$6:$D$15,P6:P15))</f>
        <v/>
      </c>
      <c r="Q16" s="47">
        <f>IF(COUNT(Q6:Q15)=0,"",SUMPRODUCT($D$6:$D$15,Q6:Q15))</f>
        <v/>
      </c>
      <c r="R16" s="47">
        <f>IF(COUNT(R6:R15)=0,"",SUMPRODUCT($D$6:$D$15,R6:R15))</f>
        <v/>
      </c>
      <c r="S16" s="47">
        <f>IF(COUNT(S6:S15)=0,"",SUMPRODUCT($D$6:$D$15,S6:S15))</f>
        <v/>
      </c>
      <c r="T16" s="47">
        <f>IF(COUNT(T6:T15)=0,"",SUMPRODUCT($D$6:$D$15,T6:T15))</f>
        <v/>
      </c>
      <c r="U16" s="47">
        <f>IF(COUNT(U6:U15)=0,"",SUMPRODUCT($D$6:$D$15,U6:U15))</f>
        <v/>
      </c>
      <c r="V16" s="47">
        <f>IF(COUNT(V6:V15)=0,"",SUMPRODUCT($D$6:$D$15,V6:V15))</f>
        <v/>
      </c>
      <c r="W16" s="47">
        <f>IF(COUNT(W6:W15)=0,"",SUMPRODUCT($D$6:$D$15,W6:W15))</f>
        <v/>
      </c>
      <c r="X16" s="47">
        <f>IF(COUNT(X6:X15)=0,"",SUMPRODUCT($D$6:$D$15,X6:X15))</f>
        <v/>
      </c>
      <c r="Y16" s="47">
        <f>IF(COUNT(Y6:Y15)=0,"",SUMPRODUCT($D$6:$D$15,Y6:Y15))</f>
        <v/>
      </c>
      <c r="Z16" s="47">
        <f>IF(COUNT(Z6:Z15)=0,"",SUMPRODUCT($D$6:$D$15,Z6:Z15))</f>
        <v/>
      </c>
      <c r="AA16" s="47">
        <f>IF(COUNT(AA6:AA15)=0,"",SUMPRODUCT($D$6:$D$15,AA6:AA15))</f>
        <v/>
      </c>
      <c r="AB16" s="47">
        <f>SUMPRODUCT(D6:D15,AB6:AB15)</f>
        <v/>
      </c>
      <c r="AC16" s="48">
        <f>AB16/E16-1</f>
        <v/>
      </c>
      <c r="AD16" s="47">
        <f>SUM(AD6:AD15)</f>
        <v/>
      </c>
      <c r="AE16" s="44" t="inlineStr"/>
      <c r="AF16" s="44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7" t="inlineStr">
        <is>
          <t>Formulas link to 'Daily Closes' — edit a close there and this sheet updates.</t>
        </is>
      </c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5">
      <c r="F5" s="49">
        <f>'Daily Closes'!F5</f>
        <v/>
      </c>
      <c r="G5" s="49">
        <f>'Daily Closes'!G5</f>
        <v/>
      </c>
      <c r="H5" s="49">
        <f>'Daily Closes'!H5</f>
        <v/>
      </c>
      <c r="I5" s="49">
        <f>'Daily Closes'!I5</f>
        <v/>
      </c>
      <c r="J5" s="49">
        <f>'Daily Closes'!J5</f>
        <v/>
      </c>
      <c r="K5" s="49">
        <f>'Daily Closes'!K5</f>
        <v/>
      </c>
      <c r="L5" s="49">
        <f>'Daily Closes'!L5</f>
        <v/>
      </c>
      <c r="M5" s="49">
        <f>'Daily Closes'!M5</f>
        <v/>
      </c>
      <c r="N5" s="49">
        <f>'Daily Closes'!N5</f>
        <v/>
      </c>
      <c r="O5" s="49">
        <f>'Daily Closes'!O5</f>
        <v/>
      </c>
      <c r="P5" s="49">
        <f>'Daily Closes'!P5</f>
        <v/>
      </c>
      <c r="Q5" s="49">
        <f>'Daily Closes'!Q5</f>
        <v/>
      </c>
      <c r="R5" s="49">
        <f>'Daily Closes'!R5</f>
        <v/>
      </c>
      <c r="S5" s="49">
        <f>'Daily Closes'!S5</f>
        <v/>
      </c>
      <c r="T5" s="49">
        <f>'Daily Closes'!T5</f>
        <v/>
      </c>
      <c r="U5" s="49">
        <f>'Daily Closes'!U5</f>
        <v/>
      </c>
      <c r="V5" s="49">
        <f>'Daily Closes'!V5</f>
        <v/>
      </c>
      <c r="W5" s="49">
        <f>'Daily Closes'!W5</f>
        <v/>
      </c>
      <c r="X5" s="49">
        <f>'Daily Closes'!X5</f>
        <v/>
      </c>
      <c r="Y5" s="49">
        <f>'Daily Closes'!Y5</f>
        <v/>
      </c>
      <c r="Z5" s="49">
        <f>'Daily Closes'!Z5</f>
        <v/>
      </c>
      <c r="AA5" s="49">
        <f>'Daily Closes'!AA5</f>
        <v/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8">
        <f>IF('Daily Closes'!G6="","",'Daily Closes'!G6/$E6-1)</f>
        <v/>
      </c>
      <c r="H6" s="18">
        <f>IF('Daily Closes'!H6="","",'Daily Closes'!H6/$E6-1)</f>
        <v/>
      </c>
      <c r="I6" s="18">
        <f>IF('Daily Closes'!I6="","",'Daily Closes'!I6/$E6-1)</f>
        <v/>
      </c>
      <c r="J6" s="18">
        <f>IF('Daily Closes'!J6="","",'Daily Closes'!J6/$E6-1)</f>
        <v/>
      </c>
      <c r="K6" s="18">
        <f>IF('Daily Closes'!K6="","",'Daily Closes'!K6/$E6-1)</f>
        <v/>
      </c>
      <c r="L6" s="18">
        <f>IF('Daily Closes'!L6="","",'Daily Closes'!L6/$E6-1)</f>
        <v/>
      </c>
      <c r="M6" s="18">
        <f>IF('Daily Closes'!M6="","",'Daily Closes'!M6/$E6-1)</f>
        <v/>
      </c>
      <c r="N6" s="18">
        <f>IF('Daily Closes'!N6="","",'Daily Closes'!N6/$E6-1)</f>
        <v/>
      </c>
      <c r="O6" s="18">
        <f>IF('Daily Closes'!O6="","",'Daily Closes'!O6/$E6-1)</f>
        <v/>
      </c>
      <c r="P6" s="18">
        <f>IF('Daily Closes'!P6="","",'Daily Closes'!P6/$E6-1)</f>
        <v/>
      </c>
      <c r="Q6" s="18">
        <f>IF('Daily Closes'!Q6="","",'Daily Closes'!Q6/$E6-1)</f>
        <v/>
      </c>
      <c r="R6" s="18">
        <f>IF('Daily Closes'!R6="","",'Daily Closes'!R6/$E6-1)</f>
        <v/>
      </c>
      <c r="S6" s="18">
        <f>IF('Daily Closes'!S6="","",'Daily Closes'!S6/$E6-1)</f>
        <v/>
      </c>
      <c r="T6" s="18">
        <f>IF('Daily Closes'!T6="","",'Daily Closes'!T6/$E6-1)</f>
        <v/>
      </c>
      <c r="U6" s="18">
        <f>IF('Daily Closes'!U6="","",'Daily Closes'!U6/$E6-1)</f>
        <v/>
      </c>
      <c r="V6" s="18">
        <f>IF('Daily Closes'!V6="","",'Daily Closes'!V6/$E6-1)</f>
        <v/>
      </c>
      <c r="W6" s="18">
        <f>IF('Daily Closes'!W6="","",'Daily Closes'!W6/$E6-1)</f>
        <v/>
      </c>
      <c r="X6" s="18">
        <f>IF('Daily Closes'!X6="","",'Daily Closes'!X6/$E6-1)</f>
        <v/>
      </c>
      <c r="Y6" s="18">
        <f>IF('Daily Closes'!Y6="","",'Daily Closes'!Y6/$E6-1)</f>
        <v/>
      </c>
      <c r="Z6" s="18">
        <f>IF('Daily Closes'!Z6="","",'Daily Closes'!Z6/$E6-1)</f>
        <v/>
      </c>
      <c r="AA6" s="18">
        <f>IF('Daily Closes'!AA6="","",'Daily Closes'!AA6/$E6-1)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8">
        <f>IF('Daily Closes'!G7="","",'Daily Closes'!G7/$E7-1)</f>
        <v/>
      </c>
      <c r="H7" s="18">
        <f>IF('Daily Closes'!H7="","",'Daily Closes'!H7/$E7-1)</f>
        <v/>
      </c>
      <c r="I7" s="18">
        <f>IF('Daily Closes'!I7="","",'Daily Closes'!I7/$E7-1)</f>
        <v/>
      </c>
      <c r="J7" s="18">
        <f>IF('Daily Closes'!J7="","",'Daily Closes'!J7/$E7-1)</f>
        <v/>
      </c>
      <c r="K7" s="18">
        <f>IF('Daily Closes'!K7="","",'Daily Closes'!K7/$E7-1)</f>
        <v/>
      </c>
      <c r="L7" s="18">
        <f>IF('Daily Closes'!L7="","",'Daily Closes'!L7/$E7-1)</f>
        <v/>
      </c>
      <c r="M7" s="18">
        <f>IF('Daily Closes'!M7="","",'Daily Closes'!M7/$E7-1)</f>
        <v/>
      </c>
      <c r="N7" s="18">
        <f>IF('Daily Closes'!N7="","",'Daily Closes'!N7/$E7-1)</f>
        <v/>
      </c>
      <c r="O7" s="18">
        <f>IF('Daily Closes'!O7="","",'Daily Closes'!O7/$E7-1)</f>
        <v/>
      </c>
      <c r="P7" s="18">
        <f>IF('Daily Closes'!P7="","",'Daily Closes'!P7/$E7-1)</f>
        <v/>
      </c>
      <c r="Q7" s="18">
        <f>IF('Daily Closes'!Q7="","",'Daily Closes'!Q7/$E7-1)</f>
        <v/>
      </c>
      <c r="R7" s="18">
        <f>IF('Daily Closes'!R7="","",'Daily Closes'!R7/$E7-1)</f>
        <v/>
      </c>
      <c r="S7" s="18">
        <f>IF('Daily Closes'!S7="","",'Daily Closes'!S7/$E7-1)</f>
        <v/>
      </c>
      <c r="T7" s="18">
        <f>IF('Daily Closes'!T7="","",'Daily Closes'!T7/$E7-1)</f>
        <v/>
      </c>
      <c r="U7" s="18">
        <f>IF('Daily Closes'!U7="","",'Daily Closes'!U7/$E7-1)</f>
        <v/>
      </c>
      <c r="V7" s="18">
        <f>IF('Daily Closes'!V7="","",'Daily Closes'!V7/$E7-1)</f>
        <v/>
      </c>
      <c r="W7" s="18">
        <f>IF('Daily Closes'!W7="","",'Daily Closes'!W7/$E7-1)</f>
        <v/>
      </c>
      <c r="X7" s="18">
        <f>IF('Daily Closes'!X7="","",'Daily Closes'!X7/$E7-1)</f>
        <v/>
      </c>
      <c r="Y7" s="18">
        <f>IF('Daily Closes'!Y7="","",'Daily Closes'!Y7/$E7-1)</f>
        <v/>
      </c>
      <c r="Z7" s="18">
        <f>IF('Daily Closes'!Z7="","",'Daily Closes'!Z7/$E7-1)</f>
        <v/>
      </c>
      <c r="AA7" s="18">
        <f>IF('Daily Closes'!AA7="","",'Daily Closes'!AA7/$E7-1)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8">
        <f>IF('Daily Closes'!G8="","",'Daily Closes'!G8/$E8-1)</f>
        <v/>
      </c>
      <c r="H8" s="18">
        <f>IF('Daily Closes'!H8="","",'Daily Closes'!H8/$E8-1)</f>
        <v/>
      </c>
      <c r="I8" s="18">
        <f>IF('Daily Closes'!I8="","",'Daily Closes'!I8/$E8-1)</f>
        <v/>
      </c>
      <c r="J8" s="18">
        <f>IF('Daily Closes'!J8="","",'Daily Closes'!J8/$E8-1)</f>
        <v/>
      </c>
      <c r="K8" s="18">
        <f>IF('Daily Closes'!K8="","",'Daily Closes'!K8/$E8-1)</f>
        <v/>
      </c>
      <c r="L8" s="18">
        <f>IF('Daily Closes'!L8="","",'Daily Closes'!L8/$E8-1)</f>
        <v/>
      </c>
      <c r="M8" s="18">
        <f>IF('Daily Closes'!M8="","",'Daily Closes'!M8/$E8-1)</f>
        <v/>
      </c>
      <c r="N8" s="18">
        <f>IF('Daily Closes'!N8="","",'Daily Closes'!N8/$E8-1)</f>
        <v/>
      </c>
      <c r="O8" s="18">
        <f>IF('Daily Closes'!O8="","",'Daily Closes'!O8/$E8-1)</f>
        <v/>
      </c>
      <c r="P8" s="18">
        <f>IF('Daily Closes'!P8="","",'Daily Closes'!P8/$E8-1)</f>
        <v/>
      </c>
      <c r="Q8" s="18">
        <f>IF('Daily Closes'!Q8="","",'Daily Closes'!Q8/$E8-1)</f>
        <v/>
      </c>
      <c r="R8" s="18">
        <f>IF('Daily Closes'!R8="","",'Daily Closes'!R8/$E8-1)</f>
        <v/>
      </c>
      <c r="S8" s="18">
        <f>IF('Daily Closes'!S8="","",'Daily Closes'!S8/$E8-1)</f>
        <v/>
      </c>
      <c r="T8" s="18">
        <f>IF('Daily Closes'!T8="","",'Daily Closes'!T8/$E8-1)</f>
        <v/>
      </c>
      <c r="U8" s="18">
        <f>IF('Daily Closes'!U8="","",'Daily Closes'!U8/$E8-1)</f>
        <v/>
      </c>
      <c r="V8" s="18">
        <f>IF('Daily Closes'!V8="","",'Daily Closes'!V8/$E8-1)</f>
        <v/>
      </c>
      <c r="W8" s="18">
        <f>IF('Daily Closes'!W8="","",'Daily Closes'!W8/$E8-1)</f>
        <v/>
      </c>
      <c r="X8" s="18">
        <f>IF('Daily Closes'!X8="","",'Daily Closes'!X8/$E8-1)</f>
        <v/>
      </c>
      <c r="Y8" s="18">
        <f>IF('Daily Closes'!Y8="","",'Daily Closes'!Y8/$E8-1)</f>
        <v/>
      </c>
      <c r="Z8" s="18">
        <f>IF('Daily Closes'!Z8="","",'Daily Closes'!Z8/$E8-1)</f>
        <v/>
      </c>
      <c r="AA8" s="18">
        <f>IF('Daily Closes'!AA8="","",'Daily Closes'!AA8/$E8-1)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8">
        <f>IF('Daily Closes'!G9="","",'Daily Closes'!G9/$E9-1)</f>
        <v/>
      </c>
      <c r="H9" s="18">
        <f>IF('Daily Closes'!H9="","",'Daily Closes'!H9/$E9-1)</f>
        <v/>
      </c>
      <c r="I9" s="18">
        <f>IF('Daily Closes'!I9="","",'Daily Closes'!I9/$E9-1)</f>
        <v/>
      </c>
      <c r="J9" s="18">
        <f>IF('Daily Closes'!J9="","",'Daily Closes'!J9/$E9-1)</f>
        <v/>
      </c>
      <c r="K9" s="18">
        <f>IF('Daily Closes'!K9="","",'Daily Closes'!K9/$E9-1)</f>
        <v/>
      </c>
      <c r="L9" s="18">
        <f>IF('Daily Closes'!L9="","",'Daily Closes'!L9/$E9-1)</f>
        <v/>
      </c>
      <c r="M9" s="18">
        <f>IF('Daily Closes'!M9="","",'Daily Closes'!M9/$E9-1)</f>
        <v/>
      </c>
      <c r="N9" s="18">
        <f>IF('Daily Closes'!N9="","",'Daily Closes'!N9/$E9-1)</f>
        <v/>
      </c>
      <c r="O9" s="18">
        <f>IF('Daily Closes'!O9="","",'Daily Closes'!O9/$E9-1)</f>
        <v/>
      </c>
      <c r="P9" s="18">
        <f>IF('Daily Closes'!P9="","",'Daily Closes'!P9/$E9-1)</f>
        <v/>
      </c>
      <c r="Q9" s="18">
        <f>IF('Daily Closes'!Q9="","",'Daily Closes'!Q9/$E9-1)</f>
        <v/>
      </c>
      <c r="R9" s="18">
        <f>IF('Daily Closes'!R9="","",'Daily Closes'!R9/$E9-1)</f>
        <v/>
      </c>
      <c r="S9" s="18">
        <f>IF('Daily Closes'!S9="","",'Daily Closes'!S9/$E9-1)</f>
        <v/>
      </c>
      <c r="T9" s="18">
        <f>IF('Daily Closes'!T9="","",'Daily Closes'!T9/$E9-1)</f>
        <v/>
      </c>
      <c r="U9" s="18">
        <f>IF('Daily Closes'!U9="","",'Daily Closes'!U9/$E9-1)</f>
        <v/>
      </c>
      <c r="V9" s="18">
        <f>IF('Daily Closes'!V9="","",'Daily Closes'!V9/$E9-1)</f>
        <v/>
      </c>
      <c r="W9" s="18">
        <f>IF('Daily Closes'!W9="","",'Daily Closes'!W9/$E9-1)</f>
        <v/>
      </c>
      <c r="X9" s="18">
        <f>IF('Daily Closes'!X9="","",'Daily Closes'!X9/$E9-1)</f>
        <v/>
      </c>
      <c r="Y9" s="18">
        <f>IF('Daily Closes'!Y9="","",'Daily Closes'!Y9/$E9-1)</f>
        <v/>
      </c>
      <c r="Z9" s="18">
        <f>IF('Daily Closes'!Z9="","",'Daily Closes'!Z9/$E9-1)</f>
        <v/>
      </c>
      <c r="AA9" s="18">
        <f>IF('Daily Closes'!AA9="","",'Daily Closes'!AA9/$E9-1)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8">
        <f>IF('Daily Closes'!G10="","",'Daily Closes'!G10/$E10-1)</f>
        <v/>
      </c>
      <c r="H10" s="18">
        <f>IF('Daily Closes'!H10="","",'Daily Closes'!H10/$E10-1)</f>
        <v/>
      </c>
      <c r="I10" s="18">
        <f>IF('Daily Closes'!I10="","",'Daily Closes'!I10/$E10-1)</f>
        <v/>
      </c>
      <c r="J10" s="18">
        <f>IF('Daily Closes'!J10="","",'Daily Closes'!J10/$E10-1)</f>
        <v/>
      </c>
      <c r="K10" s="18">
        <f>IF('Daily Closes'!K10="","",'Daily Closes'!K10/$E10-1)</f>
        <v/>
      </c>
      <c r="L10" s="18">
        <f>IF('Daily Closes'!L10="","",'Daily Closes'!L10/$E10-1)</f>
        <v/>
      </c>
      <c r="M10" s="18">
        <f>IF('Daily Closes'!M10="","",'Daily Closes'!M10/$E10-1)</f>
        <v/>
      </c>
      <c r="N10" s="18">
        <f>IF('Daily Closes'!N10="","",'Daily Closes'!N10/$E10-1)</f>
        <v/>
      </c>
      <c r="O10" s="18">
        <f>IF('Daily Closes'!O10="","",'Daily Closes'!O10/$E10-1)</f>
        <v/>
      </c>
      <c r="P10" s="18">
        <f>IF('Daily Closes'!P10="","",'Daily Closes'!P10/$E10-1)</f>
        <v/>
      </c>
      <c r="Q10" s="18">
        <f>IF('Daily Closes'!Q10="","",'Daily Closes'!Q10/$E10-1)</f>
        <v/>
      </c>
      <c r="R10" s="18">
        <f>IF('Daily Closes'!R10="","",'Daily Closes'!R10/$E10-1)</f>
        <v/>
      </c>
      <c r="S10" s="18">
        <f>IF('Daily Closes'!S10="","",'Daily Closes'!S10/$E10-1)</f>
        <v/>
      </c>
      <c r="T10" s="18">
        <f>IF('Daily Closes'!T10="","",'Daily Closes'!T10/$E10-1)</f>
        <v/>
      </c>
      <c r="U10" s="18">
        <f>IF('Daily Closes'!U10="","",'Daily Closes'!U10/$E10-1)</f>
        <v/>
      </c>
      <c r="V10" s="18">
        <f>IF('Daily Closes'!V10="","",'Daily Closes'!V10/$E10-1)</f>
        <v/>
      </c>
      <c r="W10" s="18">
        <f>IF('Daily Closes'!W10="","",'Daily Closes'!W10/$E10-1)</f>
        <v/>
      </c>
      <c r="X10" s="18">
        <f>IF('Daily Closes'!X10="","",'Daily Closes'!X10/$E10-1)</f>
        <v/>
      </c>
      <c r="Y10" s="18">
        <f>IF('Daily Closes'!Y10="","",'Daily Closes'!Y10/$E10-1)</f>
        <v/>
      </c>
      <c r="Z10" s="18">
        <f>IF('Daily Closes'!Z10="","",'Daily Closes'!Z10/$E10-1)</f>
        <v/>
      </c>
      <c r="AA10" s="18">
        <f>IF('Daily Closes'!AA10="","",'Daily Closes'!AA10/$E10-1)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8">
        <f>IF('Daily Closes'!G11="","",'Daily Closes'!G11/$E11-1)</f>
        <v/>
      </c>
      <c r="H11" s="18">
        <f>IF('Daily Closes'!H11="","",'Daily Closes'!H11/$E11-1)</f>
        <v/>
      </c>
      <c r="I11" s="18">
        <f>IF('Daily Closes'!I11="","",'Daily Closes'!I11/$E11-1)</f>
        <v/>
      </c>
      <c r="J11" s="18">
        <f>IF('Daily Closes'!J11="","",'Daily Closes'!J11/$E11-1)</f>
        <v/>
      </c>
      <c r="K11" s="18">
        <f>IF('Daily Closes'!K11="","",'Daily Closes'!K11/$E11-1)</f>
        <v/>
      </c>
      <c r="L11" s="18">
        <f>IF('Daily Closes'!L11="","",'Daily Closes'!L11/$E11-1)</f>
        <v/>
      </c>
      <c r="M11" s="18">
        <f>IF('Daily Closes'!M11="","",'Daily Closes'!M11/$E11-1)</f>
        <v/>
      </c>
      <c r="N11" s="18">
        <f>IF('Daily Closes'!N11="","",'Daily Closes'!N11/$E11-1)</f>
        <v/>
      </c>
      <c r="O11" s="18">
        <f>IF('Daily Closes'!O11="","",'Daily Closes'!O11/$E11-1)</f>
        <v/>
      </c>
      <c r="P11" s="18">
        <f>IF('Daily Closes'!P11="","",'Daily Closes'!P11/$E11-1)</f>
        <v/>
      </c>
      <c r="Q11" s="18">
        <f>IF('Daily Closes'!Q11="","",'Daily Closes'!Q11/$E11-1)</f>
        <v/>
      </c>
      <c r="R11" s="18">
        <f>IF('Daily Closes'!R11="","",'Daily Closes'!R11/$E11-1)</f>
        <v/>
      </c>
      <c r="S11" s="18">
        <f>IF('Daily Closes'!S11="","",'Daily Closes'!S11/$E11-1)</f>
        <v/>
      </c>
      <c r="T11" s="18">
        <f>IF('Daily Closes'!T11="","",'Daily Closes'!T11/$E11-1)</f>
        <v/>
      </c>
      <c r="U11" s="18">
        <f>IF('Daily Closes'!U11="","",'Daily Closes'!U11/$E11-1)</f>
        <v/>
      </c>
      <c r="V11" s="18">
        <f>IF('Daily Closes'!V11="","",'Daily Closes'!V11/$E11-1)</f>
        <v/>
      </c>
      <c r="W11" s="18">
        <f>IF('Daily Closes'!W11="","",'Daily Closes'!W11/$E11-1)</f>
        <v/>
      </c>
      <c r="X11" s="18">
        <f>IF('Daily Closes'!X11="","",'Daily Closes'!X11/$E11-1)</f>
        <v/>
      </c>
      <c r="Y11" s="18">
        <f>IF('Daily Closes'!Y11="","",'Daily Closes'!Y11/$E11-1)</f>
        <v/>
      </c>
      <c r="Z11" s="18">
        <f>IF('Daily Closes'!Z11="","",'Daily Closes'!Z11/$E11-1)</f>
        <v/>
      </c>
      <c r="AA11" s="18">
        <f>IF('Daily Closes'!AA11="","",'Daily Closes'!AA11/$E11-1)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8">
        <f>IF('Daily Closes'!G12="","",'Daily Closes'!G12/$E12-1)</f>
        <v/>
      </c>
      <c r="H12" s="18">
        <f>IF('Daily Closes'!H12="","",'Daily Closes'!H12/$E12-1)</f>
        <v/>
      </c>
      <c r="I12" s="18">
        <f>IF('Daily Closes'!I12="","",'Daily Closes'!I12/$E12-1)</f>
        <v/>
      </c>
      <c r="J12" s="18">
        <f>IF('Daily Closes'!J12="","",'Daily Closes'!J12/$E12-1)</f>
        <v/>
      </c>
      <c r="K12" s="18">
        <f>IF('Daily Closes'!K12="","",'Daily Closes'!K12/$E12-1)</f>
        <v/>
      </c>
      <c r="L12" s="18">
        <f>IF('Daily Closes'!L12="","",'Daily Closes'!L12/$E12-1)</f>
        <v/>
      </c>
      <c r="M12" s="18">
        <f>IF('Daily Closes'!M12="","",'Daily Closes'!M12/$E12-1)</f>
        <v/>
      </c>
      <c r="N12" s="18">
        <f>IF('Daily Closes'!N12="","",'Daily Closes'!N12/$E12-1)</f>
        <v/>
      </c>
      <c r="O12" s="18">
        <f>IF('Daily Closes'!O12="","",'Daily Closes'!O12/$E12-1)</f>
        <v/>
      </c>
      <c r="P12" s="18">
        <f>IF('Daily Closes'!P12="","",'Daily Closes'!P12/$E12-1)</f>
        <v/>
      </c>
      <c r="Q12" s="18">
        <f>IF('Daily Closes'!Q12="","",'Daily Closes'!Q12/$E12-1)</f>
        <v/>
      </c>
      <c r="R12" s="18">
        <f>IF('Daily Closes'!R12="","",'Daily Closes'!R12/$E12-1)</f>
        <v/>
      </c>
      <c r="S12" s="18">
        <f>IF('Daily Closes'!S12="","",'Daily Closes'!S12/$E12-1)</f>
        <v/>
      </c>
      <c r="T12" s="18">
        <f>IF('Daily Closes'!T12="","",'Daily Closes'!T12/$E12-1)</f>
        <v/>
      </c>
      <c r="U12" s="18">
        <f>IF('Daily Closes'!U12="","",'Daily Closes'!U12/$E12-1)</f>
        <v/>
      </c>
      <c r="V12" s="18">
        <f>IF('Daily Closes'!V12="","",'Daily Closes'!V12/$E12-1)</f>
        <v/>
      </c>
      <c r="W12" s="18">
        <f>IF('Daily Closes'!W12="","",'Daily Closes'!W12/$E12-1)</f>
        <v/>
      </c>
      <c r="X12" s="18">
        <f>IF('Daily Closes'!X12="","",'Daily Closes'!X12/$E12-1)</f>
        <v/>
      </c>
      <c r="Y12" s="18">
        <f>IF('Daily Closes'!Y12="","",'Daily Closes'!Y12/$E12-1)</f>
        <v/>
      </c>
      <c r="Z12" s="18">
        <f>IF('Daily Closes'!Z12="","",'Daily Closes'!Z12/$E12-1)</f>
        <v/>
      </c>
      <c r="AA12" s="18">
        <f>IF('Daily Closes'!AA12="","",'Daily Closes'!AA12/$E12-1)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8">
        <f>IF('Daily Closes'!G13="","",'Daily Closes'!G13/$E13-1)</f>
        <v/>
      </c>
      <c r="H13" s="18">
        <f>IF('Daily Closes'!H13="","",'Daily Closes'!H13/$E13-1)</f>
        <v/>
      </c>
      <c r="I13" s="18">
        <f>IF('Daily Closes'!I13="","",'Daily Closes'!I13/$E13-1)</f>
        <v/>
      </c>
      <c r="J13" s="18">
        <f>IF('Daily Closes'!J13="","",'Daily Closes'!J13/$E13-1)</f>
        <v/>
      </c>
      <c r="K13" s="18">
        <f>IF('Daily Closes'!K13="","",'Daily Closes'!K13/$E13-1)</f>
        <v/>
      </c>
      <c r="L13" s="18">
        <f>IF('Daily Closes'!L13="","",'Daily Closes'!L13/$E13-1)</f>
        <v/>
      </c>
      <c r="M13" s="18">
        <f>IF('Daily Closes'!M13="","",'Daily Closes'!M13/$E13-1)</f>
        <v/>
      </c>
      <c r="N13" s="18">
        <f>IF('Daily Closes'!N13="","",'Daily Closes'!N13/$E13-1)</f>
        <v/>
      </c>
      <c r="O13" s="18">
        <f>IF('Daily Closes'!O13="","",'Daily Closes'!O13/$E13-1)</f>
        <v/>
      </c>
      <c r="P13" s="18">
        <f>IF('Daily Closes'!P13="","",'Daily Closes'!P13/$E13-1)</f>
        <v/>
      </c>
      <c r="Q13" s="18">
        <f>IF('Daily Closes'!Q13="","",'Daily Closes'!Q13/$E13-1)</f>
        <v/>
      </c>
      <c r="R13" s="18">
        <f>IF('Daily Closes'!R13="","",'Daily Closes'!R13/$E13-1)</f>
        <v/>
      </c>
      <c r="S13" s="18">
        <f>IF('Daily Closes'!S13="","",'Daily Closes'!S13/$E13-1)</f>
        <v/>
      </c>
      <c r="T13" s="18">
        <f>IF('Daily Closes'!T13="","",'Daily Closes'!T13/$E13-1)</f>
        <v/>
      </c>
      <c r="U13" s="18">
        <f>IF('Daily Closes'!U13="","",'Daily Closes'!U13/$E13-1)</f>
        <v/>
      </c>
      <c r="V13" s="18">
        <f>IF('Daily Closes'!V13="","",'Daily Closes'!V13/$E13-1)</f>
        <v/>
      </c>
      <c r="W13" s="18">
        <f>IF('Daily Closes'!W13="","",'Daily Closes'!W13/$E13-1)</f>
        <v/>
      </c>
      <c r="X13" s="18">
        <f>IF('Daily Closes'!X13="","",'Daily Closes'!X13/$E13-1)</f>
        <v/>
      </c>
      <c r="Y13" s="18">
        <f>IF('Daily Closes'!Y13="","",'Daily Closes'!Y13/$E13-1)</f>
        <v/>
      </c>
      <c r="Z13" s="18">
        <f>IF('Daily Closes'!Z13="","",'Daily Closes'!Z13/$E13-1)</f>
        <v/>
      </c>
      <c r="AA13" s="18">
        <f>IF('Daily Closes'!AA13="","",'Daily Closes'!AA13/$E13-1)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8">
        <f>IF('Daily Closes'!G14="","",'Daily Closes'!G14/$E14-1)</f>
        <v/>
      </c>
      <c r="H14" s="18">
        <f>IF('Daily Closes'!H14="","",'Daily Closes'!H14/$E14-1)</f>
        <v/>
      </c>
      <c r="I14" s="18">
        <f>IF('Daily Closes'!I14="","",'Daily Closes'!I14/$E14-1)</f>
        <v/>
      </c>
      <c r="J14" s="18">
        <f>IF('Daily Closes'!J14="","",'Daily Closes'!J14/$E14-1)</f>
        <v/>
      </c>
      <c r="K14" s="18">
        <f>IF('Daily Closes'!K14="","",'Daily Closes'!K14/$E14-1)</f>
        <v/>
      </c>
      <c r="L14" s="18">
        <f>IF('Daily Closes'!L14="","",'Daily Closes'!L14/$E14-1)</f>
        <v/>
      </c>
      <c r="M14" s="18">
        <f>IF('Daily Closes'!M14="","",'Daily Closes'!M14/$E14-1)</f>
        <v/>
      </c>
      <c r="N14" s="18">
        <f>IF('Daily Closes'!N14="","",'Daily Closes'!N14/$E14-1)</f>
        <v/>
      </c>
      <c r="O14" s="18">
        <f>IF('Daily Closes'!O14="","",'Daily Closes'!O14/$E14-1)</f>
        <v/>
      </c>
      <c r="P14" s="18">
        <f>IF('Daily Closes'!P14="","",'Daily Closes'!P14/$E14-1)</f>
        <v/>
      </c>
      <c r="Q14" s="18">
        <f>IF('Daily Closes'!Q14="","",'Daily Closes'!Q14/$E14-1)</f>
        <v/>
      </c>
      <c r="R14" s="18">
        <f>IF('Daily Closes'!R14="","",'Daily Closes'!R14/$E14-1)</f>
        <v/>
      </c>
      <c r="S14" s="18">
        <f>IF('Daily Closes'!S14="","",'Daily Closes'!S14/$E14-1)</f>
        <v/>
      </c>
      <c r="T14" s="18">
        <f>IF('Daily Closes'!T14="","",'Daily Closes'!T14/$E14-1)</f>
        <v/>
      </c>
      <c r="U14" s="18">
        <f>IF('Daily Closes'!U14="","",'Daily Closes'!U14/$E14-1)</f>
        <v/>
      </c>
      <c r="V14" s="18">
        <f>IF('Daily Closes'!V14="","",'Daily Closes'!V14/$E14-1)</f>
        <v/>
      </c>
      <c r="W14" s="18">
        <f>IF('Daily Closes'!W14="","",'Daily Closes'!W14/$E14-1)</f>
        <v/>
      </c>
      <c r="X14" s="18">
        <f>IF('Daily Closes'!X14="","",'Daily Closes'!X14/$E14-1)</f>
        <v/>
      </c>
      <c r="Y14" s="18">
        <f>IF('Daily Closes'!Y14="","",'Daily Closes'!Y14/$E14-1)</f>
        <v/>
      </c>
      <c r="Z14" s="18">
        <f>IF('Daily Closes'!Z14="","",'Daily Closes'!Z14/$E14-1)</f>
        <v/>
      </c>
      <c r="AA14" s="18">
        <f>IF('Daily Closes'!AA14="","",'Daily Closes'!AA14/$E14-1)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8">
        <f>IF('Daily Closes'!G15="","",'Daily Closes'!G15/$E15-1)</f>
        <v/>
      </c>
      <c r="H15" s="18">
        <f>IF('Daily Closes'!H15="","",'Daily Closes'!H15/$E15-1)</f>
        <v/>
      </c>
      <c r="I15" s="18">
        <f>IF('Daily Closes'!I15="","",'Daily Closes'!I15/$E15-1)</f>
        <v/>
      </c>
      <c r="J15" s="18">
        <f>IF('Daily Closes'!J15="","",'Daily Closes'!J15/$E15-1)</f>
        <v/>
      </c>
      <c r="K15" s="18">
        <f>IF('Daily Closes'!K15="","",'Daily Closes'!K15/$E15-1)</f>
        <v/>
      </c>
      <c r="L15" s="18">
        <f>IF('Daily Closes'!L15="","",'Daily Closes'!L15/$E15-1)</f>
        <v/>
      </c>
      <c r="M15" s="18">
        <f>IF('Daily Closes'!M15="","",'Daily Closes'!M15/$E15-1)</f>
        <v/>
      </c>
      <c r="N15" s="18">
        <f>IF('Daily Closes'!N15="","",'Daily Closes'!N15/$E15-1)</f>
        <v/>
      </c>
      <c r="O15" s="18">
        <f>IF('Daily Closes'!O15="","",'Daily Closes'!O15/$E15-1)</f>
        <v/>
      </c>
      <c r="P15" s="18">
        <f>IF('Daily Closes'!P15="","",'Daily Closes'!P15/$E15-1)</f>
        <v/>
      </c>
      <c r="Q15" s="18">
        <f>IF('Daily Closes'!Q15="","",'Daily Closes'!Q15/$E15-1)</f>
        <v/>
      </c>
      <c r="R15" s="18">
        <f>IF('Daily Closes'!R15="","",'Daily Closes'!R15/$E15-1)</f>
        <v/>
      </c>
      <c r="S15" s="18">
        <f>IF('Daily Closes'!S15="","",'Daily Closes'!S15/$E15-1)</f>
        <v/>
      </c>
      <c r="T15" s="18">
        <f>IF('Daily Closes'!T15="","",'Daily Closes'!T15/$E15-1)</f>
        <v/>
      </c>
      <c r="U15" s="18">
        <f>IF('Daily Closes'!U15="","",'Daily Closes'!U15/$E15-1)</f>
        <v/>
      </c>
      <c r="V15" s="18">
        <f>IF('Daily Closes'!V15="","",'Daily Closes'!V15/$E15-1)</f>
        <v/>
      </c>
      <c r="W15" s="18">
        <f>IF('Daily Closes'!W15="","",'Daily Closes'!W15/$E15-1)</f>
        <v/>
      </c>
      <c r="X15" s="18">
        <f>IF('Daily Closes'!X15="","",'Daily Closes'!X15/$E15-1)</f>
        <v/>
      </c>
      <c r="Y15" s="18">
        <f>IF('Daily Closes'!Y15="","",'Daily Closes'!Y15/$E15-1)</f>
        <v/>
      </c>
      <c r="Z15" s="18">
        <f>IF('Daily Closes'!Z15="","",'Daily Closes'!Z15/$E15-1)</f>
        <v/>
      </c>
      <c r="AA15" s="18">
        <f>IF('Daily Closes'!AA15="","",'Daily Closes'!AA15/$E15-1)</f>
        <v/>
      </c>
    </row>
    <row r="16">
      <c r="B16" s="15" t="inlineStr">
        <is>
          <t>PORTFOLIO</t>
        </is>
      </c>
      <c r="G16" s="48">
        <f>IF('Daily Closes'!G16="","",'Daily Closes'!G16/'Daily Closes'!$E$16-1)</f>
        <v/>
      </c>
      <c r="H16" s="48">
        <f>IF('Daily Closes'!H16="","",'Daily Closes'!H16/'Daily Closes'!$E$16-1)</f>
        <v/>
      </c>
      <c r="I16" s="48">
        <f>IF('Daily Closes'!I16="","",'Daily Closes'!I16/'Daily Closes'!$E$16-1)</f>
        <v/>
      </c>
      <c r="J16" s="48">
        <f>IF('Daily Closes'!J16="","",'Daily Closes'!J16/'Daily Closes'!$E$16-1)</f>
        <v/>
      </c>
      <c r="K16" s="48">
        <f>IF('Daily Closes'!K16="","",'Daily Closes'!K16/'Daily Closes'!$E$16-1)</f>
        <v/>
      </c>
      <c r="L16" s="48">
        <f>IF('Daily Closes'!L16="","",'Daily Closes'!L16/'Daily Closes'!$E$16-1)</f>
        <v/>
      </c>
      <c r="M16" s="48">
        <f>IF('Daily Closes'!M16="","",'Daily Closes'!M16/'Daily Closes'!$E$16-1)</f>
        <v/>
      </c>
      <c r="N16" s="48">
        <f>IF('Daily Closes'!N16="","",'Daily Closes'!N16/'Daily Closes'!$E$16-1)</f>
        <v/>
      </c>
      <c r="O16" s="48">
        <f>IF('Daily Closes'!O16="","",'Daily Closes'!O16/'Daily Closes'!$E$16-1)</f>
        <v/>
      </c>
      <c r="P16" s="48">
        <f>IF('Daily Closes'!P16="","",'Daily Closes'!P16/'Daily Closes'!$E$16-1)</f>
        <v/>
      </c>
      <c r="Q16" s="48">
        <f>IF('Daily Closes'!Q16="","",'Daily Closes'!Q16/'Daily Closes'!$E$16-1)</f>
        <v/>
      </c>
      <c r="R16" s="48">
        <f>IF('Daily Closes'!R16="","",'Daily Closes'!R16/'Daily Closes'!$E$16-1)</f>
        <v/>
      </c>
      <c r="S16" s="48">
        <f>IF('Daily Closes'!S16="","",'Daily Closes'!S16/'Daily Closes'!$E$16-1)</f>
        <v/>
      </c>
      <c r="T16" s="48">
        <f>IF('Daily Closes'!T16="","",'Daily Closes'!T16/'Daily Closes'!$E$16-1)</f>
        <v/>
      </c>
      <c r="U16" s="48">
        <f>IF('Daily Closes'!U16="","",'Daily Closes'!U16/'Daily Closes'!$E$16-1)</f>
        <v/>
      </c>
      <c r="V16" s="48">
        <f>IF('Daily Closes'!V16="","",'Daily Closes'!V16/'Daily Closes'!$E$16-1)</f>
        <v/>
      </c>
      <c r="W16" s="48">
        <f>IF('Daily Closes'!W16="","",'Daily Closes'!W16/'Daily Closes'!$E$16-1)</f>
        <v/>
      </c>
      <c r="X16" s="48">
        <f>IF('Daily Closes'!X16="","",'Daily Closes'!X16/'Daily Closes'!$E$16-1)</f>
        <v/>
      </c>
      <c r="Y16" s="48">
        <f>IF('Daily Closes'!Y16="","",'Daily Closes'!Y16/'Daily Closes'!$E$16-1)</f>
        <v/>
      </c>
      <c r="Z16" s="48">
        <f>IF('Daily Closes'!Z16="","",'Daily Closes'!Z16/'Daily Closes'!$E$16-1)</f>
        <v/>
      </c>
      <c r="AA16" s="48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4" t="inlineStr">
        <is>
          <t>#</t>
        </is>
      </c>
      <c r="B4" s="14" t="inlineStr">
        <is>
          <t>Symbol</t>
        </is>
      </c>
      <c r="C4" s="14" t="inlineStr">
        <is>
          <t>ISIN</t>
        </is>
      </c>
      <c r="D4" s="14" t="inlineStr">
        <is>
          <t>Qty</t>
        </is>
      </c>
      <c r="E4" s="14" t="inlineStr">
        <is>
          <t>Entry ₹</t>
        </is>
      </c>
      <c r="F4" s="14" t="inlineStr">
        <is>
          <t>Day 0</t>
        </is>
      </c>
      <c r="G4" s="29" t="inlineStr">
        <is>
          <t>Day 1</t>
        </is>
      </c>
      <c r="H4" s="14" t="inlineStr">
        <is>
          <t>Day 2</t>
        </is>
      </c>
      <c r="I4" s="14" t="inlineStr">
        <is>
          <t>Day 3</t>
        </is>
      </c>
      <c r="J4" s="14" t="inlineStr">
        <is>
          <t>Day 4</t>
        </is>
      </c>
      <c r="K4" s="14" t="inlineStr">
        <is>
          <t>Day 5</t>
        </is>
      </c>
      <c r="L4" s="14" t="inlineStr">
        <is>
          <t>Day 6</t>
        </is>
      </c>
      <c r="M4" s="14" t="inlineStr">
        <is>
          <t>Day 7</t>
        </is>
      </c>
      <c r="N4" s="14" t="inlineStr">
        <is>
          <t>Day 8</t>
        </is>
      </c>
      <c r="O4" s="14" t="inlineStr">
        <is>
          <t>Day 9</t>
        </is>
      </c>
      <c r="P4" s="14" t="inlineStr">
        <is>
          <t>Day 10</t>
        </is>
      </c>
      <c r="Q4" s="14" t="inlineStr">
        <is>
          <t>Day 11</t>
        </is>
      </c>
      <c r="R4" s="14" t="inlineStr">
        <is>
          <t>Day 12</t>
        </is>
      </c>
      <c r="S4" s="14" t="inlineStr">
        <is>
          <t>Day 13</t>
        </is>
      </c>
      <c r="T4" s="14" t="inlineStr">
        <is>
          <t>Day 14</t>
        </is>
      </c>
      <c r="U4" s="14" t="inlineStr">
        <is>
          <t>Day 15</t>
        </is>
      </c>
      <c r="V4" s="14" t="inlineStr">
        <is>
          <t>Day 16</t>
        </is>
      </c>
      <c r="W4" s="14" t="inlineStr">
        <is>
          <t>Day 17</t>
        </is>
      </c>
      <c r="X4" s="14" t="inlineStr">
        <is>
          <t>Day 18</t>
        </is>
      </c>
      <c r="Y4" s="14" t="inlineStr">
        <is>
          <t>Day 19</t>
        </is>
      </c>
      <c r="Z4" s="14" t="inlineStr">
        <is>
          <t>Day 20</t>
        </is>
      </c>
      <c r="AA4" s="14" t="inlineStr">
        <is>
          <t>Day 21</t>
        </is>
      </c>
    </row>
    <row r="6">
      <c r="A6" s="50">
        <f>'Daily Closes'!A6</f>
        <v/>
      </c>
      <c r="B6" s="15">
        <f>'Daily Closes'!B6</f>
        <v/>
      </c>
      <c r="C6" s="51">
        <f>'Daily Closes'!C6</f>
        <v/>
      </c>
      <c r="D6" s="50">
        <f>'Daily Closes'!D6</f>
        <v/>
      </c>
      <c r="E6" s="17">
        <f>'Daily Closes'!E6</f>
        <v/>
      </c>
      <c r="F6" s="34" t="inlineStr">
        <is>
          <t>—</t>
        </is>
      </c>
      <c r="G6" s="19">
        <f>IF('Daily Closes'!G6="","",$D6*('Daily Closes'!G6-$E6))</f>
        <v/>
      </c>
      <c r="H6" s="19">
        <f>IF('Daily Closes'!H6="","",$D6*('Daily Closes'!H6-$E6))</f>
        <v/>
      </c>
      <c r="I6" s="19">
        <f>IF('Daily Closes'!I6="","",$D6*('Daily Closes'!I6-$E6))</f>
        <v/>
      </c>
      <c r="J6" s="19">
        <f>IF('Daily Closes'!J6="","",$D6*('Daily Closes'!J6-$E6))</f>
        <v/>
      </c>
      <c r="K6" s="19">
        <f>IF('Daily Closes'!K6="","",$D6*('Daily Closes'!K6-$E6))</f>
        <v/>
      </c>
      <c r="L6" s="19">
        <f>IF('Daily Closes'!L6="","",$D6*('Daily Closes'!L6-$E6))</f>
        <v/>
      </c>
      <c r="M6" s="19">
        <f>IF('Daily Closes'!M6="","",$D6*('Daily Closes'!M6-$E6))</f>
        <v/>
      </c>
      <c r="N6" s="19">
        <f>IF('Daily Closes'!N6="","",$D6*('Daily Closes'!N6-$E6))</f>
        <v/>
      </c>
      <c r="O6" s="19">
        <f>IF('Daily Closes'!O6="","",$D6*('Daily Closes'!O6-$E6))</f>
        <v/>
      </c>
      <c r="P6" s="19">
        <f>IF('Daily Closes'!P6="","",$D6*('Daily Closes'!P6-$E6))</f>
        <v/>
      </c>
      <c r="Q6" s="19">
        <f>IF('Daily Closes'!Q6="","",$D6*('Daily Closes'!Q6-$E6))</f>
        <v/>
      </c>
      <c r="R6" s="19">
        <f>IF('Daily Closes'!R6="","",$D6*('Daily Closes'!R6-$E6))</f>
        <v/>
      </c>
      <c r="S6" s="19">
        <f>IF('Daily Closes'!S6="","",$D6*('Daily Closes'!S6-$E6))</f>
        <v/>
      </c>
      <c r="T6" s="19">
        <f>IF('Daily Closes'!T6="","",$D6*('Daily Closes'!T6-$E6))</f>
        <v/>
      </c>
      <c r="U6" s="19">
        <f>IF('Daily Closes'!U6="","",$D6*('Daily Closes'!U6-$E6))</f>
        <v/>
      </c>
      <c r="V6" s="19">
        <f>IF('Daily Closes'!V6="","",$D6*('Daily Closes'!V6-$E6))</f>
        <v/>
      </c>
      <c r="W6" s="19">
        <f>IF('Daily Closes'!W6="","",$D6*('Daily Closes'!W6-$E6))</f>
        <v/>
      </c>
      <c r="X6" s="19">
        <f>IF('Daily Closes'!X6="","",$D6*('Daily Closes'!X6-$E6))</f>
        <v/>
      </c>
      <c r="Y6" s="19">
        <f>IF('Daily Closes'!Y6="","",$D6*('Daily Closes'!Y6-$E6))</f>
        <v/>
      </c>
      <c r="Z6" s="19">
        <f>IF('Daily Closes'!Z6="","",$D6*('Daily Closes'!Z6-$E6))</f>
        <v/>
      </c>
      <c r="AA6" s="19">
        <f>IF('Daily Closes'!AA6="","",$D6*('Daily Closes'!AA6-$E6))</f>
        <v/>
      </c>
    </row>
    <row r="7">
      <c r="A7" s="50">
        <f>'Daily Closes'!A7</f>
        <v/>
      </c>
      <c r="B7" s="15">
        <f>'Daily Closes'!B7</f>
        <v/>
      </c>
      <c r="C7" s="51">
        <f>'Daily Closes'!C7</f>
        <v/>
      </c>
      <c r="D7" s="50">
        <f>'Daily Closes'!D7</f>
        <v/>
      </c>
      <c r="E7" s="17">
        <f>'Daily Closes'!E7</f>
        <v/>
      </c>
      <c r="F7" s="34" t="inlineStr">
        <is>
          <t>—</t>
        </is>
      </c>
      <c r="G7" s="19">
        <f>IF('Daily Closes'!G7="","",$D7*('Daily Closes'!G7-$E7))</f>
        <v/>
      </c>
      <c r="H7" s="19">
        <f>IF('Daily Closes'!H7="","",$D7*('Daily Closes'!H7-$E7))</f>
        <v/>
      </c>
      <c r="I7" s="19">
        <f>IF('Daily Closes'!I7="","",$D7*('Daily Closes'!I7-$E7))</f>
        <v/>
      </c>
      <c r="J7" s="19">
        <f>IF('Daily Closes'!J7="","",$D7*('Daily Closes'!J7-$E7))</f>
        <v/>
      </c>
      <c r="K7" s="19">
        <f>IF('Daily Closes'!K7="","",$D7*('Daily Closes'!K7-$E7))</f>
        <v/>
      </c>
      <c r="L7" s="19">
        <f>IF('Daily Closes'!L7="","",$D7*('Daily Closes'!L7-$E7))</f>
        <v/>
      </c>
      <c r="M7" s="19">
        <f>IF('Daily Closes'!M7="","",$D7*('Daily Closes'!M7-$E7))</f>
        <v/>
      </c>
      <c r="N7" s="19">
        <f>IF('Daily Closes'!N7="","",$D7*('Daily Closes'!N7-$E7))</f>
        <v/>
      </c>
      <c r="O7" s="19">
        <f>IF('Daily Closes'!O7="","",$D7*('Daily Closes'!O7-$E7))</f>
        <v/>
      </c>
      <c r="P7" s="19">
        <f>IF('Daily Closes'!P7="","",$D7*('Daily Closes'!P7-$E7))</f>
        <v/>
      </c>
      <c r="Q7" s="19">
        <f>IF('Daily Closes'!Q7="","",$D7*('Daily Closes'!Q7-$E7))</f>
        <v/>
      </c>
      <c r="R7" s="19">
        <f>IF('Daily Closes'!R7="","",$D7*('Daily Closes'!R7-$E7))</f>
        <v/>
      </c>
      <c r="S7" s="19">
        <f>IF('Daily Closes'!S7="","",$D7*('Daily Closes'!S7-$E7))</f>
        <v/>
      </c>
      <c r="T7" s="19">
        <f>IF('Daily Closes'!T7="","",$D7*('Daily Closes'!T7-$E7))</f>
        <v/>
      </c>
      <c r="U7" s="19">
        <f>IF('Daily Closes'!U7="","",$D7*('Daily Closes'!U7-$E7))</f>
        <v/>
      </c>
      <c r="V7" s="19">
        <f>IF('Daily Closes'!V7="","",$D7*('Daily Closes'!V7-$E7))</f>
        <v/>
      </c>
      <c r="W7" s="19">
        <f>IF('Daily Closes'!W7="","",$D7*('Daily Closes'!W7-$E7))</f>
        <v/>
      </c>
      <c r="X7" s="19">
        <f>IF('Daily Closes'!X7="","",$D7*('Daily Closes'!X7-$E7))</f>
        <v/>
      </c>
      <c r="Y7" s="19">
        <f>IF('Daily Closes'!Y7="","",$D7*('Daily Closes'!Y7-$E7))</f>
        <v/>
      </c>
      <c r="Z7" s="19">
        <f>IF('Daily Closes'!Z7="","",$D7*('Daily Closes'!Z7-$E7))</f>
        <v/>
      </c>
      <c r="AA7" s="19">
        <f>IF('Daily Closes'!AA7="","",$D7*('Daily Closes'!AA7-$E7))</f>
        <v/>
      </c>
    </row>
    <row r="8">
      <c r="A8" s="50">
        <f>'Daily Closes'!A8</f>
        <v/>
      </c>
      <c r="B8" s="15">
        <f>'Daily Closes'!B8</f>
        <v/>
      </c>
      <c r="C8" s="51">
        <f>'Daily Closes'!C8</f>
        <v/>
      </c>
      <c r="D8" s="50">
        <f>'Daily Closes'!D8</f>
        <v/>
      </c>
      <c r="E8" s="17">
        <f>'Daily Closes'!E8</f>
        <v/>
      </c>
      <c r="F8" s="34" t="inlineStr">
        <is>
          <t>—</t>
        </is>
      </c>
      <c r="G8" s="19">
        <f>IF('Daily Closes'!G8="","",$D8*('Daily Closes'!G8-$E8))</f>
        <v/>
      </c>
      <c r="H8" s="19">
        <f>IF('Daily Closes'!H8="","",$D8*('Daily Closes'!H8-$E8))</f>
        <v/>
      </c>
      <c r="I8" s="19">
        <f>IF('Daily Closes'!I8="","",$D8*('Daily Closes'!I8-$E8))</f>
        <v/>
      </c>
      <c r="J8" s="19">
        <f>IF('Daily Closes'!J8="","",$D8*('Daily Closes'!J8-$E8))</f>
        <v/>
      </c>
      <c r="K8" s="19">
        <f>IF('Daily Closes'!K8="","",$D8*('Daily Closes'!K8-$E8))</f>
        <v/>
      </c>
      <c r="L8" s="19">
        <f>IF('Daily Closes'!L8="","",$D8*('Daily Closes'!L8-$E8))</f>
        <v/>
      </c>
      <c r="M8" s="19">
        <f>IF('Daily Closes'!M8="","",$D8*('Daily Closes'!M8-$E8))</f>
        <v/>
      </c>
      <c r="N8" s="19">
        <f>IF('Daily Closes'!N8="","",$D8*('Daily Closes'!N8-$E8))</f>
        <v/>
      </c>
      <c r="O8" s="19">
        <f>IF('Daily Closes'!O8="","",$D8*('Daily Closes'!O8-$E8))</f>
        <v/>
      </c>
      <c r="P8" s="19">
        <f>IF('Daily Closes'!P8="","",$D8*('Daily Closes'!P8-$E8))</f>
        <v/>
      </c>
      <c r="Q8" s="19">
        <f>IF('Daily Closes'!Q8="","",$D8*('Daily Closes'!Q8-$E8))</f>
        <v/>
      </c>
      <c r="R8" s="19">
        <f>IF('Daily Closes'!R8="","",$D8*('Daily Closes'!R8-$E8))</f>
        <v/>
      </c>
      <c r="S8" s="19">
        <f>IF('Daily Closes'!S8="","",$D8*('Daily Closes'!S8-$E8))</f>
        <v/>
      </c>
      <c r="T8" s="19">
        <f>IF('Daily Closes'!T8="","",$D8*('Daily Closes'!T8-$E8))</f>
        <v/>
      </c>
      <c r="U8" s="19">
        <f>IF('Daily Closes'!U8="","",$D8*('Daily Closes'!U8-$E8))</f>
        <v/>
      </c>
      <c r="V8" s="19">
        <f>IF('Daily Closes'!V8="","",$D8*('Daily Closes'!V8-$E8))</f>
        <v/>
      </c>
      <c r="W8" s="19">
        <f>IF('Daily Closes'!W8="","",$D8*('Daily Closes'!W8-$E8))</f>
        <v/>
      </c>
      <c r="X8" s="19">
        <f>IF('Daily Closes'!X8="","",$D8*('Daily Closes'!X8-$E8))</f>
        <v/>
      </c>
      <c r="Y8" s="19">
        <f>IF('Daily Closes'!Y8="","",$D8*('Daily Closes'!Y8-$E8))</f>
        <v/>
      </c>
      <c r="Z8" s="19">
        <f>IF('Daily Closes'!Z8="","",$D8*('Daily Closes'!Z8-$E8))</f>
        <v/>
      </c>
      <c r="AA8" s="19">
        <f>IF('Daily Closes'!AA8="","",$D8*('Daily Closes'!AA8-$E8))</f>
        <v/>
      </c>
    </row>
    <row r="9">
      <c r="A9" s="50">
        <f>'Daily Closes'!A9</f>
        <v/>
      </c>
      <c r="B9" s="15">
        <f>'Daily Closes'!B9</f>
        <v/>
      </c>
      <c r="C9" s="51">
        <f>'Daily Closes'!C9</f>
        <v/>
      </c>
      <c r="D9" s="50">
        <f>'Daily Closes'!D9</f>
        <v/>
      </c>
      <c r="E9" s="17">
        <f>'Daily Closes'!E9</f>
        <v/>
      </c>
      <c r="F9" s="34" t="inlineStr">
        <is>
          <t>—</t>
        </is>
      </c>
      <c r="G9" s="19">
        <f>IF('Daily Closes'!G9="","",$D9*('Daily Closes'!G9-$E9))</f>
        <v/>
      </c>
      <c r="H9" s="19">
        <f>IF('Daily Closes'!H9="","",$D9*('Daily Closes'!H9-$E9))</f>
        <v/>
      </c>
      <c r="I9" s="19">
        <f>IF('Daily Closes'!I9="","",$D9*('Daily Closes'!I9-$E9))</f>
        <v/>
      </c>
      <c r="J9" s="19">
        <f>IF('Daily Closes'!J9="","",$D9*('Daily Closes'!J9-$E9))</f>
        <v/>
      </c>
      <c r="K9" s="19">
        <f>IF('Daily Closes'!K9="","",$D9*('Daily Closes'!K9-$E9))</f>
        <v/>
      </c>
      <c r="L9" s="19">
        <f>IF('Daily Closes'!L9="","",$D9*('Daily Closes'!L9-$E9))</f>
        <v/>
      </c>
      <c r="M9" s="19">
        <f>IF('Daily Closes'!M9="","",$D9*('Daily Closes'!M9-$E9))</f>
        <v/>
      </c>
      <c r="N9" s="19">
        <f>IF('Daily Closes'!N9="","",$D9*('Daily Closes'!N9-$E9))</f>
        <v/>
      </c>
      <c r="O9" s="19">
        <f>IF('Daily Closes'!O9="","",$D9*('Daily Closes'!O9-$E9))</f>
        <v/>
      </c>
      <c r="P9" s="19">
        <f>IF('Daily Closes'!P9="","",$D9*('Daily Closes'!P9-$E9))</f>
        <v/>
      </c>
      <c r="Q9" s="19">
        <f>IF('Daily Closes'!Q9="","",$D9*('Daily Closes'!Q9-$E9))</f>
        <v/>
      </c>
      <c r="R9" s="19">
        <f>IF('Daily Closes'!R9="","",$D9*('Daily Closes'!R9-$E9))</f>
        <v/>
      </c>
      <c r="S9" s="19">
        <f>IF('Daily Closes'!S9="","",$D9*('Daily Closes'!S9-$E9))</f>
        <v/>
      </c>
      <c r="T9" s="19">
        <f>IF('Daily Closes'!T9="","",$D9*('Daily Closes'!T9-$E9))</f>
        <v/>
      </c>
      <c r="U9" s="19">
        <f>IF('Daily Closes'!U9="","",$D9*('Daily Closes'!U9-$E9))</f>
        <v/>
      </c>
      <c r="V9" s="19">
        <f>IF('Daily Closes'!V9="","",$D9*('Daily Closes'!V9-$E9))</f>
        <v/>
      </c>
      <c r="W9" s="19">
        <f>IF('Daily Closes'!W9="","",$D9*('Daily Closes'!W9-$E9))</f>
        <v/>
      </c>
      <c r="X9" s="19">
        <f>IF('Daily Closes'!X9="","",$D9*('Daily Closes'!X9-$E9))</f>
        <v/>
      </c>
      <c r="Y9" s="19">
        <f>IF('Daily Closes'!Y9="","",$D9*('Daily Closes'!Y9-$E9))</f>
        <v/>
      </c>
      <c r="Z9" s="19">
        <f>IF('Daily Closes'!Z9="","",$D9*('Daily Closes'!Z9-$E9))</f>
        <v/>
      </c>
      <c r="AA9" s="19">
        <f>IF('Daily Closes'!AA9="","",$D9*('Daily Closes'!AA9-$E9))</f>
        <v/>
      </c>
    </row>
    <row r="10">
      <c r="A10" s="50">
        <f>'Daily Closes'!A10</f>
        <v/>
      </c>
      <c r="B10" s="15">
        <f>'Daily Closes'!B10</f>
        <v/>
      </c>
      <c r="C10" s="51">
        <f>'Daily Closes'!C10</f>
        <v/>
      </c>
      <c r="D10" s="50">
        <f>'Daily Closes'!D10</f>
        <v/>
      </c>
      <c r="E10" s="17">
        <f>'Daily Closes'!E10</f>
        <v/>
      </c>
      <c r="F10" s="34" t="inlineStr">
        <is>
          <t>—</t>
        </is>
      </c>
      <c r="G10" s="19">
        <f>IF('Daily Closes'!G10="","",$D10*('Daily Closes'!G10-$E10))</f>
        <v/>
      </c>
      <c r="H10" s="19">
        <f>IF('Daily Closes'!H10="","",$D10*('Daily Closes'!H10-$E10))</f>
        <v/>
      </c>
      <c r="I10" s="19">
        <f>IF('Daily Closes'!I10="","",$D10*('Daily Closes'!I10-$E10))</f>
        <v/>
      </c>
      <c r="J10" s="19">
        <f>IF('Daily Closes'!J10="","",$D10*('Daily Closes'!J10-$E10))</f>
        <v/>
      </c>
      <c r="K10" s="19">
        <f>IF('Daily Closes'!K10="","",$D10*('Daily Closes'!K10-$E10))</f>
        <v/>
      </c>
      <c r="L10" s="19">
        <f>IF('Daily Closes'!L10="","",$D10*('Daily Closes'!L10-$E10))</f>
        <v/>
      </c>
      <c r="M10" s="19">
        <f>IF('Daily Closes'!M10="","",$D10*('Daily Closes'!M10-$E10))</f>
        <v/>
      </c>
      <c r="N10" s="19">
        <f>IF('Daily Closes'!N10="","",$D10*('Daily Closes'!N10-$E10))</f>
        <v/>
      </c>
      <c r="O10" s="19">
        <f>IF('Daily Closes'!O10="","",$D10*('Daily Closes'!O10-$E10))</f>
        <v/>
      </c>
      <c r="P10" s="19">
        <f>IF('Daily Closes'!P10="","",$D10*('Daily Closes'!P10-$E10))</f>
        <v/>
      </c>
      <c r="Q10" s="19">
        <f>IF('Daily Closes'!Q10="","",$D10*('Daily Closes'!Q10-$E10))</f>
        <v/>
      </c>
      <c r="R10" s="19">
        <f>IF('Daily Closes'!R10="","",$D10*('Daily Closes'!R10-$E10))</f>
        <v/>
      </c>
      <c r="S10" s="19">
        <f>IF('Daily Closes'!S10="","",$D10*('Daily Closes'!S10-$E10))</f>
        <v/>
      </c>
      <c r="T10" s="19">
        <f>IF('Daily Closes'!T10="","",$D10*('Daily Closes'!T10-$E10))</f>
        <v/>
      </c>
      <c r="U10" s="19">
        <f>IF('Daily Closes'!U10="","",$D10*('Daily Closes'!U10-$E10))</f>
        <v/>
      </c>
      <c r="V10" s="19">
        <f>IF('Daily Closes'!V10="","",$D10*('Daily Closes'!V10-$E10))</f>
        <v/>
      </c>
      <c r="W10" s="19">
        <f>IF('Daily Closes'!W10="","",$D10*('Daily Closes'!W10-$E10))</f>
        <v/>
      </c>
      <c r="X10" s="19">
        <f>IF('Daily Closes'!X10="","",$D10*('Daily Closes'!X10-$E10))</f>
        <v/>
      </c>
      <c r="Y10" s="19">
        <f>IF('Daily Closes'!Y10="","",$D10*('Daily Closes'!Y10-$E10))</f>
        <v/>
      </c>
      <c r="Z10" s="19">
        <f>IF('Daily Closes'!Z10="","",$D10*('Daily Closes'!Z10-$E10))</f>
        <v/>
      </c>
      <c r="AA10" s="19">
        <f>IF('Daily Closes'!AA10="","",$D10*('Daily Closes'!AA10-$E10))</f>
        <v/>
      </c>
    </row>
    <row r="11">
      <c r="A11" s="50">
        <f>'Daily Closes'!A11</f>
        <v/>
      </c>
      <c r="B11" s="15">
        <f>'Daily Closes'!B11</f>
        <v/>
      </c>
      <c r="C11" s="51">
        <f>'Daily Closes'!C11</f>
        <v/>
      </c>
      <c r="D11" s="50">
        <f>'Daily Closes'!D11</f>
        <v/>
      </c>
      <c r="E11" s="17">
        <f>'Daily Closes'!E11</f>
        <v/>
      </c>
      <c r="F11" s="34" t="inlineStr">
        <is>
          <t>—</t>
        </is>
      </c>
      <c r="G11" s="19">
        <f>IF('Daily Closes'!G11="","",$D11*('Daily Closes'!G11-$E11))</f>
        <v/>
      </c>
      <c r="H11" s="19">
        <f>IF('Daily Closes'!H11="","",$D11*('Daily Closes'!H11-$E11))</f>
        <v/>
      </c>
      <c r="I11" s="19">
        <f>IF('Daily Closes'!I11="","",$D11*('Daily Closes'!I11-$E11))</f>
        <v/>
      </c>
      <c r="J11" s="19">
        <f>IF('Daily Closes'!J11="","",$D11*('Daily Closes'!J11-$E11))</f>
        <v/>
      </c>
      <c r="K11" s="19">
        <f>IF('Daily Closes'!K11="","",$D11*('Daily Closes'!K11-$E11))</f>
        <v/>
      </c>
      <c r="L11" s="19">
        <f>IF('Daily Closes'!L11="","",$D11*('Daily Closes'!L11-$E11))</f>
        <v/>
      </c>
      <c r="M11" s="19">
        <f>IF('Daily Closes'!M11="","",$D11*('Daily Closes'!M11-$E11))</f>
        <v/>
      </c>
      <c r="N11" s="19">
        <f>IF('Daily Closes'!N11="","",$D11*('Daily Closes'!N11-$E11))</f>
        <v/>
      </c>
      <c r="O11" s="19">
        <f>IF('Daily Closes'!O11="","",$D11*('Daily Closes'!O11-$E11))</f>
        <v/>
      </c>
      <c r="P11" s="19">
        <f>IF('Daily Closes'!P11="","",$D11*('Daily Closes'!P11-$E11))</f>
        <v/>
      </c>
      <c r="Q11" s="19">
        <f>IF('Daily Closes'!Q11="","",$D11*('Daily Closes'!Q11-$E11))</f>
        <v/>
      </c>
      <c r="R11" s="19">
        <f>IF('Daily Closes'!R11="","",$D11*('Daily Closes'!R11-$E11))</f>
        <v/>
      </c>
      <c r="S11" s="19">
        <f>IF('Daily Closes'!S11="","",$D11*('Daily Closes'!S11-$E11))</f>
        <v/>
      </c>
      <c r="T11" s="19">
        <f>IF('Daily Closes'!T11="","",$D11*('Daily Closes'!T11-$E11))</f>
        <v/>
      </c>
      <c r="U11" s="19">
        <f>IF('Daily Closes'!U11="","",$D11*('Daily Closes'!U11-$E11))</f>
        <v/>
      </c>
      <c r="V11" s="19">
        <f>IF('Daily Closes'!V11="","",$D11*('Daily Closes'!V11-$E11))</f>
        <v/>
      </c>
      <c r="W11" s="19">
        <f>IF('Daily Closes'!W11="","",$D11*('Daily Closes'!W11-$E11))</f>
        <v/>
      </c>
      <c r="X11" s="19">
        <f>IF('Daily Closes'!X11="","",$D11*('Daily Closes'!X11-$E11))</f>
        <v/>
      </c>
      <c r="Y11" s="19">
        <f>IF('Daily Closes'!Y11="","",$D11*('Daily Closes'!Y11-$E11))</f>
        <v/>
      </c>
      <c r="Z11" s="19">
        <f>IF('Daily Closes'!Z11="","",$D11*('Daily Closes'!Z11-$E11))</f>
        <v/>
      </c>
      <c r="AA11" s="19">
        <f>IF('Daily Closes'!AA11="","",$D11*('Daily Closes'!AA11-$E11))</f>
        <v/>
      </c>
    </row>
    <row r="12">
      <c r="A12" s="50">
        <f>'Daily Closes'!A12</f>
        <v/>
      </c>
      <c r="B12" s="15">
        <f>'Daily Closes'!B12</f>
        <v/>
      </c>
      <c r="C12" s="51">
        <f>'Daily Closes'!C12</f>
        <v/>
      </c>
      <c r="D12" s="50">
        <f>'Daily Closes'!D12</f>
        <v/>
      </c>
      <c r="E12" s="17">
        <f>'Daily Closes'!E12</f>
        <v/>
      </c>
      <c r="F12" s="34" t="inlineStr">
        <is>
          <t>—</t>
        </is>
      </c>
      <c r="G12" s="19">
        <f>IF('Daily Closes'!G12="","",$D12*('Daily Closes'!G12-$E12))</f>
        <v/>
      </c>
      <c r="H12" s="19">
        <f>IF('Daily Closes'!H12="","",$D12*('Daily Closes'!H12-$E12))</f>
        <v/>
      </c>
      <c r="I12" s="19">
        <f>IF('Daily Closes'!I12="","",$D12*('Daily Closes'!I12-$E12))</f>
        <v/>
      </c>
      <c r="J12" s="19">
        <f>IF('Daily Closes'!J12="","",$D12*('Daily Closes'!J12-$E12))</f>
        <v/>
      </c>
      <c r="K12" s="19">
        <f>IF('Daily Closes'!K12="","",$D12*('Daily Closes'!K12-$E12))</f>
        <v/>
      </c>
      <c r="L12" s="19">
        <f>IF('Daily Closes'!L12="","",$D12*('Daily Closes'!L12-$E12))</f>
        <v/>
      </c>
      <c r="M12" s="19">
        <f>IF('Daily Closes'!M12="","",$D12*('Daily Closes'!M12-$E12))</f>
        <v/>
      </c>
      <c r="N12" s="19">
        <f>IF('Daily Closes'!N12="","",$D12*('Daily Closes'!N12-$E12))</f>
        <v/>
      </c>
      <c r="O12" s="19">
        <f>IF('Daily Closes'!O12="","",$D12*('Daily Closes'!O12-$E12))</f>
        <v/>
      </c>
      <c r="P12" s="19">
        <f>IF('Daily Closes'!P12="","",$D12*('Daily Closes'!P12-$E12))</f>
        <v/>
      </c>
      <c r="Q12" s="19">
        <f>IF('Daily Closes'!Q12="","",$D12*('Daily Closes'!Q12-$E12))</f>
        <v/>
      </c>
      <c r="R12" s="19">
        <f>IF('Daily Closes'!R12="","",$D12*('Daily Closes'!R12-$E12))</f>
        <v/>
      </c>
      <c r="S12" s="19">
        <f>IF('Daily Closes'!S12="","",$D12*('Daily Closes'!S12-$E12))</f>
        <v/>
      </c>
      <c r="T12" s="19">
        <f>IF('Daily Closes'!T12="","",$D12*('Daily Closes'!T12-$E12))</f>
        <v/>
      </c>
      <c r="U12" s="19">
        <f>IF('Daily Closes'!U12="","",$D12*('Daily Closes'!U12-$E12))</f>
        <v/>
      </c>
      <c r="V12" s="19">
        <f>IF('Daily Closes'!V12="","",$D12*('Daily Closes'!V12-$E12))</f>
        <v/>
      </c>
      <c r="W12" s="19">
        <f>IF('Daily Closes'!W12="","",$D12*('Daily Closes'!W12-$E12))</f>
        <v/>
      </c>
      <c r="X12" s="19">
        <f>IF('Daily Closes'!X12="","",$D12*('Daily Closes'!X12-$E12))</f>
        <v/>
      </c>
      <c r="Y12" s="19">
        <f>IF('Daily Closes'!Y12="","",$D12*('Daily Closes'!Y12-$E12))</f>
        <v/>
      </c>
      <c r="Z12" s="19">
        <f>IF('Daily Closes'!Z12="","",$D12*('Daily Closes'!Z12-$E12))</f>
        <v/>
      </c>
      <c r="AA12" s="19">
        <f>IF('Daily Closes'!AA12="","",$D12*('Daily Closes'!AA12-$E12))</f>
        <v/>
      </c>
    </row>
    <row r="13">
      <c r="A13" s="50">
        <f>'Daily Closes'!A13</f>
        <v/>
      </c>
      <c r="B13" s="15">
        <f>'Daily Closes'!B13</f>
        <v/>
      </c>
      <c r="C13" s="51">
        <f>'Daily Closes'!C13</f>
        <v/>
      </c>
      <c r="D13" s="50">
        <f>'Daily Closes'!D13</f>
        <v/>
      </c>
      <c r="E13" s="17">
        <f>'Daily Closes'!E13</f>
        <v/>
      </c>
      <c r="F13" s="34" t="inlineStr">
        <is>
          <t>—</t>
        </is>
      </c>
      <c r="G13" s="19">
        <f>IF('Daily Closes'!G13="","",$D13*('Daily Closes'!G13-$E13))</f>
        <v/>
      </c>
      <c r="H13" s="19">
        <f>IF('Daily Closes'!H13="","",$D13*('Daily Closes'!H13-$E13))</f>
        <v/>
      </c>
      <c r="I13" s="19">
        <f>IF('Daily Closes'!I13="","",$D13*('Daily Closes'!I13-$E13))</f>
        <v/>
      </c>
      <c r="J13" s="19">
        <f>IF('Daily Closes'!J13="","",$D13*('Daily Closes'!J13-$E13))</f>
        <v/>
      </c>
      <c r="K13" s="19">
        <f>IF('Daily Closes'!K13="","",$D13*('Daily Closes'!K13-$E13))</f>
        <v/>
      </c>
      <c r="L13" s="19">
        <f>IF('Daily Closes'!L13="","",$D13*('Daily Closes'!L13-$E13))</f>
        <v/>
      </c>
      <c r="M13" s="19">
        <f>IF('Daily Closes'!M13="","",$D13*('Daily Closes'!M13-$E13))</f>
        <v/>
      </c>
      <c r="N13" s="19">
        <f>IF('Daily Closes'!N13="","",$D13*('Daily Closes'!N13-$E13))</f>
        <v/>
      </c>
      <c r="O13" s="19">
        <f>IF('Daily Closes'!O13="","",$D13*('Daily Closes'!O13-$E13))</f>
        <v/>
      </c>
      <c r="P13" s="19">
        <f>IF('Daily Closes'!P13="","",$D13*('Daily Closes'!P13-$E13))</f>
        <v/>
      </c>
      <c r="Q13" s="19">
        <f>IF('Daily Closes'!Q13="","",$D13*('Daily Closes'!Q13-$E13))</f>
        <v/>
      </c>
      <c r="R13" s="19">
        <f>IF('Daily Closes'!R13="","",$D13*('Daily Closes'!R13-$E13))</f>
        <v/>
      </c>
      <c r="S13" s="19">
        <f>IF('Daily Closes'!S13="","",$D13*('Daily Closes'!S13-$E13))</f>
        <v/>
      </c>
      <c r="T13" s="19">
        <f>IF('Daily Closes'!T13="","",$D13*('Daily Closes'!T13-$E13))</f>
        <v/>
      </c>
      <c r="U13" s="19">
        <f>IF('Daily Closes'!U13="","",$D13*('Daily Closes'!U13-$E13))</f>
        <v/>
      </c>
      <c r="V13" s="19">
        <f>IF('Daily Closes'!V13="","",$D13*('Daily Closes'!V13-$E13))</f>
        <v/>
      </c>
      <c r="W13" s="19">
        <f>IF('Daily Closes'!W13="","",$D13*('Daily Closes'!W13-$E13))</f>
        <v/>
      </c>
      <c r="X13" s="19">
        <f>IF('Daily Closes'!X13="","",$D13*('Daily Closes'!X13-$E13))</f>
        <v/>
      </c>
      <c r="Y13" s="19">
        <f>IF('Daily Closes'!Y13="","",$D13*('Daily Closes'!Y13-$E13))</f>
        <v/>
      </c>
      <c r="Z13" s="19">
        <f>IF('Daily Closes'!Z13="","",$D13*('Daily Closes'!Z13-$E13))</f>
        <v/>
      </c>
      <c r="AA13" s="19">
        <f>IF('Daily Closes'!AA13="","",$D13*('Daily Closes'!AA13-$E13))</f>
        <v/>
      </c>
    </row>
    <row r="14">
      <c r="A14" s="50">
        <f>'Daily Closes'!A14</f>
        <v/>
      </c>
      <c r="B14" s="15">
        <f>'Daily Closes'!B14</f>
        <v/>
      </c>
      <c r="C14" s="51">
        <f>'Daily Closes'!C14</f>
        <v/>
      </c>
      <c r="D14" s="50">
        <f>'Daily Closes'!D14</f>
        <v/>
      </c>
      <c r="E14" s="17">
        <f>'Daily Closes'!E14</f>
        <v/>
      </c>
      <c r="F14" s="34" t="inlineStr">
        <is>
          <t>—</t>
        </is>
      </c>
      <c r="G14" s="19">
        <f>IF('Daily Closes'!G14="","",$D14*('Daily Closes'!G14-$E14))</f>
        <v/>
      </c>
      <c r="H14" s="19">
        <f>IF('Daily Closes'!H14="","",$D14*('Daily Closes'!H14-$E14))</f>
        <v/>
      </c>
      <c r="I14" s="19">
        <f>IF('Daily Closes'!I14="","",$D14*('Daily Closes'!I14-$E14))</f>
        <v/>
      </c>
      <c r="J14" s="19">
        <f>IF('Daily Closes'!J14="","",$D14*('Daily Closes'!J14-$E14))</f>
        <v/>
      </c>
      <c r="K14" s="19">
        <f>IF('Daily Closes'!K14="","",$D14*('Daily Closes'!K14-$E14))</f>
        <v/>
      </c>
      <c r="L14" s="19">
        <f>IF('Daily Closes'!L14="","",$D14*('Daily Closes'!L14-$E14))</f>
        <v/>
      </c>
      <c r="M14" s="19">
        <f>IF('Daily Closes'!M14="","",$D14*('Daily Closes'!M14-$E14))</f>
        <v/>
      </c>
      <c r="N14" s="19">
        <f>IF('Daily Closes'!N14="","",$D14*('Daily Closes'!N14-$E14))</f>
        <v/>
      </c>
      <c r="O14" s="19">
        <f>IF('Daily Closes'!O14="","",$D14*('Daily Closes'!O14-$E14))</f>
        <v/>
      </c>
      <c r="P14" s="19">
        <f>IF('Daily Closes'!P14="","",$D14*('Daily Closes'!P14-$E14))</f>
        <v/>
      </c>
      <c r="Q14" s="19">
        <f>IF('Daily Closes'!Q14="","",$D14*('Daily Closes'!Q14-$E14))</f>
        <v/>
      </c>
      <c r="R14" s="19">
        <f>IF('Daily Closes'!R14="","",$D14*('Daily Closes'!R14-$E14))</f>
        <v/>
      </c>
      <c r="S14" s="19">
        <f>IF('Daily Closes'!S14="","",$D14*('Daily Closes'!S14-$E14))</f>
        <v/>
      </c>
      <c r="T14" s="19">
        <f>IF('Daily Closes'!T14="","",$D14*('Daily Closes'!T14-$E14))</f>
        <v/>
      </c>
      <c r="U14" s="19">
        <f>IF('Daily Closes'!U14="","",$D14*('Daily Closes'!U14-$E14))</f>
        <v/>
      </c>
      <c r="V14" s="19">
        <f>IF('Daily Closes'!V14="","",$D14*('Daily Closes'!V14-$E14))</f>
        <v/>
      </c>
      <c r="W14" s="19">
        <f>IF('Daily Closes'!W14="","",$D14*('Daily Closes'!W14-$E14))</f>
        <v/>
      </c>
      <c r="X14" s="19">
        <f>IF('Daily Closes'!X14="","",$D14*('Daily Closes'!X14-$E14))</f>
        <v/>
      </c>
      <c r="Y14" s="19">
        <f>IF('Daily Closes'!Y14="","",$D14*('Daily Closes'!Y14-$E14))</f>
        <v/>
      </c>
      <c r="Z14" s="19">
        <f>IF('Daily Closes'!Z14="","",$D14*('Daily Closes'!Z14-$E14))</f>
        <v/>
      </c>
      <c r="AA14" s="19">
        <f>IF('Daily Closes'!AA14="","",$D14*('Daily Closes'!AA14-$E14))</f>
        <v/>
      </c>
    </row>
    <row r="15">
      <c r="A15" s="50">
        <f>'Daily Closes'!A15</f>
        <v/>
      </c>
      <c r="B15" s="15">
        <f>'Daily Closes'!B15</f>
        <v/>
      </c>
      <c r="C15" s="51">
        <f>'Daily Closes'!C15</f>
        <v/>
      </c>
      <c r="D15" s="50">
        <f>'Daily Closes'!D15</f>
        <v/>
      </c>
      <c r="E15" s="17">
        <f>'Daily Closes'!E15</f>
        <v/>
      </c>
      <c r="F15" s="34" t="inlineStr">
        <is>
          <t>—</t>
        </is>
      </c>
      <c r="G15" s="19">
        <f>IF('Daily Closes'!G15="","",$D15*('Daily Closes'!G15-$E15))</f>
        <v/>
      </c>
      <c r="H15" s="19">
        <f>IF('Daily Closes'!H15="","",$D15*('Daily Closes'!H15-$E15))</f>
        <v/>
      </c>
      <c r="I15" s="19">
        <f>IF('Daily Closes'!I15="","",$D15*('Daily Closes'!I15-$E15))</f>
        <v/>
      </c>
      <c r="J15" s="19">
        <f>IF('Daily Closes'!J15="","",$D15*('Daily Closes'!J15-$E15))</f>
        <v/>
      </c>
      <c r="K15" s="19">
        <f>IF('Daily Closes'!K15="","",$D15*('Daily Closes'!K15-$E15))</f>
        <v/>
      </c>
      <c r="L15" s="19">
        <f>IF('Daily Closes'!L15="","",$D15*('Daily Closes'!L15-$E15))</f>
        <v/>
      </c>
      <c r="M15" s="19">
        <f>IF('Daily Closes'!M15="","",$D15*('Daily Closes'!M15-$E15))</f>
        <v/>
      </c>
      <c r="N15" s="19">
        <f>IF('Daily Closes'!N15="","",$D15*('Daily Closes'!N15-$E15))</f>
        <v/>
      </c>
      <c r="O15" s="19">
        <f>IF('Daily Closes'!O15="","",$D15*('Daily Closes'!O15-$E15))</f>
        <v/>
      </c>
      <c r="P15" s="19">
        <f>IF('Daily Closes'!P15="","",$D15*('Daily Closes'!P15-$E15))</f>
        <v/>
      </c>
      <c r="Q15" s="19">
        <f>IF('Daily Closes'!Q15="","",$D15*('Daily Closes'!Q15-$E15))</f>
        <v/>
      </c>
      <c r="R15" s="19">
        <f>IF('Daily Closes'!R15="","",$D15*('Daily Closes'!R15-$E15))</f>
        <v/>
      </c>
      <c r="S15" s="19">
        <f>IF('Daily Closes'!S15="","",$D15*('Daily Closes'!S15-$E15))</f>
        <v/>
      </c>
      <c r="T15" s="19">
        <f>IF('Daily Closes'!T15="","",$D15*('Daily Closes'!T15-$E15))</f>
        <v/>
      </c>
      <c r="U15" s="19">
        <f>IF('Daily Closes'!U15="","",$D15*('Daily Closes'!U15-$E15))</f>
        <v/>
      </c>
      <c r="V15" s="19">
        <f>IF('Daily Closes'!V15="","",$D15*('Daily Closes'!V15-$E15))</f>
        <v/>
      </c>
      <c r="W15" s="19">
        <f>IF('Daily Closes'!W15="","",$D15*('Daily Closes'!W15-$E15))</f>
        <v/>
      </c>
      <c r="X15" s="19">
        <f>IF('Daily Closes'!X15="","",$D15*('Daily Closes'!X15-$E15))</f>
        <v/>
      </c>
      <c r="Y15" s="19">
        <f>IF('Daily Closes'!Y15="","",$D15*('Daily Closes'!Y15-$E15))</f>
        <v/>
      </c>
      <c r="Z15" s="19">
        <f>IF('Daily Closes'!Z15="","",$D15*('Daily Closes'!Z15-$E15))</f>
        <v/>
      </c>
      <c r="AA15" s="19">
        <f>IF('Daily Closes'!AA15="","",$D15*('Daily Closes'!AA15-$E15))</f>
        <v/>
      </c>
    </row>
    <row r="16">
      <c r="B16" s="15" t="inlineStr">
        <is>
          <t>TOTAL</t>
        </is>
      </c>
      <c r="G16" s="47">
        <f>IF(COUNT(G6:G15)=0,"",SUM(G6:G15))</f>
        <v/>
      </c>
      <c r="H16" s="47">
        <f>IF(COUNT(H6:H15)=0,"",SUM(H6:H15))</f>
        <v/>
      </c>
      <c r="I16" s="47">
        <f>IF(COUNT(I6:I15)=0,"",SUM(I6:I15))</f>
        <v/>
      </c>
      <c r="J16" s="47">
        <f>IF(COUNT(J6:J15)=0,"",SUM(J6:J15))</f>
        <v/>
      </c>
      <c r="K16" s="47">
        <f>IF(COUNT(K6:K15)=0,"",SUM(K6:K15))</f>
        <v/>
      </c>
      <c r="L16" s="47">
        <f>IF(COUNT(L6:L15)=0,"",SUM(L6:L15))</f>
        <v/>
      </c>
      <c r="M16" s="47">
        <f>IF(COUNT(M6:M15)=0,"",SUM(M6:M15))</f>
        <v/>
      </c>
      <c r="N16" s="47">
        <f>IF(COUNT(N6:N15)=0,"",SUM(N6:N15))</f>
        <v/>
      </c>
      <c r="O16" s="47">
        <f>IF(COUNT(O6:O15)=0,"",SUM(O6:O15))</f>
        <v/>
      </c>
      <c r="P16" s="47">
        <f>IF(COUNT(P6:P15)=0,"",SUM(P6:P15))</f>
        <v/>
      </c>
      <c r="Q16" s="47">
        <f>IF(COUNT(Q6:Q15)=0,"",SUM(Q6:Q15))</f>
        <v/>
      </c>
      <c r="R16" s="47">
        <f>IF(COUNT(R6:R15)=0,"",SUM(R6:R15))</f>
        <v/>
      </c>
      <c r="S16" s="47">
        <f>IF(COUNT(S6:S15)=0,"",SUM(S6:S15))</f>
        <v/>
      </c>
      <c r="T16" s="47">
        <f>IF(COUNT(T6:T15)=0,"",SUM(T6:T15))</f>
        <v/>
      </c>
      <c r="U16" s="47">
        <f>IF(COUNT(U6:U15)=0,"",SUM(U6:U15))</f>
        <v/>
      </c>
      <c r="V16" s="47">
        <f>IF(COUNT(V6:V15)=0,"",SUM(V6:V15))</f>
        <v/>
      </c>
      <c r="W16" s="47">
        <f>IF(COUNT(W6:W15)=0,"",SUM(W6:W15))</f>
        <v/>
      </c>
      <c r="X16" s="47">
        <f>IF(COUNT(X6:X15)=0,"",SUM(X6:X15))</f>
        <v/>
      </c>
      <c r="Y16" s="47">
        <f>IF(COUNT(Y6:Y15)=0,"",SUM(Y6:Y15))</f>
        <v/>
      </c>
      <c r="Z16" s="47">
        <f>IF(COUNT(Z6:Z15)=0,"",SUM(Z6:Z15))</f>
        <v/>
      </c>
      <c r="AA16" s="47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Day</t>
        </is>
      </c>
      <c r="B4" s="14" t="inlineStr">
        <is>
          <t>Date</t>
        </is>
      </c>
      <c r="C4" s="14" t="inlineStr">
        <is>
          <t>Status</t>
        </is>
      </c>
      <c r="D4" s="14" t="inlineStr">
        <is>
          <t>Portfolio Value ₹</t>
        </is>
      </c>
      <c r="E4" s="14" t="inlineStr">
        <is>
          <t>P&amp;L ₹</t>
        </is>
      </c>
      <c r="F4" s="14" t="inlineStr">
        <is>
          <t>Return %</t>
        </is>
      </c>
      <c r="G4" s="14" t="inlineStr">
        <is>
          <t>Daily %</t>
        </is>
      </c>
      <c r="H4" s="14" t="inlineStr">
        <is>
          <t>Drawdown %</t>
        </is>
      </c>
      <c r="I4" s="14" t="inlineStr">
        <is>
          <t>Nifty 50 %</t>
        </is>
      </c>
    </row>
    <row r="5">
      <c r="A5" s="52" t="n">
        <v>0</v>
      </c>
      <c r="B5" s="34" t="inlineStr">
        <is>
          <t>2026-09-28</t>
        </is>
      </c>
      <c r="C5" s="51" t="inlineStr">
        <is>
          <t>Signal</t>
        </is>
      </c>
      <c r="D5" s="19" t="n">
        <v>139903</v>
      </c>
      <c r="E5" s="19" t="n">
        <v>0</v>
      </c>
      <c r="F5" s="18" t="n">
        <v>0</v>
      </c>
      <c r="G5" s="18" t="n"/>
      <c r="H5" s="18" t="n"/>
      <c r="I5" s="18" t="n">
        <v>0</v>
      </c>
    </row>
    <row r="6">
      <c r="A6" s="53" t="n">
        <v>1</v>
      </c>
      <c r="B6" s="54" t="inlineStr">
        <is>
          <t>2026-09-29</t>
        </is>
      </c>
      <c r="C6" s="55" t="inlineStr">
        <is>
          <t>Entry</t>
        </is>
      </c>
      <c r="D6" s="56" t="n">
        <v>145178.6</v>
      </c>
      <c r="E6" s="56" t="n">
        <v>5223.55</v>
      </c>
      <c r="F6" s="57" t="n">
        <v>0.037323</v>
      </c>
      <c r="G6" s="57" t="n"/>
      <c r="H6" s="57" t="n">
        <v>0</v>
      </c>
      <c r="I6" s="57" t="n">
        <v>-0.002812</v>
      </c>
    </row>
    <row r="7">
      <c r="A7" s="58" t="n">
        <v>2</v>
      </c>
      <c r="B7" s="59" t="inlineStr">
        <is>
          <t>2026-09-30</t>
        </is>
      </c>
      <c r="C7" s="60" t="inlineStr">
        <is>
          <t>Hold (upcoming)</t>
        </is>
      </c>
      <c r="D7" s="61" t="n"/>
      <c r="E7" s="61" t="n"/>
      <c r="F7" s="62" t="n"/>
      <c r="G7" s="62" t="n"/>
      <c r="H7" s="62" t="n"/>
      <c r="I7" s="62" t="n"/>
    </row>
    <row r="8">
      <c r="A8" s="58" t="n">
        <v>3</v>
      </c>
      <c r="B8" s="59" t="inlineStr">
        <is>
          <t>2026-10-01</t>
        </is>
      </c>
      <c r="C8" s="60" t="inlineStr">
        <is>
          <t>Hold (upcoming)</t>
        </is>
      </c>
      <c r="D8" s="61" t="n"/>
      <c r="E8" s="61" t="n"/>
      <c r="F8" s="62" t="n"/>
      <c r="G8" s="62" t="n"/>
      <c r="H8" s="62" t="n"/>
      <c r="I8" s="62" t="n"/>
    </row>
    <row r="9">
      <c r="A9" s="58" t="n">
        <v>4</v>
      </c>
      <c r="B9" s="59" t="inlineStr">
        <is>
          <t>2026-10-05</t>
        </is>
      </c>
      <c r="C9" s="60" t="inlineStr">
        <is>
          <t>Hold (upcoming)</t>
        </is>
      </c>
      <c r="D9" s="61" t="n"/>
      <c r="E9" s="61" t="n"/>
      <c r="F9" s="62" t="n"/>
      <c r="G9" s="62" t="n"/>
      <c r="H9" s="62" t="n"/>
      <c r="I9" s="62" t="n"/>
    </row>
    <row r="10">
      <c r="A10" s="58" t="n">
        <v>5</v>
      </c>
      <c r="B10" s="59" t="inlineStr">
        <is>
          <t>2026-10-06</t>
        </is>
      </c>
      <c r="C10" s="60" t="inlineStr">
        <is>
          <t>Hold (upcoming)</t>
        </is>
      </c>
      <c r="D10" s="61" t="n"/>
      <c r="E10" s="61" t="n"/>
      <c r="F10" s="62" t="n"/>
      <c r="G10" s="62" t="n"/>
      <c r="H10" s="62" t="n"/>
      <c r="I10" s="62" t="n"/>
    </row>
    <row r="11">
      <c r="A11" s="58" t="n">
        <v>6</v>
      </c>
      <c r="B11" s="59" t="inlineStr">
        <is>
          <t>2026-10-07</t>
        </is>
      </c>
      <c r="C11" s="60" t="inlineStr">
        <is>
          <t>Hold (upcoming)</t>
        </is>
      </c>
      <c r="D11" s="61" t="n"/>
      <c r="E11" s="61" t="n"/>
      <c r="F11" s="62" t="n"/>
      <c r="G11" s="62" t="n"/>
      <c r="H11" s="62" t="n"/>
      <c r="I11" s="62" t="n"/>
    </row>
    <row r="12">
      <c r="A12" s="58" t="n">
        <v>7</v>
      </c>
      <c r="B12" s="59" t="inlineStr">
        <is>
          <t>2026-10-08</t>
        </is>
      </c>
      <c r="C12" s="60" t="inlineStr">
        <is>
          <t>Hold (upcoming)</t>
        </is>
      </c>
      <c r="D12" s="61" t="n"/>
      <c r="E12" s="61" t="n"/>
      <c r="F12" s="62" t="n"/>
      <c r="G12" s="62" t="n"/>
      <c r="H12" s="62" t="n"/>
      <c r="I12" s="62" t="n"/>
    </row>
    <row r="13">
      <c r="A13" s="58" t="n">
        <v>8</v>
      </c>
      <c r="B13" s="59" t="inlineStr">
        <is>
          <t>2026-10-09</t>
        </is>
      </c>
      <c r="C13" s="60" t="inlineStr">
        <is>
          <t>Hold (upcoming)</t>
        </is>
      </c>
      <c r="D13" s="61" t="n"/>
      <c r="E13" s="61" t="n"/>
      <c r="F13" s="62" t="n"/>
      <c r="G13" s="62" t="n"/>
      <c r="H13" s="62" t="n"/>
      <c r="I13" s="62" t="n"/>
    </row>
    <row r="14">
      <c r="A14" s="58" t="n">
        <v>9</v>
      </c>
      <c r="B14" s="59" t="inlineStr">
        <is>
          <t>2026-10-12</t>
        </is>
      </c>
      <c r="C14" s="60" t="inlineStr">
        <is>
          <t>Hold (upcoming)</t>
        </is>
      </c>
      <c r="D14" s="61" t="n"/>
      <c r="E14" s="61" t="n"/>
      <c r="F14" s="62" t="n"/>
      <c r="G14" s="62" t="n"/>
      <c r="H14" s="62" t="n"/>
      <c r="I14" s="62" t="n"/>
    </row>
    <row r="15">
      <c r="A15" s="58" t="n">
        <v>10</v>
      </c>
      <c r="B15" s="59" t="inlineStr">
        <is>
          <t>2026-10-13</t>
        </is>
      </c>
      <c r="C15" s="60" t="inlineStr">
        <is>
          <t>Hold (upcoming)</t>
        </is>
      </c>
      <c r="D15" s="61" t="n"/>
      <c r="E15" s="61" t="n"/>
      <c r="F15" s="62" t="n"/>
      <c r="G15" s="62" t="n"/>
      <c r="H15" s="62" t="n"/>
      <c r="I15" s="62" t="n"/>
    </row>
    <row r="16">
      <c r="A16" s="58" t="n">
        <v>11</v>
      </c>
      <c r="B16" s="59" t="inlineStr">
        <is>
          <t>2026-10-14</t>
        </is>
      </c>
      <c r="C16" s="60" t="inlineStr">
        <is>
          <t>Hold (upcoming)</t>
        </is>
      </c>
      <c r="D16" s="61" t="n"/>
      <c r="E16" s="61" t="n"/>
      <c r="F16" s="62" t="n"/>
      <c r="G16" s="62" t="n"/>
      <c r="H16" s="62" t="n"/>
      <c r="I16" s="62" t="n"/>
    </row>
    <row r="17">
      <c r="A17" s="58" t="n">
        <v>12</v>
      </c>
      <c r="B17" s="59" t="inlineStr">
        <is>
          <t>2026-10-15</t>
        </is>
      </c>
      <c r="C17" s="60" t="inlineStr">
        <is>
          <t>Hold (upcoming)</t>
        </is>
      </c>
      <c r="D17" s="61" t="n"/>
      <c r="E17" s="61" t="n"/>
      <c r="F17" s="62" t="n"/>
      <c r="G17" s="62" t="n"/>
      <c r="H17" s="62" t="n"/>
      <c r="I17" s="62" t="n"/>
    </row>
    <row r="18">
      <c r="A18" s="58" t="n">
        <v>13</v>
      </c>
      <c r="B18" s="59" t="inlineStr">
        <is>
          <t>2026-10-16</t>
        </is>
      </c>
      <c r="C18" s="60" t="inlineStr">
        <is>
          <t>Hold (upcoming)</t>
        </is>
      </c>
      <c r="D18" s="61" t="n"/>
      <c r="E18" s="61" t="n"/>
      <c r="F18" s="62" t="n"/>
      <c r="G18" s="62" t="n"/>
      <c r="H18" s="62" t="n"/>
      <c r="I18" s="62" t="n"/>
    </row>
    <row r="19">
      <c r="A19" s="58" t="n">
        <v>14</v>
      </c>
      <c r="B19" s="59" t="inlineStr">
        <is>
          <t>2026-10-19</t>
        </is>
      </c>
      <c r="C19" s="60" t="inlineStr">
        <is>
          <t>Hold (upcoming)</t>
        </is>
      </c>
      <c r="D19" s="61" t="n"/>
      <c r="E19" s="61" t="n"/>
      <c r="F19" s="62" t="n"/>
      <c r="G19" s="62" t="n"/>
      <c r="H19" s="62" t="n"/>
      <c r="I19" s="62" t="n"/>
    </row>
    <row r="20">
      <c r="A20" s="58" t="n">
        <v>15</v>
      </c>
      <c r="B20" s="59" t="inlineStr">
        <is>
          <t>2026-10-21</t>
        </is>
      </c>
      <c r="C20" s="60" t="inlineStr">
        <is>
          <t>Hold (upcoming)</t>
        </is>
      </c>
      <c r="D20" s="61" t="n"/>
      <c r="E20" s="61" t="n"/>
      <c r="F20" s="62" t="n"/>
      <c r="G20" s="62" t="n"/>
      <c r="H20" s="62" t="n"/>
      <c r="I20" s="62" t="n"/>
    </row>
    <row r="21">
      <c r="A21" s="58" t="n">
        <v>16</v>
      </c>
      <c r="B21" s="59" t="inlineStr">
        <is>
          <t>2026-10-22</t>
        </is>
      </c>
      <c r="C21" s="60" t="inlineStr">
        <is>
          <t>Hold (upcoming)</t>
        </is>
      </c>
      <c r="D21" s="61" t="n"/>
      <c r="E21" s="61" t="n"/>
      <c r="F21" s="62" t="n"/>
      <c r="G21" s="62" t="n"/>
      <c r="H21" s="62" t="n"/>
      <c r="I21" s="62" t="n"/>
    </row>
    <row r="22">
      <c r="A22" s="58" t="n">
        <v>17</v>
      </c>
      <c r="B22" s="59" t="inlineStr">
        <is>
          <t>2026-10-23</t>
        </is>
      </c>
      <c r="C22" s="60" t="inlineStr">
        <is>
          <t>Hold (upcoming)</t>
        </is>
      </c>
      <c r="D22" s="61" t="n"/>
      <c r="E22" s="61" t="n"/>
      <c r="F22" s="62" t="n"/>
      <c r="G22" s="62" t="n"/>
      <c r="H22" s="62" t="n"/>
      <c r="I22" s="62" t="n"/>
    </row>
    <row r="23">
      <c r="A23" s="58" t="n">
        <v>18</v>
      </c>
      <c r="B23" s="59" t="inlineStr">
        <is>
          <t>2026-10-26</t>
        </is>
      </c>
      <c r="C23" s="60" t="inlineStr">
        <is>
          <t>Hold (upcoming)</t>
        </is>
      </c>
      <c r="D23" s="61" t="n"/>
      <c r="E23" s="61" t="n"/>
      <c r="F23" s="62" t="n"/>
      <c r="G23" s="62" t="n"/>
      <c r="H23" s="62" t="n"/>
      <c r="I23" s="62" t="n"/>
    </row>
    <row r="24">
      <c r="A24" s="58" t="n">
        <v>19</v>
      </c>
      <c r="B24" s="59" t="inlineStr">
        <is>
          <t>2026-10-27</t>
        </is>
      </c>
      <c r="C24" s="60" t="inlineStr">
        <is>
          <t>Hold (upcoming)</t>
        </is>
      </c>
      <c r="D24" s="61" t="n"/>
      <c r="E24" s="61" t="n"/>
      <c r="F24" s="62" t="n"/>
      <c r="G24" s="62" t="n"/>
      <c r="H24" s="62" t="n"/>
      <c r="I24" s="62" t="n"/>
    </row>
    <row r="25">
      <c r="A25" s="58" t="n">
        <v>20</v>
      </c>
      <c r="B25" s="59" t="inlineStr">
        <is>
          <t>2026-10-28</t>
        </is>
      </c>
      <c r="C25" s="60" t="inlineStr">
        <is>
          <t>Exit reminder (upcoming)</t>
        </is>
      </c>
      <c r="D25" s="61" t="n"/>
      <c r="E25" s="61" t="n"/>
      <c r="F25" s="62" t="n"/>
      <c r="G25" s="62" t="n"/>
      <c r="H25" s="62" t="n"/>
      <c r="I25" s="62" t="n"/>
    </row>
    <row r="26">
      <c r="A26" s="58" t="n">
        <v>21</v>
      </c>
      <c r="B26" s="59" t="inlineStr">
        <is>
          <t>2026-10-29</t>
        </is>
      </c>
      <c r="C26" s="60" t="inlineStr">
        <is>
          <t>Exit (upcoming)</t>
        </is>
      </c>
      <c r="D26" s="61" t="n"/>
      <c r="E26" s="61" t="n"/>
      <c r="F26" s="62" t="n"/>
      <c r="G26" s="62" t="n"/>
      <c r="H26" s="62" t="n"/>
      <c r="I26" s="62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1" t="inlineStr">
        <is>
          <t>Batch ID</t>
        </is>
      </c>
      <c r="C4" s="51" t="inlineStr">
        <is>
          <t>2026-09-28</t>
        </is>
      </c>
      <c r="D4" s="63" t="n"/>
      <c r="E4" s="63" t="n"/>
      <c r="F4" s="63" t="n"/>
      <c r="G4" s="63" t="n"/>
      <c r="H4" s="64" t="n"/>
    </row>
    <row r="5">
      <c r="B5" s="21" t="inlineStr">
        <is>
          <t>Signal date (Day 0)</t>
        </is>
      </c>
      <c r="C5" s="51" t="inlineStr">
        <is>
          <t>2026-09-28</t>
        </is>
      </c>
      <c r="D5" s="63" t="n"/>
      <c r="E5" s="63" t="n"/>
      <c r="F5" s="63" t="n"/>
      <c r="G5" s="63" t="n"/>
      <c r="H5" s="64" t="n"/>
    </row>
    <row r="6">
      <c r="B6" s="21" t="inlineStr">
        <is>
          <t>Exit (HTML estimate)</t>
        </is>
      </c>
      <c r="C6" s="51" t="inlineStr">
        <is>
          <t>2026-10-27</t>
        </is>
      </c>
      <c r="D6" s="63" t="n"/>
      <c r="E6" s="63" t="n"/>
      <c r="F6" s="63" t="n"/>
      <c r="G6" s="63" t="n"/>
      <c r="H6" s="64" t="n"/>
    </row>
    <row r="7">
      <c r="B7" s="21" t="inlineStr">
        <is>
          <t>Exit (projected, NSE calendar)</t>
        </is>
      </c>
      <c r="C7" s="51" t="inlineStr">
        <is>
          <t>2026-10-29</t>
        </is>
      </c>
      <c r="D7" s="63" t="n"/>
      <c r="E7" s="63" t="n"/>
      <c r="F7" s="63" t="n"/>
      <c r="G7" s="63" t="n"/>
      <c r="H7" s="64" t="n"/>
    </row>
    <row r="8">
      <c r="B8" s="21" t="inlineStr">
        <is>
          <t>Hold</t>
        </is>
      </c>
      <c r="C8" s="51" t="inlineStr">
        <is>
          <t>21 sessions — no stop, no target</t>
        </is>
      </c>
      <c r="D8" s="63" t="n"/>
      <c r="E8" s="63" t="n"/>
      <c r="F8" s="63" t="n"/>
      <c r="G8" s="63" t="n"/>
      <c r="H8" s="64" t="n"/>
    </row>
    <row r="9">
      <c r="B9" s="21" t="inlineStr">
        <is>
          <t>Universe</t>
        </is>
      </c>
      <c r="C9" s="51" t="inlineStr">
        <is>
          <t>liquidity top 400 of all NSE stocks</t>
        </is>
      </c>
      <c r="D9" s="63" t="n"/>
      <c r="E9" s="63" t="n"/>
      <c r="F9" s="63" t="n"/>
      <c r="G9" s="63" t="n"/>
      <c r="H9" s="64" t="n"/>
    </row>
    <row r="10">
      <c r="B10" s="21" t="inlineStr">
        <is>
          <t>Capital committed (at signal close)</t>
        </is>
      </c>
      <c r="C10" s="65" t="n">
        <v>139903</v>
      </c>
      <c r="D10" s="63" t="n"/>
      <c r="E10" s="63" t="n"/>
      <c r="F10" s="63" t="n"/>
      <c r="G10" s="63" t="n"/>
      <c r="H10" s="64" t="n"/>
    </row>
    <row r="11">
      <c r="B11" s="21" t="inlineStr">
        <is>
          <t>Estimated costs</t>
        </is>
      </c>
      <c r="C11" s="65" t="n">
        <v>859</v>
      </c>
      <c r="D11" s="63" t="n"/>
      <c r="E11" s="63" t="n"/>
      <c r="F11" s="63" t="n"/>
      <c r="G11" s="63" t="n"/>
      <c r="H11" s="64" t="n"/>
    </row>
    <row r="12">
      <c r="B12" s="21" t="inlineStr">
        <is>
          <t>Cost %</t>
        </is>
      </c>
      <c r="C12" s="51" t="inlineStr">
        <is>
          <t>0.6%</t>
        </is>
      </c>
      <c r="D12" s="63" t="n"/>
      <c r="E12" s="63" t="n"/>
      <c r="F12" s="63" t="n"/>
      <c r="G12" s="63" t="n"/>
      <c r="H12" s="64" t="n"/>
    </row>
    <row r="13">
      <c r="B13" s="21" t="inlineStr">
        <is>
          <t>Market regime</t>
        </is>
      </c>
      <c r="C13" s="51" t="inlineStr">
        <is>
          <t>Down — the signal's weakest regime historically</t>
        </is>
      </c>
      <c r="D13" s="63" t="n"/>
      <c r="E13" s="63" t="n"/>
      <c r="F13" s="63" t="n"/>
      <c r="G13" s="63" t="n"/>
      <c r="H13" s="64" t="n"/>
    </row>
    <row r="14">
      <c r="B14" s="21" t="inlineStr">
        <is>
          <t>Stocks with a warning</t>
        </is>
      </c>
      <c r="C14" s="51" t="inlineStr">
        <is>
          <t>0 of 10</t>
        </is>
      </c>
      <c r="D14" s="63" t="n"/>
      <c r="E14" s="63" t="n"/>
      <c r="F14" s="63" t="n"/>
      <c r="G14" s="63" t="n"/>
      <c r="H14" s="64" t="n"/>
    </row>
    <row r="17">
      <c r="B17" s="14" t="inlineStr">
        <is>
          <t>#</t>
        </is>
      </c>
      <c r="C17" s="14" t="inlineStr">
        <is>
          <t>Symbol</t>
        </is>
      </c>
      <c r="D17" s="14" t="inlineStr">
        <is>
          <t>ISIN</t>
        </is>
      </c>
      <c r="E17" s="14" t="inlineStr">
        <is>
          <t>Qty</t>
        </is>
      </c>
      <c r="F17" s="14" t="inlineStr">
        <is>
          <t>Signal close</t>
        </is>
      </c>
      <c r="G17" s="14" t="inlineStr">
        <is>
          <t>Amount</t>
        </is>
      </c>
      <c r="H17" s="14" t="inlineStr">
        <is>
          <t>12-1 %</t>
        </is>
      </c>
      <c r="I17" s="14" t="inlineStr">
        <is>
          <t>6-1 %</t>
        </is>
      </c>
      <c r="J17" s="14" t="inlineStr">
        <is>
          <t>3-1 %</t>
        </is>
      </c>
      <c r="K17" s="14" t="inlineStr">
        <is>
          <t>Vol %</t>
        </is>
      </c>
      <c r="L17" s="14" t="inlineStr">
        <is>
          <t>Traded daily (cr)</t>
        </is>
      </c>
      <c r="M17" s="14" t="inlineStr">
        <is>
          <t>From 12m high %</t>
        </is>
      </c>
      <c r="N17" s="14" t="inlineStr">
        <is>
          <t>Signal rank</t>
        </is>
      </c>
      <c r="O17" s="14" t="inlineStr">
        <is>
          <t>Data quality</t>
        </is>
      </c>
      <c r="P17" s="14" t="inlineStr">
        <is>
          <t>Watch</t>
        </is>
      </c>
    </row>
    <row r="18">
      <c r="B18" s="50" t="n">
        <v>1</v>
      </c>
      <c r="C18" s="51" t="inlineStr">
        <is>
          <t>TDPOWERSYS</t>
        </is>
      </c>
      <c r="D18" s="51" t="inlineStr">
        <is>
          <t>INE419M01035</t>
        </is>
      </c>
      <c r="E18" s="50" t="n">
        <v>20</v>
      </c>
      <c r="F18" s="17" t="n">
        <v>722</v>
      </c>
      <c r="G18" s="17" t="n">
        <v>14440</v>
      </c>
      <c r="H18" s="50" t="n">
        <v>177</v>
      </c>
      <c r="I18" s="50" t="n">
        <v>72.2</v>
      </c>
      <c r="J18" s="50" t="n">
        <v>19.6</v>
      </c>
      <c r="K18" s="50" t="n">
        <v>60.1</v>
      </c>
      <c r="L18" s="50" t="n">
        <v>128</v>
      </c>
      <c r="M18" s="50" t="n">
        <v>-10.3</v>
      </c>
      <c r="N18" s="50" t="n">
        <v>6</v>
      </c>
      <c r="O18" s="51" t="inlineStr">
        <is>
          <t>Green</t>
        </is>
      </c>
      <c r="P18" s="51" t="inlineStr">
        <is>
          <t>Nothing flagged</t>
        </is>
      </c>
    </row>
    <row r="19">
      <c r="B19" s="50" t="n">
        <v>2</v>
      </c>
      <c r="C19" s="51" t="inlineStr">
        <is>
          <t>AEROFLEX</t>
        </is>
      </c>
      <c r="D19" s="51" t="inlineStr">
        <is>
          <t>INE024001021</t>
        </is>
      </c>
      <c r="E19" s="50" t="n">
        <v>29</v>
      </c>
      <c r="F19" s="17" t="n">
        <v>513.4</v>
      </c>
      <c r="G19" s="17" t="n">
        <v>14889</v>
      </c>
      <c r="H19" s="50" t="n">
        <v>175</v>
      </c>
      <c r="I19" s="50" t="n">
        <v>107</v>
      </c>
      <c r="J19" s="50" t="n">
        <v>10.7</v>
      </c>
      <c r="K19" s="50" t="n">
        <v>67.3</v>
      </c>
      <c r="L19" s="50" t="n">
        <v>53</v>
      </c>
      <c r="M19" s="50" t="n">
        <v>-10.5</v>
      </c>
      <c r="N19" s="50" t="n">
        <v>7</v>
      </c>
      <c r="O19" s="51" t="inlineStr">
        <is>
          <t>Green</t>
        </is>
      </c>
      <c r="P19" s="51" t="inlineStr">
        <is>
          <t>Nothing flagged</t>
        </is>
      </c>
    </row>
    <row r="20">
      <c r="B20" s="50" t="n">
        <v>3</v>
      </c>
      <c r="C20" s="51" t="inlineStr">
        <is>
          <t>ATHERENERG</t>
        </is>
      </c>
      <c r="D20" s="51" t="inlineStr">
        <is>
          <t>INE0LEZ01016</t>
        </is>
      </c>
      <c r="E20" s="50" t="n">
        <v>10</v>
      </c>
      <c r="F20" s="17" t="n">
        <v>1454.9</v>
      </c>
      <c r="G20" s="17" t="n">
        <v>14549</v>
      </c>
      <c r="H20" s="50" t="n">
        <v>166</v>
      </c>
      <c r="I20" s="50" t="n">
        <v>97.5</v>
      </c>
      <c r="J20" s="50" t="n">
        <v>31.1</v>
      </c>
      <c r="K20" s="50" t="n">
        <v>49.4</v>
      </c>
      <c r="L20" s="50" t="n">
        <v>493</v>
      </c>
      <c r="M20" s="50" t="n">
        <v>-15.7</v>
      </c>
      <c r="N20" s="50" t="n">
        <v>9</v>
      </c>
      <c r="O20" s="51" t="inlineStr">
        <is>
          <t>Green</t>
        </is>
      </c>
      <c r="P20" s="51" t="inlineStr">
        <is>
          <t>Nothing flagged</t>
        </is>
      </c>
    </row>
    <row r="21">
      <c r="B21" s="50" t="n">
        <v>4</v>
      </c>
      <c r="C21" s="51" t="inlineStr">
        <is>
          <t>THANGAMAYL</t>
        </is>
      </c>
      <c r="D21" s="51" t="inlineStr">
        <is>
          <t>INE085J01014</t>
        </is>
      </c>
      <c r="E21" s="50" t="n">
        <v>2</v>
      </c>
      <c r="F21" s="17" t="n">
        <v>5011.5</v>
      </c>
      <c r="G21" s="17" t="n">
        <v>10023</v>
      </c>
      <c r="H21" s="50" t="n">
        <v>154</v>
      </c>
      <c r="I21" s="50" t="n">
        <v>66.3</v>
      </c>
      <c r="J21" s="50" t="n">
        <v>-14</v>
      </c>
      <c r="K21" s="50" t="n">
        <v>59.8</v>
      </c>
      <c r="L21" s="50" t="n">
        <v>71</v>
      </c>
      <c r="M21" s="50" t="n">
        <v>-31.4</v>
      </c>
      <c r="N21" s="50" t="n">
        <v>11</v>
      </c>
      <c r="O21" s="51" t="inlineStr">
        <is>
          <t>Green</t>
        </is>
      </c>
      <c r="P21" s="51" t="inlineStr">
        <is>
          <t>Nothing flagged</t>
        </is>
      </c>
    </row>
    <row r="22">
      <c r="B22" s="50" t="n">
        <v>5</v>
      </c>
      <c r="C22" s="51" t="inlineStr">
        <is>
          <t>RRKABEL</t>
        </is>
      </c>
      <c r="D22" s="51" t="inlineStr">
        <is>
          <t>INE777K01022</t>
        </is>
      </c>
      <c r="E22" s="50" t="n">
        <v>6</v>
      </c>
      <c r="F22" s="17" t="n">
        <v>2459.8</v>
      </c>
      <c r="G22" s="17" t="n">
        <v>14759</v>
      </c>
      <c r="H22" s="50" t="n">
        <v>126</v>
      </c>
      <c r="I22" s="50" t="n">
        <v>110</v>
      </c>
      <c r="J22" s="50" t="n">
        <v>18.2</v>
      </c>
      <c r="K22" s="50" t="n">
        <v>44</v>
      </c>
      <c r="L22" s="50" t="n">
        <v>93</v>
      </c>
      <c r="M22" s="50" t="n">
        <v>-16</v>
      </c>
      <c r="N22" s="50" t="n">
        <v>15</v>
      </c>
      <c r="O22" s="51" t="inlineStr">
        <is>
          <t>Green</t>
        </is>
      </c>
      <c r="P22" s="51" t="inlineStr">
        <is>
          <t>Nothing flagged</t>
        </is>
      </c>
    </row>
    <row r="23">
      <c r="B23" s="50" t="n">
        <v>6</v>
      </c>
      <c r="C23" s="51" t="inlineStr">
        <is>
          <t>ACUTAAS</t>
        </is>
      </c>
      <c r="D23" s="51" t="inlineStr">
        <is>
          <t>INE00FF01025</t>
        </is>
      </c>
      <c r="E23" s="50" t="n">
        <v>4</v>
      </c>
      <c r="F23" s="17" t="n">
        <v>3214.4</v>
      </c>
      <c r="G23" s="17" t="n">
        <v>12858</v>
      </c>
      <c r="H23" s="50" t="n">
        <v>126</v>
      </c>
      <c r="I23" s="50" t="n">
        <v>36.7</v>
      </c>
      <c r="J23" s="50" t="n">
        <v>-5.6</v>
      </c>
      <c r="K23" s="50" t="n">
        <v>46.7</v>
      </c>
      <c r="L23" s="50" t="n">
        <v>101</v>
      </c>
      <c r="M23" s="50" t="n">
        <v>-13</v>
      </c>
      <c r="N23" s="50" t="n">
        <v>16</v>
      </c>
      <c r="O23" s="51" t="inlineStr">
        <is>
          <t>Green</t>
        </is>
      </c>
      <c r="P23" s="51" t="inlineStr">
        <is>
          <t>Nothing flagged</t>
        </is>
      </c>
    </row>
    <row r="24">
      <c r="B24" s="50" t="n">
        <v>7</v>
      </c>
      <c r="C24" s="51" t="inlineStr">
        <is>
          <t>DIACABS</t>
        </is>
      </c>
      <c r="D24" s="51" t="inlineStr">
        <is>
          <t>INE989C01038</t>
        </is>
      </c>
      <c r="E24" s="50" t="n">
        <v>44</v>
      </c>
      <c r="F24" s="17" t="n">
        <v>339.25</v>
      </c>
      <c r="G24" s="17" t="n">
        <v>14927</v>
      </c>
      <c r="H24" s="50" t="n">
        <v>124</v>
      </c>
      <c r="I24" s="50" t="n">
        <v>180</v>
      </c>
      <c r="J24" s="50" t="n">
        <v>61.7</v>
      </c>
      <c r="K24" s="50" t="n">
        <v>53.6</v>
      </c>
      <c r="L24" s="50" t="n">
        <v>51</v>
      </c>
      <c r="M24" s="50" t="n">
        <v>-14.1</v>
      </c>
      <c r="N24" s="50" t="n">
        <v>17</v>
      </c>
      <c r="O24" s="51" t="inlineStr">
        <is>
          <t>Green</t>
        </is>
      </c>
      <c r="P24" s="51" t="inlineStr">
        <is>
          <t>Nothing flagged</t>
        </is>
      </c>
    </row>
    <row r="25">
      <c r="B25" s="50" t="n">
        <v>8</v>
      </c>
      <c r="C25" s="51" t="inlineStr">
        <is>
          <t>KIRLOSENG</t>
        </is>
      </c>
      <c r="D25" s="51" t="inlineStr">
        <is>
          <t>INE146L01010</t>
        </is>
      </c>
      <c r="E25" s="50" t="n">
        <v>7</v>
      </c>
      <c r="F25" s="17" t="n">
        <v>2141.2</v>
      </c>
      <c r="G25" s="17" t="n">
        <v>14988</v>
      </c>
      <c r="H25" s="50" t="n">
        <v>123</v>
      </c>
      <c r="I25" s="50" t="n">
        <v>58.2</v>
      </c>
      <c r="J25" s="50" t="n">
        <v>-11.2</v>
      </c>
      <c r="K25" s="50" t="n">
        <v>49.9</v>
      </c>
      <c r="L25" s="50" t="n">
        <v>87</v>
      </c>
      <c r="M25" s="50" t="n">
        <v>-16.5</v>
      </c>
      <c r="N25" s="50" t="n">
        <v>18</v>
      </c>
      <c r="O25" s="51" t="inlineStr">
        <is>
          <t>Green</t>
        </is>
      </c>
      <c r="P25" s="51" t="inlineStr">
        <is>
          <t>Nothing flagged</t>
        </is>
      </c>
    </row>
    <row r="26">
      <c r="B26" s="50" t="n">
        <v>9</v>
      </c>
      <c r="C26" s="51" t="inlineStr">
        <is>
          <t>E2E</t>
        </is>
      </c>
      <c r="D26" s="51" t="inlineStr">
        <is>
          <t>INE255Z01027</t>
        </is>
      </c>
      <c r="E26" s="50" t="n">
        <v>23</v>
      </c>
      <c r="F26" s="17" t="n">
        <v>625.9</v>
      </c>
      <c r="G26" s="17" t="n">
        <v>14396</v>
      </c>
      <c r="H26" s="50" t="n">
        <v>109</v>
      </c>
      <c r="I26" s="50" t="n">
        <v>186</v>
      </c>
      <c r="J26" s="50" t="n">
        <v>56</v>
      </c>
      <c r="K26" s="50" t="n">
        <v>56.2</v>
      </c>
      <c r="L26" s="50" t="n">
        <v>49</v>
      </c>
      <c r="M26" s="50" t="n">
        <v>-8.800000000000001</v>
      </c>
      <c r="N26" s="50" t="n">
        <v>20</v>
      </c>
      <c r="O26" s="51" t="inlineStr">
        <is>
          <t>Green</t>
        </is>
      </c>
      <c r="P26" s="51" t="inlineStr">
        <is>
          <t>Nothing flagged</t>
        </is>
      </c>
    </row>
    <row r="27">
      <c r="B27" s="50" t="n">
        <v>10</v>
      </c>
      <c r="C27" s="51" t="inlineStr">
        <is>
          <t>LAURUSLABS</t>
        </is>
      </c>
      <c r="D27" s="51" t="inlineStr">
        <is>
          <t>INE947Q01028</t>
        </is>
      </c>
      <c r="E27" s="50" t="n">
        <v>7</v>
      </c>
      <c r="F27" s="17" t="n">
        <v>2010.7</v>
      </c>
      <c r="G27" s="17" t="n">
        <v>14075</v>
      </c>
      <c r="H27" s="50" t="n">
        <v>109</v>
      </c>
      <c r="I27" s="50" t="n">
        <v>94.40000000000001</v>
      </c>
      <c r="J27" s="50" t="n">
        <v>27.2</v>
      </c>
      <c r="K27" s="50" t="n">
        <v>28.1</v>
      </c>
      <c r="L27" s="50" t="n">
        <v>300</v>
      </c>
      <c r="M27" s="50" t="n">
        <v>-1.1</v>
      </c>
      <c r="N27" s="50" t="n">
        <v>21</v>
      </c>
      <c r="O27" s="51" t="inlineStr">
        <is>
          <t>Green</t>
        </is>
      </c>
      <c r="P27" s="51" t="inlineStr">
        <is>
          <t>Nothing flagged</t>
        </is>
      </c>
    </row>
    <row r="30">
      <c r="B30" s="13" t="inlineStr">
        <is>
          <t>Evidence behind the rule (backtest, from HTML)</t>
        </is>
      </c>
    </row>
    <row r="31" ht="60" customHeight="1">
      <c r="B31" s="66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6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3" t="inlineStr">
        <is>
          <t>Corporate actions (splits, bonuses, dividends)</t>
        </is>
      </c>
    </row>
    <row r="35">
      <c r="B35" s="27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4" t="inlineStr">
        <is>
          <t>Rank</t>
        </is>
      </c>
      <c r="B4" s="14" t="inlineStr">
        <is>
          <t>Symbol</t>
        </is>
      </c>
      <c r="C4" s="14" t="inlineStr">
        <is>
          <t>Company</t>
        </is>
      </c>
      <c r="D4" s="14" t="inlineStr">
        <is>
          <t>View</t>
        </is>
      </c>
      <c r="E4" s="14" t="inlineStr">
        <is>
          <t>Conviction</t>
        </is>
      </c>
      <c r="F4" s="14" t="inlineStr">
        <is>
          <t>Why</t>
        </is>
      </c>
      <c r="G4" s="14" t="inlineStr">
        <is>
          <t>Since entry %</t>
        </is>
      </c>
      <c r="H4" s="14" t="inlineStr">
        <is>
          <t>Call check</t>
        </is>
      </c>
    </row>
    <row r="5" ht="30" customHeight="1">
      <c r="A5" s="50" t="n">
        <v>1</v>
      </c>
      <c r="B5" s="15" t="inlineStr">
        <is>
          <t>LAURUSLABS</t>
        </is>
      </c>
      <c r="C5" s="51" t="inlineStr">
        <is>
          <t>Laurus Labs</t>
        </is>
      </c>
      <c r="D5" s="67" t="inlineStr">
        <is>
          <t>Bullish</t>
        </is>
      </c>
      <c r="E5" s="68" t="n">
        <v>2</v>
      </c>
      <c r="F5" s="69" t="inlineStr">
        <is>
          <t>Relative strength near highs, lowest volatility, defensive sector</t>
        </is>
      </c>
      <c r="G5" s="18" t="n">
        <v>-0.02063641312416487</v>
      </c>
      <c r="H5" s="51" t="inlineStr">
        <is>
          <t>✗ Off track</t>
        </is>
      </c>
    </row>
    <row r="6" ht="30" customHeight="1">
      <c r="A6" s="50" t="n">
        <v>2</v>
      </c>
      <c r="B6" s="15" t="inlineStr">
        <is>
          <t>TDPOWERSYS</t>
        </is>
      </c>
      <c r="C6" s="51" t="inlineStr">
        <is>
          <t>TD Power Systems</t>
        </is>
      </c>
      <c r="D6" s="70" t="inlineStr">
        <is>
          <t>Bullish</t>
        </is>
      </c>
      <c r="E6" s="68" t="n">
        <v>1.5</v>
      </c>
      <c r="F6" s="69" t="inlineStr">
        <is>
          <t>Guidance raised, shallow pullback. Check for a fundraise.</t>
        </is>
      </c>
      <c r="G6" s="18" t="n">
        <v>0.08115438108484006</v>
      </c>
      <c r="H6" s="51" t="inlineStr">
        <is>
          <t>✓ On track</t>
        </is>
      </c>
    </row>
    <row r="7" ht="30" customHeight="1">
      <c r="A7" s="50" t="n">
        <v>3</v>
      </c>
      <c r="B7" s="15" t="inlineStr">
        <is>
          <t>ATHERENERG</t>
        </is>
      </c>
      <c r="C7" s="51" t="inlineStr">
        <is>
          <t>Ather Energy</t>
        </is>
      </c>
      <c r="D7" s="70" t="inlineStr">
        <is>
          <t>Bullish</t>
        </is>
      </c>
      <c r="E7" s="68" t="n">
        <v>1.25</v>
      </c>
      <c r="F7" s="69" t="inlineStr">
        <is>
          <t>Strong catalysts and brokers, but still pulling back</t>
        </is>
      </c>
      <c r="G7" s="18" t="n">
        <v>-0.03643336529242569</v>
      </c>
      <c r="H7" s="51" t="inlineStr">
        <is>
          <t>✗ Off track</t>
        </is>
      </c>
    </row>
    <row r="8" ht="30" customHeight="1">
      <c r="A8" s="50" t="n">
        <v>4</v>
      </c>
      <c r="B8" s="15" t="inlineStr">
        <is>
          <t>RRKABEL</t>
        </is>
      </c>
      <c r="C8" s="51" t="inlineStr">
        <is>
          <t>RR Kabel</t>
        </is>
      </c>
      <c r="D8" s="71" t="inlineStr">
        <is>
          <t>Moderately bullish</t>
        </is>
      </c>
      <c r="E8" s="68" t="n">
        <v>1</v>
      </c>
      <c r="F8" s="69" t="inlineStr">
        <is>
          <t>Strong Q1, moderate volatility</t>
        </is>
      </c>
      <c r="G8" s="18" t="n">
        <v>0.02577445320757765</v>
      </c>
      <c r="H8" s="51" t="inlineStr">
        <is>
          <t>✓ On track</t>
        </is>
      </c>
    </row>
    <row r="9" ht="30" customHeight="1">
      <c r="A9" s="50" t="n">
        <v>5</v>
      </c>
      <c r="B9" s="15" t="inlineStr">
        <is>
          <t>AEROFLEX</t>
        </is>
      </c>
      <c r="C9" s="51" t="inlineStr">
        <is>
          <t>Aeroflex Industries</t>
        </is>
      </c>
      <c r="D9" s="70" t="inlineStr">
        <is>
          <t>Bullish, risky</t>
        </is>
      </c>
      <c r="E9" s="68" t="n">
        <v>1.25</v>
      </c>
      <c r="F9" s="69" t="inlineStr">
        <is>
          <t>Strong growth, expensive, volatile, thin liquidity</t>
        </is>
      </c>
      <c r="G9" s="18" t="n">
        <v>0.05534911011148047</v>
      </c>
      <c r="H9" s="51" t="inlineStr">
        <is>
          <t>✓ On track</t>
        </is>
      </c>
    </row>
    <row r="10" ht="30" customHeight="1">
      <c r="A10" s="50" t="n">
        <v>6</v>
      </c>
      <c r="B10" s="15" t="inlineStr">
        <is>
          <t>E2E</t>
        </is>
      </c>
      <c r="C10" s="51" t="inlineStr">
        <is>
          <t>E2E Networks</t>
        </is>
      </c>
      <c r="D10" s="72" t="inlineStr">
        <is>
          <t>Speculative</t>
        </is>
      </c>
      <c r="E10" s="68" t="n">
        <v>0.5</v>
      </c>
      <c r="F10" s="69" t="inlineStr">
        <is>
          <t>Big revenue jump, P/E near 400</t>
        </is>
      </c>
      <c r="G10" s="18" t="n">
        <v>0.05205391009603755</v>
      </c>
      <c r="H10" s="51" t="inlineStr">
        <is>
          <t>↑ Beat call</t>
        </is>
      </c>
    </row>
    <row r="11" ht="30" customHeight="1">
      <c r="A11" s="50" t="n">
        <v>7</v>
      </c>
      <c r="B11" s="15" t="inlineStr">
        <is>
          <t>ACUTAAS</t>
        </is>
      </c>
      <c r="C11" s="51" t="inlineStr">
        <is>
          <t>Acutaas Chemicals</t>
        </is>
      </c>
      <c r="D11" s="73" t="inlineStr">
        <is>
          <t>Neutral</t>
        </is>
      </c>
      <c r="E11" s="68" t="n">
        <v>0</v>
      </c>
      <c r="F11" s="69" t="inlineStr">
        <is>
          <t>No catalyst, sideways trend</t>
        </is>
      </c>
      <c r="G11" s="18" t="n">
        <v>0.004285714285714226</v>
      </c>
      <c r="H11" s="51" t="inlineStr">
        <is>
          <t>• Neutral call</t>
        </is>
      </c>
    </row>
    <row r="12" ht="30" customHeight="1">
      <c r="A12" s="50" t="n">
        <v>8</v>
      </c>
      <c r="B12" s="15" t="inlineStr">
        <is>
          <t>DIACABS</t>
        </is>
      </c>
      <c r="C12" s="51" t="inlineStr">
        <is>
          <t>Diamond Power Infra</t>
        </is>
      </c>
      <c r="D12" s="74" t="inlineStr">
        <is>
          <t>Neutral to bearish</t>
        </is>
      </c>
      <c r="E12" s="68" t="n">
        <v>-1</v>
      </c>
      <c r="F12" s="69" t="inlineStr">
        <is>
          <t>Extended, weak balance sheet</t>
        </is>
      </c>
      <c r="G12" s="18" t="n">
        <v>0.04496883348174552</v>
      </c>
      <c r="H12" s="51" t="inlineStr">
        <is>
          <t>✗ Off track</t>
        </is>
      </c>
    </row>
    <row r="13" ht="30" customHeight="1">
      <c r="A13" s="50" t="n">
        <v>9</v>
      </c>
      <c r="B13" s="15" t="inlineStr">
        <is>
          <t>KIRLOSENG</t>
        </is>
      </c>
      <c r="C13" s="51" t="inlineStr">
        <is>
          <t>Kirloskar Oil Engines</t>
        </is>
      </c>
      <c r="D13" s="74" t="inlineStr">
        <is>
          <t>Neutral to bearish</t>
        </is>
      </c>
      <c r="E13" s="68" t="n">
        <v>-1</v>
      </c>
      <c r="F13" s="69" t="inlineStr">
        <is>
          <t>Margins and momentum fading</t>
        </is>
      </c>
      <c r="G13" s="18" t="n">
        <v>0.1218008593312163</v>
      </c>
      <c r="H13" s="51" t="inlineStr">
        <is>
          <t>✗ Off track</t>
        </is>
      </c>
    </row>
    <row r="14" ht="30" customHeight="1">
      <c r="A14" s="50" t="n">
        <v>10</v>
      </c>
      <c r="B14" s="15" t="inlineStr">
        <is>
          <t>THANGAMAYL</t>
        </is>
      </c>
      <c r="C14" s="51" t="inlineStr">
        <is>
          <t>Thangamayil Jewellery</t>
        </is>
      </c>
      <c r="D14" s="75" t="inlineStr">
        <is>
          <t>Bearish</t>
        </is>
      </c>
      <c r="E14" s="68" t="n">
        <v>-2</v>
      </c>
      <c r="F14" s="69" t="inlineStr">
        <is>
          <t>Downtrend, avoid</t>
        </is>
      </c>
      <c r="G14" s="18" t="n">
        <v>0.03882235528942113</v>
      </c>
      <c r="H14" s="51" t="inlineStr">
        <is>
          <t>✗ Off track</t>
        </is>
      </c>
    </row>
    <row r="16">
      <c r="A16" s="76" t="inlineStr">
        <is>
          <t>STOCK BY STOCK — catalysts, risks and sources</t>
        </is>
      </c>
    </row>
    <row r="17">
      <c r="A17" s="14" t="inlineStr">
        <is>
          <t>Rank</t>
        </is>
      </c>
      <c r="B17" s="14" t="inlineStr">
        <is>
          <t>Symbol</t>
        </is>
      </c>
      <c r="C17" s="14" t="inlineStr">
        <is>
          <t>Company</t>
        </is>
      </c>
      <c r="D17" s="14" t="inlineStr">
        <is>
          <t>Type</t>
        </is>
      </c>
      <c r="E17" s="14" t="inlineStr">
        <is>
          <t>Point</t>
        </is>
      </c>
      <c r="F17" s="14" t="inlineStr"/>
      <c r="G17" s="14" t="inlineStr">
        <is>
          <t>Source</t>
        </is>
      </c>
      <c r="H17" s="14" t="inlineStr">
        <is>
          <t>Link</t>
        </is>
      </c>
    </row>
    <row r="18" ht="44" customHeight="1">
      <c r="A18" s="50" t="n">
        <v>1</v>
      </c>
      <c r="B18" s="51" t="inlineStr">
        <is>
          <t>LAURUSLABS</t>
        </is>
      </c>
      <c r="C18" s="51" t="inlineStr">
        <is>
          <t>Laurus Labs</t>
        </is>
      </c>
      <c r="D18" s="77" t="inlineStr">
        <is>
          <t>Catalyst</t>
        </is>
      </c>
      <c r="E18" s="69" t="inlineStr">
        <is>
          <t>Its close is only 1.1% below its 12-month high, and its volatility is the lowest of the ten (28%).</t>
        </is>
      </c>
      <c r="F18" s="64" t="n"/>
      <c r="G18" s="51" t="inlineStr"/>
      <c r="H18" s="51" t="n"/>
    </row>
    <row r="19" ht="30" customHeight="1">
      <c r="A19" s="50" t="n">
        <v>1</v>
      </c>
      <c r="B19" s="51" t="inlineStr">
        <is>
          <t>LAURUSLABS</t>
        </is>
      </c>
      <c r="C19" s="51" t="inlineStr">
        <is>
          <t>Laurus Labs</t>
        </is>
      </c>
      <c r="D19" s="77" t="inlineStr">
        <is>
          <t>Catalyst</t>
        </is>
      </c>
      <c r="E19" s="69" t="inlineStr">
        <is>
          <t>FY26 profit after tax was ₹740 crore vs ₹380 crore the year before.</t>
        </is>
      </c>
      <c r="F19" s="64" t="n"/>
      <c r="G19" s="51" t="inlineStr">
        <is>
          <t>torusdigital</t>
        </is>
      </c>
      <c r="H19" s="78" t="inlineStr">
        <is>
          <t>open ↗</t>
        </is>
      </c>
    </row>
    <row r="20" ht="30" customHeight="1">
      <c r="A20" s="50" t="n">
        <v>1</v>
      </c>
      <c r="B20" s="51" t="inlineStr">
        <is>
          <t>LAURUSLABS</t>
        </is>
      </c>
      <c r="C20" s="51" t="inlineStr">
        <is>
          <t>Laurus Labs</t>
        </is>
      </c>
      <c r="D20" s="77" t="inlineStr">
        <is>
          <t>Catalyst</t>
        </is>
      </c>
      <c r="E20" s="69" t="inlineStr">
        <is>
          <t>It is up about 94% in six months and holding near highs while the index falls.</t>
        </is>
      </c>
      <c r="F20" s="64" t="n"/>
      <c r="G20" s="51" t="inlineStr">
        <is>
          <t>anandrathi</t>
        </is>
      </c>
      <c r="H20" s="78" t="inlineStr">
        <is>
          <t>open ↗</t>
        </is>
      </c>
    </row>
    <row r="21" ht="30" customHeight="1">
      <c r="A21" s="50" t="n">
        <v>1</v>
      </c>
      <c r="B21" s="51" t="inlineStr">
        <is>
          <t>LAURUSLABS</t>
        </is>
      </c>
      <c r="C21" s="51" t="inlineStr">
        <is>
          <t>Laurus Labs</t>
        </is>
      </c>
      <c r="D21" s="77" t="inlineStr">
        <is>
          <t>Catalyst</t>
        </is>
      </c>
      <c r="E21" s="69" t="inlineStr">
        <is>
          <t>Pharma is also defensive in a risk-off tape.</t>
        </is>
      </c>
      <c r="F21" s="64" t="n"/>
      <c r="G21" s="51" t="inlineStr">
        <is>
          <t>anandrathi</t>
        </is>
      </c>
      <c r="H21" s="78" t="inlineStr">
        <is>
          <t>open ↗</t>
        </is>
      </c>
    </row>
    <row r="22" ht="30" customHeight="1">
      <c r="A22" s="50" t="n">
        <v>1</v>
      </c>
      <c r="B22" s="51" t="inlineStr">
        <is>
          <t>LAURUSLABS</t>
        </is>
      </c>
      <c r="C22" s="51" t="inlineStr">
        <is>
          <t>Laurus Labs</t>
        </is>
      </c>
      <c r="D22" s="79" t="inlineStr">
        <is>
          <t>Risk</t>
        </is>
      </c>
      <c r="E22" s="69" t="inlineStr">
        <is>
          <t>P/E is high, so it can still pull back.</t>
        </is>
      </c>
      <c r="F22" s="64" t="n"/>
      <c r="G22" s="51" t="inlineStr">
        <is>
          <t>anandrathi</t>
        </is>
      </c>
      <c r="H22" s="78" t="inlineStr">
        <is>
          <t>open ↗</t>
        </is>
      </c>
    </row>
    <row r="23" ht="30" customHeight="1">
      <c r="A23" s="50" t="n">
        <v>2</v>
      </c>
      <c r="B23" s="51" t="inlineStr">
        <is>
          <t>TDPOWERSYS</t>
        </is>
      </c>
      <c r="C23" s="51" t="inlineStr">
        <is>
          <t>TD Power Systems</t>
        </is>
      </c>
      <c r="D23" s="80" t="inlineStr">
        <is>
          <t>Context</t>
        </is>
      </c>
      <c r="E23" s="69" t="inlineStr">
        <is>
          <t>The stock is 10% below its high, a shallow pullback within a strong uptrend.</t>
        </is>
      </c>
      <c r="F23" s="64" t="n"/>
      <c r="G23" s="51" t="inlineStr"/>
      <c r="H23" s="51" t="n"/>
    </row>
    <row r="24" ht="30" customHeight="1">
      <c r="A24" s="50" t="n">
        <v>2</v>
      </c>
      <c r="B24" s="51" t="inlineStr">
        <is>
          <t>TDPOWERSYS</t>
        </is>
      </c>
      <c r="C24" s="51" t="inlineStr">
        <is>
          <t>TD Power Systems</t>
        </is>
      </c>
      <c r="D24" s="77" t="inlineStr">
        <is>
          <t>Catalyst</t>
        </is>
      </c>
      <c r="E24" s="69" t="inlineStr">
        <is>
          <t>Q1 FY27 revenue rose about 72% YoY.</t>
        </is>
      </c>
      <c r="F24" s="64" t="n"/>
      <c r="G24" s="51" t="inlineStr">
        <is>
          <t>5paisa</t>
        </is>
      </c>
      <c r="H24" s="78" t="inlineStr">
        <is>
          <t>open ↗</t>
        </is>
      </c>
    </row>
    <row r="25" ht="30" customHeight="1">
      <c r="A25" s="50" t="n">
        <v>2</v>
      </c>
      <c r="B25" s="51" t="inlineStr">
        <is>
          <t>TDPOWERSYS</t>
        </is>
      </c>
      <c r="C25" s="51" t="inlineStr">
        <is>
          <t>TD Power Systems</t>
        </is>
      </c>
      <c r="D25" s="77" t="inlineStr">
        <is>
          <t>Catalyst</t>
        </is>
      </c>
      <c r="E25" s="69" t="inlineStr">
        <is>
          <t>It raised its FY27 revenue guidance to ₹2,600 crore.</t>
        </is>
      </c>
      <c r="F25" s="64" t="n"/>
      <c r="G25" s="51" t="inlineStr">
        <is>
          <t>fyers</t>
        </is>
      </c>
      <c r="H25" s="78" t="inlineStr">
        <is>
          <t>open ↗</t>
        </is>
      </c>
    </row>
    <row r="26" ht="44" customHeight="1">
      <c r="A26" s="50" t="n">
        <v>2</v>
      </c>
      <c r="B26" s="51" t="inlineStr">
        <is>
          <t>TDPOWERSYS</t>
        </is>
      </c>
      <c r="C26" s="51" t="inlineStr">
        <is>
          <t>TD Power Systems</t>
        </is>
      </c>
      <c r="D26" s="79" t="inlineStr">
        <is>
          <t>Risk</t>
        </is>
      </c>
      <c r="E26" s="69" t="inlineStr">
        <is>
          <t>A board meeting on 14 Aug was set to consider raising funds, so check whether a dilutive QIP is pending.</t>
        </is>
      </c>
      <c r="F26" s="64" t="n"/>
      <c r="G26" s="51" t="inlineStr">
        <is>
          <t>5paisa</t>
        </is>
      </c>
      <c r="H26" s="78" t="inlineStr">
        <is>
          <t>open ↗</t>
        </is>
      </c>
    </row>
    <row r="27" ht="30" customHeight="1">
      <c r="A27" s="50" t="n">
        <v>2</v>
      </c>
      <c r="B27" s="51" t="inlineStr">
        <is>
          <t>TDPOWERSYS</t>
        </is>
      </c>
      <c r="C27" s="51" t="inlineStr">
        <is>
          <t>TD Power Systems</t>
        </is>
      </c>
      <c r="D27" s="79" t="inlineStr">
        <is>
          <t>Risk</t>
        </is>
      </c>
      <c r="E27" s="69" t="inlineStr">
        <is>
          <t>Valuation is stretched (P/E around 70).</t>
        </is>
      </c>
      <c r="F27" s="64" t="n"/>
      <c r="G27" s="51" t="inlineStr">
        <is>
          <t>5paisa</t>
        </is>
      </c>
      <c r="H27" s="78" t="inlineStr">
        <is>
          <t>open ↗</t>
        </is>
      </c>
    </row>
    <row r="28" ht="30" customHeight="1">
      <c r="A28" s="50" t="n">
        <v>3</v>
      </c>
      <c r="B28" s="51" t="inlineStr">
        <is>
          <t>ATHERENERG</t>
        </is>
      </c>
      <c r="C28" s="51" t="inlineStr">
        <is>
          <t>Ather Energy</t>
        </is>
      </c>
      <c r="D28" s="77" t="inlineStr">
        <is>
          <t>Catalyst</t>
        </is>
      </c>
      <c r="E28" s="69" t="inlineStr">
        <is>
          <t>Q1 revenue grew 89% and the loss narrowed 71%.</t>
        </is>
      </c>
      <c r="F28" s="64" t="n"/>
      <c r="G28" s="51" t="inlineStr">
        <is>
          <t>indmoney</t>
        </is>
      </c>
      <c r="H28" s="78" t="inlineStr">
        <is>
          <t>open ↗</t>
        </is>
      </c>
    </row>
    <row r="29" ht="30" customHeight="1">
      <c r="A29" s="50" t="n">
        <v>3</v>
      </c>
      <c r="B29" s="51" t="inlineStr">
        <is>
          <t>ATHERENERG</t>
        </is>
      </c>
      <c r="C29" s="51" t="inlineStr">
        <is>
          <t>Ather Energy</t>
        </is>
      </c>
      <c r="D29" s="77" t="inlineStr">
        <is>
          <t>Catalyst</t>
        </is>
      </c>
      <c r="E29" s="69" t="inlineStr">
        <is>
          <t>It was also added to the MSCI India Domestic Small Cap Index.</t>
        </is>
      </c>
      <c r="F29" s="64" t="n"/>
      <c r="G29" s="51" t="inlineStr">
        <is>
          <t>indmoney</t>
        </is>
      </c>
      <c r="H29" s="78" t="inlineStr">
        <is>
          <t>open ↗</t>
        </is>
      </c>
    </row>
    <row r="30" ht="30" customHeight="1">
      <c r="A30" s="50" t="n">
        <v>3</v>
      </c>
      <c r="B30" s="51" t="inlineStr">
        <is>
          <t>ATHERENERG</t>
        </is>
      </c>
      <c r="C30" s="51" t="inlineStr">
        <is>
          <t>Ather Energy</t>
        </is>
      </c>
      <c r="D30" s="77" t="inlineStr">
        <is>
          <t>Catalyst</t>
        </is>
      </c>
      <c r="E30" s="69" t="inlineStr">
        <is>
          <t>Hero MotoCorp is lifting its stake to about 32.8%.</t>
        </is>
      </c>
      <c r="F30" s="64" t="n"/>
      <c r="G30" s="51" t="inlineStr">
        <is>
          <t>freepressjournal</t>
        </is>
      </c>
      <c r="H30" s="78" t="inlineStr">
        <is>
          <t>open ↗</t>
        </is>
      </c>
    </row>
    <row r="31" ht="30" customHeight="1">
      <c r="A31" s="50" t="n">
        <v>3</v>
      </c>
      <c r="B31" s="51" t="inlineStr">
        <is>
          <t>ATHERENERG</t>
        </is>
      </c>
      <c r="C31" s="51" t="inlineStr">
        <is>
          <t>Ather Energy</t>
        </is>
      </c>
      <c r="D31" s="77" t="inlineStr">
        <is>
          <t>Catalyst</t>
        </is>
      </c>
      <c r="E31" s="69" t="inlineStr">
        <is>
          <t>A global broker raised its target to ₹1,926.</t>
        </is>
      </c>
      <c r="F31" s="64" t="n"/>
      <c r="G31" s="51" t="inlineStr">
        <is>
          <t>hdfcsky</t>
        </is>
      </c>
      <c r="H31" s="78" t="inlineStr">
        <is>
          <t>open ↗</t>
        </is>
      </c>
    </row>
    <row r="32" ht="44" customHeight="1">
      <c r="A32" s="50" t="n">
        <v>3</v>
      </c>
      <c r="B32" s="51" t="inlineStr">
        <is>
          <t>ATHERENERG</t>
        </is>
      </c>
      <c r="C32" s="51" t="inlineStr">
        <is>
          <t>Ather Energy</t>
        </is>
      </c>
      <c r="D32" s="80" t="inlineStr">
        <is>
          <t>Context</t>
        </is>
      </c>
      <c r="E32" s="69" t="inlineStr">
        <is>
          <t>The stock has slid about 16% from its early-September high, so the story is intact but the price is digesting a big run.</t>
        </is>
      </c>
      <c r="F32" s="64" t="n"/>
      <c r="G32" s="51" t="inlineStr"/>
      <c r="H32" s="51" t="n"/>
    </row>
    <row r="33" ht="30" customHeight="1">
      <c r="A33" s="50" t="n">
        <v>3</v>
      </c>
      <c r="B33" s="51" t="inlineStr">
        <is>
          <t>ATHERENERG</t>
        </is>
      </c>
      <c r="C33" s="51" t="inlineStr">
        <is>
          <t>Ather Energy</t>
        </is>
      </c>
      <c r="D33" s="77" t="inlineStr">
        <is>
          <t>Catalyst</t>
        </is>
      </c>
      <c r="E33" s="69" t="inlineStr">
        <is>
          <t>High oil prices are a tailwind for the EV theme.</t>
        </is>
      </c>
      <c r="F33" s="64" t="n"/>
      <c r="G33" s="51" t="inlineStr"/>
      <c r="H33" s="51" t="n"/>
    </row>
    <row r="34" ht="30" customHeight="1">
      <c r="A34" s="50" t="n">
        <v>4</v>
      </c>
      <c r="B34" s="51" t="inlineStr">
        <is>
          <t>RRKABEL</t>
        </is>
      </c>
      <c r="C34" s="51" t="inlineStr">
        <is>
          <t>RR Kabel</t>
        </is>
      </c>
      <c r="D34" s="77" t="inlineStr">
        <is>
          <t>Catalyst</t>
        </is>
      </c>
      <c r="E34" s="69" t="inlineStr">
        <is>
          <t>Q1 PAT jumped 129% and EBITDA doubled.</t>
        </is>
      </c>
      <c r="F34" s="64" t="n"/>
      <c r="G34" s="51" t="inlineStr">
        <is>
          <t>5paisa</t>
        </is>
      </c>
      <c r="H34" s="78" t="inlineStr">
        <is>
          <t>open ↗</t>
        </is>
      </c>
    </row>
    <row r="35" ht="30" customHeight="1">
      <c r="A35" s="50" t="n">
        <v>4</v>
      </c>
      <c r="B35" s="51" t="inlineStr">
        <is>
          <t>RRKABEL</t>
        </is>
      </c>
      <c r="C35" s="51" t="inlineStr">
        <is>
          <t>RR Kabel</t>
        </is>
      </c>
      <c r="D35" s="77" t="inlineStr">
        <is>
          <t>Catalyst</t>
        </is>
      </c>
      <c r="E35" s="69" t="inlineStr">
        <is>
          <t>CLSA initiated at Outperform with a ₹2,850 target.</t>
        </is>
      </c>
      <c r="F35" s="64" t="n"/>
      <c r="G35" s="51" t="inlineStr">
        <is>
          <t>fyers</t>
        </is>
      </c>
      <c r="H35" s="78" t="inlineStr">
        <is>
          <t>open ↗</t>
        </is>
      </c>
    </row>
    <row r="36" ht="30" customHeight="1">
      <c r="A36" s="50" t="n">
        <v>4</v>
      </c>
      <c r="B36" s="51" t="inlineStr">
        <is>
          <t>RRKABEL</t>
        </is>
      </c>
      <c r="C36" s="51" t="inlineStr">
        <is>
          <t>RR Kabel</t>
        </is>
      </c>
      <c r="D36" s="80" t="inlineStr">
        <is>
          <t>Context</t>
        </is>
      </c>
      <c r="E36" s="69" t="inlineStr">
        <is>
          <t>The stock is 16% off its high, so it is consolidating.</t>
        </is>
      </c>
      <c r="F36" s="64" t="n"/>
      <c r="G36" s="51" t="inlineStr"/>
      <c r="H36" s="51" t="n"/>
    </row>
    <row r="37" ht="30" customHeight="1">
      <c r="A37" s="50" t="n">
        <v>4</v>
      </c>
      <c r="B37" s="51" t="inlineStr">
        <is>
          <t>RRKABEL</t>
        </is>
      </c>
      <c r="C37" s="51" t="inlineStr">
        <is>
          <t>RR Kabel</t>
        </is>
      </c>
      <c r="D37" s="77" t="inlineStr">
        <is>
          <t>Catalyst</t>
        </is>
      </c>
      <c r="E37" s="69" t="inlineStr">
        <is>
          <t>Volatility is moderate (44%), which is better than most here.</t>
        </is>
      </c>
      <c r="F37" s="64" t="n"/>
      <c r="G37" s="51" t="inlineStr"/>
      <c r="H37" s="51" t="n"/>
    </row>
    <row r="38" ht="30" customHeight="1">
      <c r="A38" s="50" t="n">
        <v>5</v>
      </c>
      <c r="B38" s="51" t="inlineStr">
        <is>
          <t>AEROFLEX</t>
        </is>
      </c>
      <c r="C38" s="51" t="inlineStr">
        <is>
          <t>Aeroflex Industries</t>
        </is>
      </c>
      <c r="D38" s="77" t="inlineStr">
        <is>
          <t>Catalyst</t>
        </is>
      </c>
      <c r="E38" s="69" t="inlineStr">
        <is>
          <t>Q1 FY27 revenue grew 72.4% and PAT rose 162%.</t>
        </is>
      </c>
      <c r="F38" s="64" t="n"/>
      <c r="G38" s="51" t="inlineStr">
        <is>
          <t>sahi</t>
        </is>
      </c>
      <c r="H38" s="78" t="inlineStr">
        <is>
          <t>open ↗</t>
        </is>
      </c>
    </row>
    <row r="39" ht="30" customHeight="1">
      <c r="A39" s="50" t="n">
        <v>5</v>
      </c>
      <c r="B39" s="51" t="inlineStr">
        <is>
          <t>AEROFLEX</t>
        </is>
      </c>
      <c r="C39" s="51" t="inlineStr">
        <is>
          <t>Aeroflex Industries</t>
        </is>
      </c>
      <c r="D39" s="77" t="inlineStr">
        <is>
          <t>Catalyst</t>
        </is>
      </c>
      <c r="E39" s="69" t="inlineStr">
        <is>
          <t>Liquid-cooling skid capacity was raised 50%, with further expansion planned.</t>
        </is>
      </c>
      <c r="F39" s="64" t="n"/>
      <c r="G39" s="51" t="inlineStr">
        <is>
          <t>sahi</t>
        </is>
      </c>
      <c r="H39" s="78" t="inlineStr">
        <is>
          <t>open ↗</t>
        </is>
      </c>
    </row>
    <row r="40" ht="44" customHeight="1">
      <c r="A40" s="50" t="n">
        <v>5</v>
      </c>
      <c r="B40" s="51" t="inlineStr">
        <is>
          <t>AEROFLEX</t>
        </is>
      </c>
      <c r="C40" s="51" t="inlineStr">
        <is>
          <t>Aeroflex Industries</t>
        </is>
      </c>
      <c r="D40" s="79" t="inlineStr">
        <is>
          <t>Risk</t>
        </is>
      </c>
      <c r="E40" s="69" t="inlineStr">
        <is>
          <t>P/E is about 102, volatility is the highest of the ten (67%), and liquidity is thin (₹53 cr/day).</t>
        </is>
      </c>
      <c r="F40" s="64" t="n"/>
      <c r="G40" s="51" t="inlineStr">
        <is>
          <t>share</t>
        </is>
      </c>
      <c r="H40" s="78" t="inlineStr">
        <is>
          <t>open ↗</t>
        </is>
      </c>
    </row>
    <row r="41" ht="30" customHeight="1">
      <c r="A41" s="50" t="n">
        <v>5</v>
      </c>
      <c r="B41" s="51" t="inlineStr">
        <is>
          <t>AEROFLEX</t>
        </is>
      </c>
      <c r="C41" s="51" t="inlineStr">
        <is>
          <t>Aeroflex Industries</t>
        </is>
      </c>
      <c r="D41" s="79" t="inlineStr">
        <is>
          <t>Risk</t>
        </is>
      </c>
      <c r="E41" s="69" t="inlineStr">
        <is>
          <t>That makes it the most fragile in a falling market.</t>
        </is>
      </c>
      <c r="F41" s="64" t="n"/>
      <c r="G41" s="51" t="inlineStr">
        <is>
          <t>share</t>
        </is>
      </c>
      <c r="H41" s="78" t="inlineStr">
        <is>
          <t>open ↗</t>
        </is>
      </c>
    </row>
    <row r="42" ht="44" customHeight="1">
      <c r="A42" s="50" t="n">
        <v>6</v>
      </c>
      <c r="B42" s="51" t="inlineStr">
        <is>
          <t>E2E</t>
        </is>
      </c>
      <c r="C42" s="51" t="inlineStr">
        <is>
          <t>E2E Networks</t>
        </is>
      </c>
      <c r="D42" s="77" t="inlineStr">
        <is>
          <t>Catalyst</t>
        </is>
      </c>
      <c r="E42" s="69" t="inlineStr">
        <is>
          <t>Q1 revenue was ₹156.76 crore vs ₹36.11 crore a year earlier, with a profit of ₹43.88 crore, on GPU cluster expansion.</t>
        </is>
      </c>
      <c r="F42" s="64" t="n"/>
      <c r="G42" s="51" t="inlineStr">
        <is>
          <t>angelone</t>
        </is>
      </c>
      <c r="H42" s="78" t="inlineStr">
        <is>
          <t>open ↗</t>
        </is>
      </c>
    </row>
    <row r="43" ht="30" customHeight="1">
      <c r="A43" s="50" t="n">
        <v>6</v>
      </c>
      <c r="B43" s="51" t="inlineStr">
        <is>
          <t>E2E</t>
        </is>
      </c>
      <c r="C43" s="51" t="inlineStr">
        <is>
          <t>E2E Networks</t>
        </is>
      </c>
      <c r="D43" s="79" t="inlineStr">
        <is>
          <t>Risk</t>
        </is>
      </c>
      <c r="E43" s="69" t="inlineStr">
        <is>
          <t>P/E is about 398 and the stock fell 11.8% in the month to 18 Sep.</t>
        </is>
      </c>
      <c r="F43" s="64" t="n"/>
      <c r="G43" s="51" t="inlineStr">
        <is>
          <t>anandrathi</t>
        </is>
      </c>
      <c r="H43" s="78" t="inlineStr">
        <is>
          <t>open ↗</t>
        </is>
      </c>
    </row>
    <row r="44" ht="30" customHeight="1">
      <c r="A44" s="50" t="n">
        <v>6</v>
      </c>
      <c r="B44" s="51" t="inlineStr">
        <is>
          <t>E2E</t>
        </is>
      </c>
      <c r="C44" s="51" t="inlineStr">
        <is>
          <t>E2E Networks</t>
        </is>
      </c>
      <c r="D44" s="80" t="inlineStr">
        <is>
          <t>Context</t>
        </is>
      </c>
      <c r="E44" s="69" t="inlineStr">
        <is>
          <t>It has bounced since.</t>
        </is>
      </c>
      <c r="F44" s="64" t="n"/>
      <c r="G44" s="51" t="inlineStr">
        <is>
          <t>anandrathi</t>
        </is>
      </c>
      <c r="H44" s="78" t="inlineStr">
        <is>
          <t>open ↗</t>
        </is>
      </c>
    </row>
    <row r="45" ht="30" customHeight="1">
      <c r="A45" s="50" t="n">
        <v>6</v>
      </c>
      <c r="B45" s="51" t="inlineStr">
        <is>
          <t>E2E</t>
        </is>
      </c>
      <c r="C45" s="51" t="inlineStr">
        <is>
          <t>E2E Networks</t>
        </is>
      </c>
      <c r="D45" s="79" t="inlineStr">
        <is>
          <t>Risk</t>
        </is>
      </c>
      <c r="E45" s="69" t="inlineStr">
        <is>
          <t>It is an AI-theme stock with thin liquidity and gap risk in both directions.</t>
        </is>
      </c>
      <c r="F45" s="64" t="n"/>
      <c r="G45" s="51" t="inlineStr"/>
      <c r="H45" s="51" t="n"/>
    </row>
    <row r="46" ht="44" customHeight="1">
      <c r="A46" s="50" t="n">
        <v>7</v>
      </c>
      <c r="B46" s="51" t="inlineStr">
        <is>
          <t>ACUTAAS</t>
        </is>
      </c>
      <c r="C46" s="51" t="inlineStr">
        <is>
          <t>Acutaas Chemicals</t>
        </is>
      </c>
      <c r="D46" s="77" t="inlineStr">
        <is>
          <t>Catalyst</t>
        </is>
      </c>
      <c r="E46" s="69" t="inlineStr">
        <is>
          <t>It received PLI approval for an electrolyte additives plan and commissioned a high-potency API pilot plant.</t>
        </is>
      </c>
      <c r="F46" s="64" t="n"/>
      <c r="G46" s="51" t="inlineStr">
        <is>
          <t>fyers</t>
        </is>
      </c>
      <c r="H46" s="78" t="inlineStr">
        <is>
          <t>open ↗</t>
        </is>
      </c>
    </row>
    <row r="47" ht="44" customHeight="1">
      <c r="A47" s="50" t="n">
        <v>7</v>
      </c>
      <c r="B47" s="51" t="inlineStr">
        <is>
          <t>ACUTAAS</t>
        </is>
      </c>
      <c r="C47" s="51" t="inlineStr">
        <is>
          <t>Acutaas Chemicals</t>
        </is>
      </c>
      <c r="D47" s="79" t="inlineStr">
        <is>
          <t>Risk</t>
        </is>
      </c>
      <c r="E47" s="69" t="inlineStr">
        <is>
          <t>Quarterly revenue and profit were lower sequentially (₹327 cr and ₹76 cr in Jun vs ₹436 cr and ₹137 cr in Mar).</t>
        </is>
      </c>
      <c r="F47" s="64" t="n"/>
      <c r="G47" s="51" t="inlineStr">
        <is>
          <t>anandrathi</t>
        </is>
      </c>
      <c r="H47" s="78" t="inlineStr">
        <is>
          <t>open ↗</t>
        </is>
      </c>
    </row>
    <row r="48" ht="30" customHeight="1">
      <c r="A48" s="50" t="n">
        <v>7</v>
      </c>
      <c r="B48" s="51" t="inlineStr">
        <is>
          <t>ACUTAAS</t>
        </is>
      </c>
      <c r="C48" s="51" t="inlineStr">
        <is>
          <t>Acutaas Chemicals</t>
        </is>
      </c>
      <c r="D48" s="79" t="inlineStr">
        <is>
          <t>Risk</t>
        </is>
      </c>
      <c r="E48" s="69" t="inlineStr">
        <is>
          <t>The 6-1 return is negative.</t>
        </is>
      </c>
      <c r="F48" s="64" t="n"/>
      <c r="G48" s="51" t="inlineStr">
        <is>
          <t>anandrathi</t>
        </is>
      </c>
      <c r="H48" s="78" t="inlineStr">
        <is>
          <t>open ↗</t>
        </is>
      </c>
    </row>
    <row r="49" ht="30" customHeight="1">
      <c r="A49" s="50" t="n">
        <v>7</v>
      </c>
      <c r="B49" s="51" t="inlineStr">
        <is>
          <t>ACUTAAS</t>
        </is>
      </c>
      <c r="C49" s="51" t="inlineStr">
        <is>
          <t>Acutaas Chemicals</t>
        </is>
      </c>
      <c r="D49" s="79" t="inlineStr">
        <is>
          <t>Risk</t>
        </is>
      </c>
      <c r="E49" s="69" t="inlineStr">
        <is>
          <t>The price has moved sideways since June.</t>
        </is>
      </c>
      <c r="F49" s="64" t="n"/>
      <c r="G49" s="51" t="inlineStr"/>
      <c r="H49" s="51" t="n"/>
    </row>
    <row r="50" ht="30" customHeight="1">
      <c r="A50" s="50" t="n">
        <v>7</v>
      </c>
      <c r="B50" s="51" t="inlineStr">
        <is>
          <t>ACUTAAS</t>
        </is>
      </c>
      <c r="C50" s="51" t="inlineStr">
        <is>
          <t>Acutaas Chemicals</t>
        </is>
      </c>
      <c r="D50" s="79" t="inlineStr">
        <is>
          <t>Risk</t>
        </is>
      </c>
      <c r="E50" s="69" t="inlineStr">
        <is>
          <t>There is no clear trigger for a 21-day move.</t>
        </is>
      </c>
      <c r="F50" s="64" t="n"/>
      <c r="G50" s="51" t="inlineStr"/>
      <c r="H50" s="51" t="n"/>
    </row>
    <row r="51" ht="30" customHeight="1">
      <c r="A51" s="50" t="n">
        <v>8</v>
      </c>
      <c r="B51" s="51" t="inlineStr">
        <is>
          <t>DIACABS</t>
        </is>
      </c>
      <c r="C51" s="51" t="inlineStr">
        <is>
          <t>Diamond Power Infra</t>
        </is>
      </c>
      <c r="D51" s="79" t="inlineStr">
        <is>
          <t>Risk</t>
        </is>
      </c>
      <c r="E51" s="69" t="inlineStr">
        <is>
          <t>It hit a 52-week high of about ₹395 on 17 Sep, up 202% in six months, with a P/E near 128.</t>
        </is>
      </c>
      <c r="F51" s="64" t="n"/>
      <c r="G51" s="51" t="inlineStr">
        <is>
          <t>anandrathi</t>
        </is>
      </c>
      <c r="H51" s="78" t="inlineStr">
        <is>
          <t>open ↗</t>
        </is>
      </c>
    </row>
    <row r="52" ht="30" customHeight="1">
      <c r="A52" s="50" t="n">
        <v>8</v>
      </c>
      <c r="B52" s="51" t="inlineStr">
        <is>
          <t>DIACABS</t>
        </is>
      </c>
      <c r="C52" s="51" t="inlineStr">
        <is>
          <t>Diamond Power Infra</t>
        </is>
      </c>
      <c r="D52" s="79" t="inlineStr">
        <is>
          <t>Risk</t>
        </is>
      </c>
      <c r="E52" s="69" t="inlineStr">
        <is>
          <t>Book value per share was negative in the July data.</t>
        </is>
      </c>
      <c r="F52" s="64" t="n"/>
      <c r="G52" s="51" t="inlineStr">
        <is>
          <t>bajajfinserv</t>
        </is>
      </c>
      <c r="H52" s="78" t="inlineStr">
        <is>
          <t>open ↗</t>
        </is>
      </c>
    </row>
    <row r="53" ht="30" customHeight="1">
      <c r="A53" s="50" t="n">
        <v>8</v>
      </c>
      <c r="B53" s="51" t="inlineStr">
        <is>
          <t>DIACABS</t>
        </is>
      </c>
      <c r="C53" s="51" t="inlineStr">
        <is>
          <t>Diamond Power Infra</t>
        </is>
      </c>
      <c r="D53" s="79" t="inlineStr">
        <is>
          <t>Risk</t>
        </is>
      </c>
      <c r="E53" s="69" t="inlineStr">
        <is>
          <t>It is now 14% off that high.</t>
        </is>
      </c>
      <c r="F53" s="64" t="n"/>
      <c r="G53" s="51" t="inlineStr"/>
      <c r="H53" s="51" t="n"/>
    </row>
    <row r="54" ht="44" customHeight="1">
      <c r="A54" s="50" t="n">
        <v>8</v>
      </c>
      <c r="B54" s="51" t="inlineStr">
        <is>
          <t>DIACABS</t>
        </is>
      </c>
      <c r="C54" s="51" t="inlineStr">
        <is>
          <t>Diamond Power Infra</t>
        </is>
      </c>
      <c r="D54" s="80" t="inlineStr">
        <is>
          <t>Context</t>
        </is>
      </c>
      <c r="E54" s="69" t="inlineStr">
        <is>
          <t>The T&amp;D order-book story is real, but the valuation and balance sheet make it a momentum-only trade.</t>
        </is>
      </c>
      <c r="F54" s="64" t="n"/>
      <c r="G54" s="51" t="inlineStr"/>
      <c r="H54" s="51" t="n"/>
    </row>
    <row r="55" ht="44" customHeight="1">
      <c r="A55" s="50" t="n">
        <v>9</v>
      </c>
      <c r="B55" s="51" t="inlineStr">
        <is>
          <t>KIRLOSENG</t>
        </is>
      </c>
      <c r="C55" s="51" t="inlineStr">
        <is>
          <t>Kirloskar Oil Engines</t>
        </is>
      </c>
      <c r="D55" s="79" t="inlineStr">
        <is>
          <t>Risk</t>
        </is>
      </c>
      <c r="E55" s="69" t="inlineStr">
        <is>
          <t>June-quarter revenue was ₹1,482 cr vs ₹1,284 cr a year ago, but EBITDA slipped to ₹176 cr from ₹184 cr, so margins are compressing.</t>
        </is>
      </c>
      <c r="F55" s="64" t="n"/>
      <c r="G55" s="51" t="inlineStr">
        <is>
          <t>anandrathi</t>
        </is>
      </c>
      <c r="H55" s="78" t="inlineStr">
        <is>
          <t>open ↗</t>
        </is>
      </c>
    </row>
    <row r="56" ht="30" customHeight="1">
      <c r="A56" s="50" t="n">
        <v>9</v>
      </c>
      <c r="B56" s="51" t="inlineStr">
        <is>
          <t>KIRLOSENG</t>
        </is>
      </c>
      <c r="C56" s="51" t="inlineStr">
        <is>
          <t>Kirloskar Oil Engines</t>
        </is>
      </c>
      <c r="D56" s="79" t="inlineStr">
        <is>
          <t>Risk</t>
        </is>
      </c>
      <c r="E56" s="69" t="inlineStr">
        <is>
          <t>The 6-1 return is −11% and the stock is 16.5% below its high.</t>
        </is>
      </c>
      <c r="F56" s="64" t="n"/>
      <c r="G56" s="51" t="inlineStr"/>
      <c r="H56" s="51" t="n"/>
    </row>
    <row r="57" ht="30" customHeight="1">
      <c r="A57" s="50" t="n">
        <v>9</v>
      </c>
      <c r="B57" s="51" t="inlineStr">
        <is>
          <t>KIRLOSENG</t>
        </is>
      </c>
      <c r="C57" s="51" t="inlineStr">
        <is>
          <t>Kirloskar Oil Engines</t>
        </is>
      </c>
      <c r="D57" s="79" t="inlineStr">
        <is>
          <t>Risk</t>
        </is>
      </c>
      <c r="E57" s="69" t="inlineStr">
        <is>
          <t>Momentum is fading.</t>
        </is>
      </c>
      <c r="F57" s="64" t="n"/>
      <c r="G57" s="51" t="inlineStr"/>
      <c r="H57" s="51" t="n"/>
    </row>
    <row r="58" ht="30" customHeight="1">
      <c r="A58" s="50" t="n">
        <v>10</v>
      </c>
      <c r="B58" s="51" t="inlineStr">
        <is>
          <t>THANGAMAYL</t>
        </is>
      </c>
      <c r="C58" s="51" t="inlineStr">
        <is>
          <t>Thangamayil Jewellery</t>
        </is>
      </c>
      <c r="D58" s="80" t="inlineStr">
        <is>
          <t>Context</t>
        </is>
      </c>
      <c r="E58" s="69" t="inlineStr">
        <is>
          <t>It hit a high of ₹7,429 and traded near ₹5,085 on 22 Sep.</t>
        </is>
      </c>
      <c r="F58" s="64" t="n"/>
      <c r="G58" s="51" t="inlineStr">
        <is>
          <t>anandrathi</t>
        </is>
      </c>
      <c r="H58" s="78" t="inlineStr">
        <is>
          <t>open ↗</t>
        </is>
      </c>
    </row>
    <row r="59" ht="30" customHeight="1">
      <c r="A59" s="50" t="n">
        <v>10</v>
      </c>
      <c r="B59" s="51" t="inlineStr">
        <is>
          <t>THANGAMAYL</t>
        </is>
      </c>
      <c r="C59" s="51" t="inlineStr">
        <is>
          <t>Thangamayil Jewellery</t>
        </is>
      </c>
      <c r="D59" s="79" t="inlineStr">
        <is>
          <t>Risk</t>
        </is>
      </c>
      <c r="E59" s="69" t="inlineStr">
        <is>
          <t>It is now about 31% below the peak.</t>
        </is>
      </c>
      <c r="F59" s="64" t="n"/>
      <c r="G59" s="51" t="inlineStr">
        <is>
          <t>anandrathi</t>
        </is>
      </c>
      <c r="H59" s="78" t="inlineStr">
        <is>
          <t>open ↗</t>
        </is>
      </c>
    </row>
    <row r="60" ht="30" customHeight="1">
      <c r="A60" s="50" t="n">
        <v>10</v>
      </c>
      <c r="B60" s="51" t="inlineStr">
        <is>
          <t>THANGAMAYL</t>
        </is>
      </c>
      <c r="C60" s="51" t="inlineStr">
        <is>
          <t>Thangamayil Jewellery</t>
        </is>
      </c>
      <c r="D60" s="79" t="inlineStr">
        <is>
          <t>Risk</t>
        </is>
      </c>
      <c r="E60" s="69" t="inlineStr">
        <is>
          <t>Q1 EBITDA (₹145 cr) fell from ₹214 cr in the March quarter.</t>
        </is>
      </c>
      <c r="F60" s="64" t="n"/>
      <c r="G60" s="51" t="inlineStr">
        <is>
          <t>anandrathi</t>
        </is>
      </c>
      <c r="H60" s="78" t="inlineStr">
        <is>
          <t>open ↗</t>
        </is>
      </c>
    </row>
    <row r="61" ht="44" customHeight="1">
      <c r="A61" s="50" t="n">
        <v>10</v>
      </c>
      <c r="B61" s="51" t="inlineStr">
        <is>
          <t>THANGAMAYL</t>
        </is>
      </c>
      <c r="C61" s="51" t="inlineStr">
        <is>
          <t>Thangamayil Jewellery</t>
        </is>
      </c>
      <c r="D61" s="79" t="inlineStr">
        <is>
          <t>Risk</t>
        </is>
      </c>
      <c r="E61" s="69" t="inlineStr">
        <is>
          <t>It has the weakest chart in the batch: a clear downtrend, a negative 6-1 return, and a gold-price-sensitive business.</t>
        </is>
      </c>
      <c r="F61" s="64" t="n"/>
      <c r="G61" s="51" t="inlineStr"/>
      <c r="H61" s="51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2026-09-29 17:07</t>
        </is>
      </c>
      <c r="B2" s="2" t="n"/>
      <c r="C2" s="2" t="n"/>
      <c r="D2" s="2" t="n"/>
      <c r="E2" s="2" t="n"/>
      <c r="F2" s="2" t="n"/>
      <c r="G2" s="2" t="n"/>
    </row>
    <row r="4">
      <c r="A4" s="14" t="inlineStr">
        <is>
          <t>Symbol</t>
        </is>
      </c>
      <c r="B4" s="14" t="inlineStr">
        <is>
          <t>Published</t>
        </is>
      </c>
      <c r="C4" s="14" t="inlineStr">
        <is>
          <t>Headline</t>
        </is>
      </c>
      <c r="D4" s="14" t="inlineStr">
        <is>
          <t>Source</t>
        </is>
      </c>
      <c r="E4" s="14" t="inlineStr">
        <is>
          <t>Sentiment</t>
        </is>
      </c>
      <c r="F4" s="14" t="inlineStr">
        <is>
          <t>Label</t>
        </is>
      </c>
      <c r="G4" s="14" t="inlineStr">
        <is>
          <t>Link</t>
        </is>
      </c>
    </row>
    <row r="5">
      <c r="A5" s="51" t="inlineStr">
        <is>
          <t>MARKET</t>
        </is>
      </c>
      <c r="B5" s="51" t="inlineStr">
        <is>
          <t>2026-09-29 15:41</t>
        </is>
      </c>
      <c r="C5" s="51" t="inlineStr">
        <is>
          <t>Sensex, Nifty End Lower for Second Day; Global Tensions, FII Selling Hurt Investor Mood</t>
        </is>
      </c>
      <c r="D5" s="51" t="inlineStr">
        <is>
          <t>The Indian Awaaz</t>
        </is>
      </c>
      <c r="E5" s="81" t="n">
        <v>-0.637</v>
      </c>
      <c r="F5" s="51" t="inlineStr">
        <is>
          <t>Negative</t>
        </is>
      </c>
      <c r="G5" s="82" t="inlineStr">
        <is>
          <t>open ↗</t>
        </is>
      </c>
    </row>
    <row r="6">
      <c r="A6" s="51" t="inlineStr">
        <is>
          <t>MARKET</t>
        </is>
      </c>
      <c r="B6" s="51" t="inlineStr">
        <is>
          <t>2026-09-29 14:34</t>
        </is>
      </c>
      <c r="C6" s="51" t="inlineStr">
        <is>
          <t>Markets ride expiry-day seesaw as derivatives swings jolt Nifty</t>
        </is>
      </c>
      <c r="D6" s="51" t="inlineStr">
        <is>
          <t>Business Standard</t>
        </is>
      </c>
      <c r="E6" s="81" t="n">
        <v>0.402</v>
      </c>
      <c r="F6" s="51" t="inlineStr">
        <is>
          <t>Positive</t>
        </is>
      </c>
      <c r="G6" s="82" t="inlineStr">
        <is>
          <t>open ↗</t>
        </is>
      </c>
    </row>
    <row r="7">
      <c r="A7" s="51" t="inlineStr">
        <is>
          <t>MARKET</t>
        </is>
      </c>
      <c r="B7" s="51" t="inlineStr">
        <is>
          <t>2026-09-29 12:51</t>
        </is>
      </c>
      <c r="C7" s="51" t="inlineStr">
        <is>
          <t>Stock market closing: Sensex, Nifty end lower; Sept losses mount on FII selling, oil</t>
        </is>
      </c>
      <c r="D7" s="51" t="inlineStr">
        <is>
          <t>The Federal</t>
        </is>
      </c>
      <c r="E7" s="81" t="n">
        <v>-0.226</v>
      </c>
      <c r="F7" s="51" t="inlineStr">
        <is>
          <t>Negative</t>
        </is>
      </c>
      <c r="G7" s="82" t="inlineStr">
        <is>
          <t>open ↗</t>
        </is>
      </c>
    </row>
    <row r="8">
      <c r="A8" s="51" t="inlineStr">
        <is>
          <t>MARKET</t>
        </is>
      </c>
      <c r="B8" s="51" t="inlineStr">
        <is>
          <t>2026-09-29 11:14</t>
        </is>
      </c>
      <c r="C8" s="51" t="inlineStr">
        <is>
          <t>Stock Market Today: Sensex, Nifty Decline Amid High Oil Prices; Tata Chemicals Down 4.5%</t>
        </is>
      </c>
      <c r="D8" s="51" t="inlineStr">
        <is>
          <t>APAC Media</t>
        </is>
      </c>
      <c r="E8" s="81" t="n">
        <v>0.226</v>
      </c>
      <c r="F8" s="51" t="inlineStr">
        <is>
          <t>Positive</t>
        </is>
      </c>
      <c r="G8" s="82" t="inlineStr">
        <is>
          <t>open ↗</t>
        </is>
      </c>
    </row>
    <row r="9">
      <c r="A9" s="51" t="inlineStr">
        <is>
          <t>MARKET</t>
        </is>
      </c>
      <c r="B9" s="51" t="inlineStr">
        <is>
          <t>2026-09-29 10:48</t>
        </is>
      </c>
      <c r="C9" s="51" t="inlineStr">
        <is>
          <t>Stock markets fall for second day as elevated oil prices, foreign fund outflows weigh</t>
        </is>
      </c>
      <c r="D9" s="51" t="inlineStr">
        <is>
          <t>DD India</t>
        </is>
      </c>
      <c r="E9" s="81" t="n">
        <v>-0.34</v>
      </c>
      <c r="F9" s="51" t="inlineStr">
        <is>
          <t>Negative</t>
        </is>
      </c>
      <c r="G9" s="82" t="inlineStr">
        <is>
          <t>open ↗</t>
        </is>
      </c>
    </row>
    <row r="10">
      <c r="A10" s="51" t="inlineStr">
        <is>
          <t>MARKET</t>
        </is>
      </c>
      <c r="B10" s="51" t="inlineStr">
        <is>
          <t>2026-09-29 10:19</t>
        </is>
      </c>
      <c r="C10" s="51" t="inlineStr">
        <is>
          <t>Sensex Today Ends 242 Points Lower | Nifty Below 22,750 | Tata Chemicals Down 4.5%</t>
        </is>
      </c>
      <c r="D10" s="51" t="inlineStr">
        <is>
          <t>equitymaster.com</t>
        </is>
      </c>
      <c r="E10" s="81" t="n">
        <v>0.226</v>
      </c>
      <c r="F10" s="51" t="inlineStr">
        <is>
          <t>Positive</t>
        </is>
      </c>
      <c r="G10" s="82" t="inlineStr">
        <is>
          <t>open ↗</t>
        </is>
      </c>
    </row>
    <row r="11">
      <c r="A11" s="51" t="inlineStr">
        <is>
          <t>MARKET</t>
        </is>
      </c>
      <c r="B11" s="51" t="inlineStr">
        <is>
          <t>2026-09-29 10:11</t>
        </is>
      </c>
      <c r="C11" s="51" t="inlineStr">
        <is>
          <t>Stock market prediction for tomorrow: Sensex, Nifty outlook for Wednesday | Kospi, Taiwan cues to watch | 30 Sept 2026</t>
        </is>
      </c>
      <c r="D11" s="51" t="inlineStr">
        <is>
          <t>Livemint</t>
        </is>
      </c>
      <c r="E11" s="81" t="n">
        <v>0.402</v>
      </c>
      <c r="F11" s="51" t="inlineStr">
        <is>
          <t>Positive</t>
        </is>
      </c>
      <c r="G11" s="82" t="inlineStr">
        <is>
          <t>open ↗</t>
        </is>
      </c>
    </row>
    <row r="12">
      <c r="A12" s="51" t="inlineStr">
        <is>
          <t>MARKET</t>
        </is>
      </c>
      <c r="B12" s="51" t="inlineStr">
        <is>
          <t>2026-09-29 06:14</t>
        </is>
      </c>
      <c r="C12" s="51" t="inlineStr">
        <is>
          <t>Sensex, Nifty rebound from near six-month lows amid crude shock</t>
        </is>
      </c>
      <c r="D12" s="51" t="inlineStr">
        <is>
          <t>Livemint</t>
        </is>
      </c>
      <c r="E12" s="81" t="n">
        <v>-0.66</v>
      </c>
      <c r="F12" s="51" t="inlineStr">
        <is>
          <t>Negative</t>
        </is>
      </c>
      <c r="G12" s="82" t="inlineStr">
        <is>
          <t>open ↗</t>
        </is>
      </c>
    </row>
    <row r="13">
      <c r="A13" s="51" t="inlineStr">
        <is>
          <t>MARKET</t>
        </is>
      </c>
      <c r="B13" s="51" t="inlineStr">
        <is>
          <t>2026-09-29 05:26</t>
        </is>
      </c>
      <c r="C13" s="51" t="inlineStr">
        <is>
          <t>Stock markets tumble in early trade dragged by elevated crude oil prices, foreign fund outflows</t>
        </is>
      </c>
      <c r="D13" s="51" t="inlineStr">
        <is>
          <t>The Hindu</t>
        </is>
      </c>
      <c r="E13" s="81" t="n">
        <v>-0.599</v>
      </c>
      <c r="F13" s="51" t="inlineStr">
        <is>
          <t>Negative</t>
        </is>
      </c>
      <c r="G13" s="82" t="inlineStr">
        <is>
          <t>open ↗</t>
        </is>
      </c>
    </row>
    <row r="14">
      <c r="A14" s="51" t="inlineStr">
        <is>
          <t>MARKET</t>
        </is>
      </c>
      <c r="B14" s="51" t="inlineStr">
        <is>
          <t>2026-09-29 05:23</t>
        </is>
      </c>
      <c r="C14" s="51" t="inlineStr">
        <is>
          <t>Stock market crash: Why Sensex crashed 1800 points, Nifty lost 550 points in 2 days? Top 5 reasons</t>
        </is>
      </c>
      <c r="D14" s="51" t="inlineStr">
        <is>
          <t>Livemint</t>
        </is>
      </c>
      <c r="E14" s="81" t="n">
        <v>-0.382</v>
      </c>
      <c r="F14" s="51" t="inlineStr">
        <is>
          <t>Negative</t>
        </is>
      </c>
      <c r="G14" s="82" t="inlineStr">
        <is>
          <t>open ↗</t>
        </is>
      </c>
    </row>
    <row r="15">
      <c r="A15" s="51" t="inlineStr">
        <is>
          <t>MARKET</t>
        </is>
      </c>
      <c r="B15" s="51" t="inlineStr">
        <is>
          <t>2026-09-29 05:09</t>
        </is>
      </c>
      <c r="C15" s="51" t="inlineStr">
        <is>
          <t>Stock Market Crash: Investors Lose Rs 5.9 Lakh Crore In 90 Minutes As Sensex Tumbles Over 700 Points, Nifty Breaches 22,600</t>
        </is>
      </c>
      <c r="D15" s="51" t="inlineStr">
        <is>
          <t>NDTV Profit</t>
        </is>
      </c>
      <c r="E15" s="81" t="n">
        <v>-0.791</v>
      </c>
      <c r="F15" s="51" t="inlineStr">
        <is>
          <t>Negative</t>
        </is>
      </c>
      <c r="G15" s="82" t="inlineStr">
        <is>
          <t>open ↗</t>
        </is>
      </c>
    </row>
    <row r="16">
      <c r="A16" s="51" t="inlineStr">
        <is>
          <t>MARKET</t>
        </is>
      </c>
      <c r="B16" s="51" t="inlineStr">
        <is>
          <t>2026-09-29 05:06</t>
        </is>
      </c>
      <c r="C16" s="51" t="inlineStr">
        <is>
          <t>Stock market crash today: BSE Sensex continues to be in bear grip; Nifty50 below 22,600 - top reasons for</t>
        </is>
      </c>
      <c r="D16" s="51" t="inlineStr">
        <is>
          <t>The Times of India</t>
        </is>
      </c>
      <c r="E16" s="81" t="n">
        <v>-0.459</v>
      </c>
      <c r="F16" s="51" t="inlineStr">
        <is>
          <t>Negative</t>
        </is>
      </c>
      <c r="G16" s="82" t="inlineStr">
        <is>
          <t>open ↗</t>
        </is>
      </c>
    </row>
    <row r="17">
      <c r="A17" s="51" t="inlineStr">
        <is>
          <t>MARKET</t>
        </is>
      </c>
      <c r="B17" s="51" t="inlineStr">
        <is>
          <t>2026-09-29 04:38</t>
        </is>
      </c>
      <c r="C17" s="51" t="inlineStr">
        <is>
          <t>BSE shares surge over 3%, stock to replace Wipro in Nifty 50 reshuffle</t>
        </is>
      </c>
      <c r="D17" s="51" t="inlineStr">
        <is>
          <t>BusinessLine</t>
        </is>
      </c>
      <c r="E17" s="81" t="n">
        <v>0.71</v>
      </c>
      <c r="F17" s="51" t="inlineStr">
        <is>
          <t>Positive</t>
        </is>
      </c>
      <c r="G17" s="82" t="inlineStr">
        <is>
          <t>open ↗</t>
        </is>
      </c>
    </row>
    <row r="18">
      <c r="A18" s="51" t="inlineStr">
        <is>
          <t>MARKET</t>
        </is>
      </c>
      <c r="B18" s="51" t="inlineStr">
        <is>
          <t>2026-09-29 04:35</t>
        </is>
      </c>
      <c r="C18" s="51" t="inlineStr">
        <is>
          <t>Sensex Falls 400 Points; Nifty Slips Below 22,700</t>
        </is>
      </c>
      <c r="D18" s="51" t="inlineStr">
        <is>
          <t>HDFC Sky</t>
        </is>
      </c>
      <c r="E18" s="81" t="n">
        <v>-0.318</v>
      </c>
      <c r="F18" s="51" t="inlineStr">
        <is>
          <t>Negative</t>
        </is>
      </c>
      <c r="G18" s="82" t="inlineStr">
        <is>
          <t>open ↗</t>
        </is>
      </c>
    </row>
    <row r="19">
      <c r="A19" s="51" t="inlineStr">
        <is>
          <t>MARKET</t>
        </is>
      </c>
      <c r="B19" s="51" t="inlineStr">
        <is>
          <t>2026-09-29 04:35</t>
        </is>
      </c>
      <c r="C19" s="51" t="inlineStr">
        <is>
          <t>Sensex Today Tanks 695 Points | Nifty Below 22,600 | Bajaj Finance &amp; Kotak Mahindra Top Losers</t>
        </is>
      </c>
      <c r="D19" s="51" t="inlineStr">
        <is>
          <t>equitymaster.com</t>
        </is>
      </c>
      <c r="E19" s="81" t="n">
        <v>-0.477</v>
      </c>
      <c r="F19" s="51" t="inlineStr">
        <is>
          <t>Negative</t>
        </is>
      </c>
      <c r="G19" s="82" t="inlineStr">
        <is>
          <t>open ↗</t>
        </is>
      </c>
    </row>
    <row r="20">
      <c r="A20" s="51" t="inlineStr">
        <is>
          <t>ATHERENERG</t>
        </is>
      </c>
      <c r="B20" s="51" t="inlineStr">
        <is>
          <t>2026-09-29 04:23</t>
        </is>
      </c>
      <c r="C20" s="51" t="inlineStr">
        <is>
          <t>Ather Energy Share Price News: Today’s Decline Analyzed</t>
        </is>
      </c>
      <c r="D20" s="51" t="inlineStr">
        <is>
          <t>Univest</t>
        </is>
      </c>
      <c r="E20" s="81" t="n">
        <v>-0.128</v>
      </c>
      <c r="F20" s="51" t="inlineStr">
        <is>
          <t>Neutral</t>
        </is>
      </c>
      <c r="G20" s="82" t="inlineStr">
        <is>
          <t>open ↗</t>
        </is>
      </c>
    </row>
    <row r="21">
      <c r="A21" s="51" t="inlineStr">
        <is>
          <t>MARKET</t>
        </is>
      </c>
      <c r="B21" s="51" t="inlineStr">
        <is>
          <t>2026-09-29 04:23</t>
        </is>
      </c>
      <c r="C21" s="51" t="inlineStr">
        <is>
          <t>Oil rise, bond yields: Top factors behind Tuesday's stock market fall</t>
        </is>
      </c>
      <c r="D21" s="51" t="inlineStr">
        <is>
          <t>Business Standard</t>
        </is>
      </c>
      <c r="E21" s="81" t="n">
        <v>-0.153</v>
      </c>
      <c r="F21" s="51" t="inlineStr">
        <is>
          <t>Neutral</t>
        </is>
      </c>
      <c r="G21" s="82" t="inlineStr">
        <is>
          <t>open ↗</t>
        </is>
      </c>
    </row>
    <row r="22">
      <c r="A22" s="51" t="inlineStr">
        <is>
          <t>MARKET</t>
        </is>
      </c>
      <c r="B22" s="51" t="inlineStr">
        <is>
          <t>2026-09-29 04:21</t>
        </is>
      </c>
      <c r="C22" s="51" t="inlineStr">
        <is>
          <t>No respite after Monday blues: Sensex slumps 568 points, Nifty below 22,650; what’s dragging the market?</t>
        </is>
      </c>
      <c r="D22" s="51" t="inlineStr">
        <is>
          <t>fortuneindia.com</t>
        </is>
      </c>
      <c r="E22" s="81" t="n">
        <v>-0.402</v>
      </c>
      <c r="F22" s="51" t="inlineStr">
        <is>
          <t>Negative</t>
        </is>
      </c>
      <c r="G22" s="82" t="inlineStr">
        <is>
          <t>open ↗</t>
        </is>
      </c>
    </row>
    <row r="23">
      <c r="A23" s="51" t="inlineStr">
        <is>
          <t>MARKET</t>
        </is>
      </c>
      <c r="B23" s="51" t="inlineStr">
        <is>
          <t>2026-09-29 04:21</t>
        </is>
      </c>
      <c r="C23" s="51" t="inlineStr">
        <is>
          <t>Sensex, Nifty sink further; What is keeping the market under pressure?</t>
        </is>
      </c>
      <c r="D23" s="51" t="inlineStr">
        <is>
          <t>newsdrum.in</t>
        </is>
      </c>
      <c r="E23" s="81" t="n">
        <v>0.128</v>
      </c>
      <c r="F23" s="51" t="inlineStr">
        <is>
          <t>Neutral</t>
        </is>
      </c>
      <c r="G23" s="82" t="inlineStr">
        <is>
          <t>open ↗</t>
        </is>
      </c>
    </row>
    <row r="24">
      <c r="A24" s="51" t="inlineStr">
        <is>
          <t>MARKET</t>
        </is>
      </c>
      <c r="B24" s="51" t="inlineStr">
        <is>
          <t>2026-09-29 04:14</t>
        </is>
      </c>
      <c r="C24" s="51" t="inlineStr">
        <is>
          <t>Why is market falling today? Sensex slumps 700 points, Nifty below 22,600. 8 key factors rattling D-Street</t>
        </is>
      </c>
      <c r="D24" s="51" t="inlineStr">
        <is>
          <t>The Economic Times</t>
        </is>
      </c>
      <c r="E24" s="81" t="n">
        <v>-0.273</v>
      </c>
      <c r="F24" s="51" t="inlineStr">
        <is>
          <t>Negative</t>
        </is>
      </c>
      <c r="G24" s="82" t="inlineStr">
        <is>
          <t>open ↗</t>
        </is>
      </c>
    </row>
    <row r="25">
      <c r="A25" s="51" t="inlineStr">
        <is>
          <t>MARKET</t>
        </is>
      </c>
      <c r="B25" s="51" t="inlineStr">
        <is>
          <t>2026-09-29 04:02</t>
        </is>
      </c>
      <c r="C25" s="51" t="inlineStr">
        <is>
          <t>Sensex settles 250 pts lower, Nifty ends below 22,750: Surging crude prices among key factors behind...</t>
        </is>
      </c>
      <c r="D25" s="51" t="inlineStr">
        <is>
          <t>Moneycontrol.com</t>
        </is>
      </c>
      <c r="E25" s="81" t="n">
        <v>-0.421</v>
      </c>
      <c r="F25" s="51" t="inlineStr">
        <is>
          <t>Negative</t>
        </is>
      </c>
      <c r="G25" s="82" t="inlineStr">
        <is>
          <t>open ↗</t>
        </is>
      </c>
    </row>
    <row r="26">
      <c r="A26" s="51" t="inlineStr">
        <is>
          <t>MARKET</t>
        </is>
      </c>
      <c r="B26" s="51" t="inlineStr">
        <is>
          <t>2026-09-29 04:01</t>
        </is>
      </c>
      <c r="C26" s="51" t="inlineStr">
        <is>
          <t>Nifty Fell 10% In 2 Years, But This Rs 1 Crore Portfolio Grew By Rs 16 Lakh. Here's How</t>
        </is>
      </c>
      <c r="D26" s="51" t="inlineStr">
        <is>
          <t>NDTV</t>
        </is>
      </c>
      <c r="E26" s="81" t="n">
        <v>0.214</v>
      </c>
      <c r="F26" s="51" t="inlineStr">
        <is>
          <t>Positive</t>
        </is>
      </c>
      <c r="G26" s="82" t="inlineStr">
        <is>
          <t>open ↗</t>
        </is>
      </c>
    </row>
    <row r="27">
      <c r="A27" s="51" t="inlineStr">
        <is>
          <t>MARKET</t>
        </is>
      </c>
      <c r="B27" s="51" t="inlineStr">
        <is>
          <t>2026-09-29 02:57</t>
        </is>
      </c>
      <c r="C27" s="51" t="inlineStr">
        <is>
          <t>Sensex, Nifty opening: Will stock market crash or open higher today?</t>
        </is>
      </c>
      <c r="D27" s="51" t="inlineStr">
        <is>
          <t>India Today</t>
        </is>
      </c>
      <c r="E27" s="81" t="n">
        <v>-0.273</v>
      </c>
      <c r="F27" s="51" t="inlineStr">
        <is>
          <t>Negative</t>
        </is>
      </c>
      <c r="G27" s="82" t="inlineStr">
        <is>
          <t>open ↗</t>
        </is>
      </c>
    </row>
    <row r="28">
      <c r="A28" s="51" t="inlineStr">
        <is>
          <t>MARKET</t>
        </is>
      </c>
      <c r="B28" s="51" t="inlineStr">
        <is>
          <t>2026-09-29 01:36</t>
        </is>
      </c>
      <c r="C28" s="51" t="inlineStr">
        <is>
          <t>Stock Market Today: Gift Nifty, Gold Rate To Bond Yields — Five Key Factors For Sensex, Nifty 50 On September 29</t>
        </is>
      </c>
      <c r="D28" s="51" t="inlineStr">
        <is>
          <t>NDTV Profit</t>
        </is>
      </c>
      <c r="E28" s="81" t="n">
        <v>0.8070000000000001</v>
      </c>
      <c r="F28" s="51" t="inlineStr">
        <is>
          <t>Positive</t>
        </is>
      </c>
      <c r="G28" s="82" t="inlineStr">
        <is>
          <t>open ↗</t>
        </is>
      </c>
    </row>
    <row r="29">
      <c r="A29" s="51" t="inlineStr">
        <is>
          <t>MARKET</t>
        </is>
      </c>
      <c r="B29" s="51" t="inlineStr">
        <is>
          <t>2026-09-29 01:19</t>
        </is>
      </c>
      <c r="C29" s="51" t="inlineStr">
        <is>
          <t>Sensex, Nifty 50 prediction today: Stock market outlook for Tuesday, 29 Sept - GIFT Nifty, Kospi, Nikkei, Taiwan cues</t>
        </is>
      </c>
      <c r="D29" s="51" t="inlineStr">
        <is>
          <t>Livemint</t>
        </is>
      </c>
      <c r="E29" s="81" t="n">
        <v>0.842</v>
      </c>
      <c r="F29" s="51" t="inlineStr">
        <is>
          <t>Positive</t>
        </is>
      </c>
      <c r="G29" s="82" t="inlineStr">
        <is>
          <t>open ↗</t>
        </is>
      </c>
    </row>
    <row r="30">
      <c r="A30" s="51" t="inlineStr">
        <is>
          <t>MARKET</t>
        </is>
      </c>
      <c r="B30" s="51" t="inlineStr">
        <is>
          <t>2026-09-28 19:51</t>
        </is>
      </c>
      <c r="C30" s="51" t="inlineStr">
        <is>
          <t>Indian stock market crashes, 7.4 lakh crore wiped out: What is driving the fall?</t>
        </is>
      </c>
      <c r="D30" s="51" t="inlineStr">
        <is>
          <t>wionews.com</t>
        </is>
      </c>
      <c r="E30" s="81" t="n">
        <v>-0.34</v>
      </c>
      <c r="F30" s="51" t="inlineStr">
        <is>
          <t>Negative</t>
        </is>
      </c>
      <c r="G30" s="82" t="inlineStr">
        <is>
          <t>open ↗</t>
        </is>
      </c>
    </row>
    <row r="31">
      <c r="A31" s="51" t="inlineStr">
        <is>
          <t>MARKET</t>
        </is>
      </c>
      <c r="B31" s="51" t="inlineStr">
        <is>
          <t>2026-09-28 17:36</t>
        </is>
      </c>
      <c r="C31" s="51" t="inlineStr">
        <is>
          <t>Nifty falls 1.56% as Brent futures near $108, riskoff mood deepens</t>
        </is>
      </c>
      <c r="D31" s="51" t="inlineStr">
        <is>
          <t>Business Standard</t>
        </is>
      </c>
      <c r="E31" s="81" t="n">
        <v>0.026</v>
      </c>
      <c r="F31" s="51" t="inlineStr">
        <is>
          <t>Neutral</t>
        </is>
      </c>
      <c r="G31" s="82" t="inlineStr">
        <is>
          <t>open ↗</t>
        </is>
      </c>
    </row>
    <row r="32">
      <c r="A32" s="51" t="inlineStr">
        <is>
          <t>MARKET</t>
        </is>
      </c>
      <c r="B32" s="51" t="inlineStr">
        <is>
          <t>2026-09-28 13:42</t>
        </is>
      </c>
      <c r="C32" s="51" t="inlineStr">
        <is>
          <t>Stock market crash takes Sensex to 6-month low; index tanks 5% in a month as investors lose Rs 17 lakh cr</t>
        </is>
      </c>
      <c r="D32" s="51" t="inlineStr">
        <is>
          <t>The Times of India</t>
        </is>
      </c>
      <c r="E32" s="81" t="n">
        <v>-0.896</v>
      </c>
      <c r="F32" s="51" t="inlineStr">
        <is>
          <t>Negative</t>
        </is>
      </c>
      <c r="G32" s="82" t="inlineStr">
        <is>
          <t>open ↗</t>
        </is>
      </c>
    </row>
    <row r="33">
      <c r="A33" s="51" t="inlineStr">
        <is>
          <t>AEROFLEX</t>
        </is>
      </c>
      <c r="B33" s="51" t="inlineStr">
        <is>
          <t>2026-09-28 13:25</t>
        </is>
      </c>
      <c r="C33" s="51" t="inlineStr">
        <is>
          <t>JINDAL SUPREME (INDIA) LTD. Stock/Share price , NSE/BSE Forecast News and Live Quotes</t>
        </is>
      </c>
      <c r="D33" s="51" t="inlineStr">
        <is>
          <t>equitymaster.com</t>
        </is>
      </c>
      <c r="E33" s="81" t="n">
        <v>0.652</v>
      </c>
      <c r="F33" s="51" t="inlineStr">
        <is>
          <t>Positive</t>
        </is>
      </c>
      <c r="G33" s="82" t="inlineStr">
        <is>
          <t>open ↗</t>
        </is>
      </c>
    </row>
    <row r="34">
      <c r="A34" s="51" t="inlineStr">
        <is>
          <t>E2E</t>
        </is>
      </c>
      <c r="B34" s="51" t="inlineStr">
        <is>
          <t>2026-09-28 13:16</t>
        </is>
      </c>
      <c r="C34" s="51" t="inlineStr">
        <is>
          <t>E2E Networks appoints Anand Ganapathy as Chief Revenue Officer to accelerate next phase of growth and GTM engine</t>
        </is>
      </c>
      <c r="D34" s="51" t="inlineStr">
        <is>
          <t>hrtoday.in</t>
        </is>
      </c>
      <c r="E34" s="81" t="n">
        <v>0.361</v>
      </c>
      <c r="F34" s="51" t="inlineStr">
        <is>
          <t>Positive</t>
        </is>
      </c>
      <c r="G34" s="82" t="inlineStr">
        <is>
          <t>open ↗</t>
        </is>
      </c>
    </row>
    <row r="35">
      <c r="A35" s="51" t="inlineStr">
        <is>
          <t>LAURUSLABS</t>
        </is>
      </c>
      <c r="B35" s="51" t="inlineStr">
        <is>
          <t>2026-09-28 11:48</t>
        </is>
      </c>
      <c r="C35" s="51" t="inlineStr">
        <is>
          <t>Top 2 stocks to buy or sell tomorrow: Laurus Labs, Indus Towers by Chandan Taparia - Check stop-loss, targets</t>
        </is>
      </c>
      <c r="D35" s="51" t="inlineStr">
        <is>
          <t>Livemint</t>
        </is>
      </c>
      <c r="E35" s="81" t="n">
        <v>0.153</v>
      </c>
      <c r="F35" s="51" t="inlineStr">
        <is>
          <t>Neutral</t>
        </is>
      </c>
      <c r="G35" s="82" t="inlineStr">
        <is>
          <t>open ↗</t>
        </is>
      </c>
    </row>
    <row r="36">
      <c r="A36" s="51" t="inlineStr">
        <is>
          <t>MARKET</t>
        </is>
      </c>
      <c r="B36" s="51" t="inlineStr">
        <is>
          <t>2026-09-28 10:56</t>
        </is>
      </c>
      <c r="C36" s="51" t="inlineStr">
        <is>
          <t>Sensex Today Tanks 1,124 Points | Nifty Below 22,800 | 6 Reasons Why Indian Share Markets Are Falling</t>
        </is>
      </c>
      <c r="D36" s="51" t="inlineStr">
        <is>
          <t>equitymaster.com</t>
        </is>
      </c>
      <c r="E36" s="81" t="n">
        <v>-0.273</v>
      </c>
      <c r="F36" s="51" t="inlineStr">
        <is>
          <t>Negative</t>
        </is>
      </c>
      <c r="G36" s="82" t="inlineStr">
        <is>
          <t>open ↗</t>
        </is>
      </c>
    </row>
    <row r="37">
      <c r="A37" s="51" t="inlineStr">
        <is>
          <t>MARKET</t>
        </is>
      </c>
      <c r="B37" s="51" t="inlineStr">
        <is>
          <t>2026-09-28 10:48</t>
        </is>
      </c>
      <c r="C37" s="51" t="inlineStr">
        <is>
          <t>Sensex Tanks 1,124 Pts to 6-Month Low Amid Crude Surge</t>
        </is>
      </c>
      <c r="D37" s="51" t="inlineStr">
        <is>
          <t>Rediff MoneyWiz</t>
        </is>
      </c>
      <c r="E37" s="81" t="n">
        <v>-0.7</v>
      </c>
      <c r="F37" s="51" t="inlineStr">
        <is>
          <t>Negative</t>
        </is>
      </c>
      <c r="G37" s="82" t="inlineStr">
        <is>
          <t>open ↗</t>
        </is>
      </c>
    </row>
    <row r="38">
      <c r="A38" s="51" t="inlineStr">
        <is>
          <t>MARKET</t>
        </is>
      </c>
      <c r="B38" s="51" t="inlineStr">
        <is>
          <t>2026-09-28 10:46</t>
        </is>
      </c>
      <c r="C38" s="51" t="inlineStr">
        <is>
          <t>Sensex Falls 1,124 Points, Nifty Slips Below 22,800</t>
        </is>
      </c>
      <c r="D38" s="51" t="inlineStr">
        <is>
          <t>HDFC Sky</t>
        </is>
      </c>
      <c r="E38" s="81" t="n">
        <v>-0.318</v>
      </c>
      <c r="F38" s="51" t="inlineStr">
        <is>
          <t>Negative</t>
        </is>
      </c>
      <c r="G38" s="82" t="inlineStr">
        <is>
          <t>open ↗</t>
        </is>
      </c>
    </row>
    <row r="39">
      <c r="A39" s="51" t="inlineStr">
        <is>
          <t>MARKET</t>
        </is>
      </c>
      <c r="B39" s="51" t="inlineStr">
        <is>
          <t>2026-09-28 10:26</t>
        </is>
      </c>
      <c r="C39" s="51" t="inlineStr">
        <is>
          <t>Taking Stock: Sensex sheds 1,124 pts; Nifty ends below 22,800, sinks to 6-month low</t>
        </is>
      </c>
      <c r="D39" s="51" t="inlineStr">
        <is>
          <t>Moneycontrol.com</t>
        </is>
      </c>
      <c r="E39" s="81" t="n">
        <v>-0.612</v>
      </c>
      <c r="F39" s="51" t="inlineStr">
        <is>
          <t>Negative</t>
        </is>
      </c>
      <c r="G39" s="82" t="inlineStr">
        <is>
          <t>open ↗</t>
        </is>
      </c>
    </row>
    <row r="40">
      <c r="A40" s="51" t="inlineStr">
        <is>
          <t>MARKET</t>
        </is>
      </c>
      <c r="B40" s="51" t="inlineStr">
        <is>
          <t>2026-09-28 10:15</t>
        </is>
      </c>
      <c r="C40" s="51" t="inlineStr">
        <is>
          <t>Stock market prediction for today: Sensex, Nifty outlook for Tuesday | Kospi, Taiwan cues to watch | 29 Sept 2026</t>
        </is>
      </c>
      <c r="D40" s="51" t="inlineStr">
        <is>
          <t>Livemint</t>
        </is>
      </c>
      <c r="E40" s="81" t="n">
        <v>0.402</v>
      </c>
      <c r="F40" s="51" t="inlineStr">
        <is>
          <t>Positive</t>
        </is>
      </c>
      <c r="G40" s="82" t="inlineStr">
        <is>
          <t>open ↗</t>
        </is>
      </c>
    </row>
    <row r="41">
      <c r="A41" s="51" t="inlineStr">
        <is>
          <t>E2E</t>
        </is>
      </c>
      <c r="B41" s="51" t="inlineStr">
        <is>
          <t>2026-09-28 10:06</t>
        </is>
      </c>
      <c r="C41" s="51" t="inlineStr">
        <is>
          <t>E2E Networks shareholders approve fund raise and borrowing powers</t>
        </is>
      </c>
      <c r="D41" s="51" t="inlineStr">
        <is>
          <t>scanx.trade</t>
        </is>
      </c>
      <c r="E41" s="81" t="n">
        <v>0</v>
      </c>
      <c r="F41" s="51" t="inlineStr">
        <is>
          <t>Neutral</t>
        </is>
      </c>
      <c r="G41" s="82" t="inlineStr">
        <is>
          <t>open ↗</t>
        </is>
      </c>
    </row>
    <row r="42">
      <c r="A42" s="51" t="inlineStr">
        <is>
          <t>MARKET</t>
        </is>
      </c>
      <c r="B42" s="51" t="inlineStr">
        <is>
          <t>2026-09-28 10:05</t>
        </is>
      </c>
      <c r="C42" s="51" t="inlineStr">
        <is>
          <t>Sensex ends over 1,100 points lower, Nifty below 23,000; Reliance, SBI among top losers</t>
        </is>
      </c>
      <c r="D42" s="51" t="inlineStr">
        <is>
          <t>India Today</t>
        </is>
      </c>
      <c r="E42" s="81" t="n">
        <v>-0.178</v>
      </c>
      <c r="F42" s="51" t="inlineStr">
        <is>
          <t>Neutral</t>
        </is>
      </c>
      <c r="G42" s="82" t="inlineStr">
        <is>
          <t>open ↗</t>
        </is>
      </c>
    </row>
    <row r="43">
      <c r="A43" s="51" t="inlineStr">
        <is>
          <t>E2E</t>
        </is>
      </c>
      <c r="B43" s="51" t="inlineStr">
        <is>
          <t>2026-09-28 08:20</t>
        </is>
      </c>
      <c r="C43" s="51" t="inlineStr">
        <is>
          <t>E2E Networks (NSE:E2E): Why Has the Trading Window Been Shut from October 1, 2026?</t>
        </is>
      </c>
      <c r="D43" s="51" t="inlineStr">
        <is>
          <t>Kalkine India</t>
        </is>
      </c>
      <c r="E43" s="81" t="n">
        <v>0</v>
      </c>
      <c r="F43" s="51" t="inlineStr">
        <is>
          <t>Neutral</t>
        </is>
      </c>
      <c r="G43" s="82" t="inlineStr">
        <is>
          <t>open ↗</t>
        </is>
      </c>
    </row>
    <row r="44">
      <c r="A44" s="51" t="inlineStr">
        <is>
          <t>MARKET</t>
        </is>
      </c>
      <c r="B44" s="51" t="inlineStr">
        <is>
          <t>2026-09-28 08:15</t>
        </is>
      </c>
      <c r="C44" s="51" t="inlineStr">
        <is>
          <t>Nifty, Sensex: History favours stock market comeback in October; stocks to watch</t>
        </is>
      </c>
      <c r="D44" s="51" t="inlineStr">
        <is>
          <t>Business Today</t>
        </is>
      </c>
      <c r="E44" s="81" t="n">
        <v>0.67</v>
      </c>
      <c r="F44" s="51" t="inlineStr">
        <is>
          <t>Positive</t>
        </is>
      </c>
      <c r="G44" s="82" t="inlineStr">
        <is>
          <t>open ↗</t>
        </is>
      </c>
    </row>
    <row r="45">
      <c r="A45" s="51" t="inlineStr">
        <is>
          <t>MARKET</t>
        </is>
      </c>
      <c r="B45" s="51" t="inlineStr">
        <is>
          <t>2026-09-28 08:03</t>
        </is>
      </c>
      <c r="C45" s="51" t="inlineStr">
        <is>
          <t>Sensex, Nifty Tumble as US-Iran Tensions Push Oil Higher</t>
        </is>
      </c>
      <c r="D45" s="51" t="inlineStr">
        <is>
          <t>Free Press Kashmir</t>
        </is>
      </c>
      <c r="E45" s="81" t="n">
        <v>0</v>
      </c>
      <c r="F45" s="51" t="inlineStr">
        <is>
          <t>Neutral</t>
        </is>
      </c>
      <c r="G45" s="82" t="inlineStr">
        <is>
          <t>open ↗</t>
        </is>
      </c>
    </row>
    <row r="46">
      <c r="A46" s="51" t="inlineStr">
        <is>
          <t>MARKET</t>
        </is>
      </c>
      <c r="B46" s="51" t="inlineStr">
        <is>
          <t>2026-09-28 07:56</t>
        </is>
      </c>
      <c r="C46" s="51" t="inlineStr">
        <is>
          <t>Stock Market Crash: Investors Lose Rs 6 lakh Crore; Why Did Sensex, Nifty Plunge?</t>
        </is>
      </c>
      <c r="D46" s="51" t="inlineStr">
        <is>
          <t>ETV Bharat</t>
        </is>
      </c>
      <c r="E46" s="81" t="n">
        <v>-0.8070000000000001</v>
      </c>
      <c r="F46" s="51" t="inlineStr">
        <is>
          <t>Negative</t>
        </is>
      </c>
      <c r="G46" s="82" t="inlineStr">
        <is>
          <t>open ↗</t>
        </is>
      </c>
    </row>
    <row r="47">
      <c r="A47" s="51" t="inlineStr">
        <is>
          <t>MARKET</t>
        </is>
      </c>
      <c r="B47" s="51" t="inlineStr">
        <is>
          <t>2026-09-28 07:44</t>
        </is>
      </c>
      <c r="C47" s="51" t="inlineStr">
        <is>
          <t>Sensex Bloodbath Today: Stock Market Crashes Over 1,000 Pts</t>
        </is>
      </c>
      <c r="D47" s="51" t="inlineStr">
        <is>
          <t>APAC Media</t>
        </is>
      </c>
      <c r="E47" s="81" t="n">
        <v>0</v>
      </c>
      <c r="F47" s="51" t="inlineStr">
        <is>
          <t>Neutral</t>
        </is>
      </c>
      <c r="G47" s="82" t="inlineStr">
        <is>
          <t>open ↗</t>
        </is>
      </c>
    </row>
    <row r="48">
      <c r="A48" s="51" t="inlineStr">
        <is>
          <t>MARKET</t>
        </is>
      </c>
      <c r="B48" s="51" t="inlineStr">
        <is>
          <t>2026-09-28 07:36</t>
        </is>
      </c>
      <c r="C48" s="51" t="inlineStr">
        <is>
          <t>September Slump: SENSEX, NIFTY crash 5% as FII selling and crude oil spike rattle markets</t>
        </is>
      </c>
      <c r="D48" s="51" t="inlineStr">
        <is>
          <t>Upstox</t>
        </is>
      </c>
      <c r="E48" s="81" t="n">
        <v>-0.806</v>
      </c>
      <c r="F48" s="51" t="inlineStr">
        <is>
          <t>Negative</t>
        </is>
      </c>
      <c r="G48" s="82" t="inlineStr">
        <is>
          <t>open ↗</t>
        </is>
      </c>
    </row>
    <row r="49">
      <c r="A49" s="51" t="inlineStr">
        <is>
          <t>MARKET</t>
        </is>
      </c>
      <c r="B49" s="51" t="inlineStr">
        <is>
          <t>2026-09-28 07:06</t>
        </is>
      </c>
      <c r="C49" s="51" t="inlineStr">
        <is>
          <t>Stock Market Crash: Key factors behind Sensex falling 1,100 points and Nifty dropping below 22,800</t>
        </is>
      </c>
      <c r="D49" s="51" t="inlineStr">
        <is>
          <t>CNBC TV18</t>
        </is>
      </c>
      <c r="E49" s="81" t="n">
        <v>-0.402</v>
      </c>
      <c r="F49" s="51" t="inlineStr">
        <is>
          <t>Negative</t>
        </is>
      </c>
      <c r="G49" s="82" t="inlineStr">
        <is>
          <t>open ↗</t>
        </is>
      </c>
    </row>
    <row r="50">
      <c r="A50" s="51" t="inlineStr">
        <is>
          <t>MARKET</t>
        </is>
      </c>
      <c r="B50" s="51" t="inlineStr">
        <is>
          <t>2026-09-28 06:47</t>
        </is>
      </c>
      <c r="C50" s="51" t="inlineStr">
        <is>
          <t>Stock Market Crash: Investors Lose Nearly Rs 9 Lakh Crore As Sensex Tanks 1,180 Points; Nifty Below 22,800</t>
        </is>
      </c>
      <c r="D50" s="51" t="inlineStr">
        <is>
          <t>NDTV Profit</t>
        </is>
      </c>
      <c r="E50" s="81" t="n">
        <v>-0.791</v>
      </c>
      <c r="F50" s="51" t="inlineStr">
        <is>
          <t>Negative</t>
        </is>
      </c>
      <c r="G50" s="82" t="inlineStr">
        <is>
          <t>open ↗</t>
        </is>
      </c>
    </row>
    <row r="51">
      <c r="A51" s="51" t="inlineStr">
        <is>
          <t>MARKET</t>
        </is>
      </c>
      <c r="B51" s="51" t="inlineStr">
        <is>
          <t>2026-09-28 06:40</t>
        </is>
      </c>
      <c r="C51" s="51" t="inlineStr">
        <is>
          <t>SENSEX, NIFTY50 plunge, NIFTY Bank drops over 1,000 pts; 5 factors behind Monday’s market crash</t>
        </is>
      </c>
      <c r="D51" s="51" t="inlineStr">
        <is>
          <t>Upstox</t>
        </is>
      </c>
      <c r="E51" s="81" t="n">
        <v>-0.595</v>
      </c>
      <c r="F51" s="51" t="inlineStr">
        <is>
          <t>Negative</t>
        </is>
      </c>
      <c r="G51" s="82" t="inlineStr">
        <is>
          <t>open ↗</t>
        </is>
      </c>
    </row>
    <row r="52">
      <c r="A52" s="51" t="inlineStr">
        <is>
          <t>RRKABEL</t>
        </is>
      </c>
      <c r="B52" s="51" t="inlineStr">
        <is>
          <t>2026-09-28 05:52</t>
        </is>
      </c>
      <c r="C52" s="51" t="inlineStr">
        <is>
          <t>RR Kabel Share Price Today: decline, valuation and peers</t>
        </is>
      </c>
      <c r="D52" s="51" t="inlineStr">
        <is>
          <t>Univest</t>
        </is>
      </c>
      <c r="E52" s="81" t="n">
        <v>-0.382</v>
      </c>
      <c r="F52" s="51" t="inlineStr">
        <is>
          <t>Negative</t>
        </is>
      </c>
      <c r="G52" s="82" t="inlineStr">
        <is>
          <t>open ↗</t>
        </is>
      </c>
    </row>
    <row r="53">
      <c r="A53" s="51" t="inlineStr">
        <is>
          <t>MARKET</t>
        </is>
      </c>
      <c r="B53" s="51" t="inlineStr">
        <is>
          <t>2026-09-28 05:52</t>
        </is>
      </c>
      <c r="C53" s="51" t="inlineStr">
        <is>
          <t>India VIX spikes 14% as oil, geopolitical risks trigger market sell-off</t>
        </is>
      </c>
      <c r="D53" s="51" t="inlineStr">
        <is>
          <t>Business Standard</t>
        </is>
      </c>
      <c r="E53" s="81" t="n">
        <v>-0.273</v>
      </c>
      <c r="F53" s="51" t="inlineStr">
        <is>
          <t>Negative</t>
        </is>
      </c>
      <c r="G53" s="82" t="inlineStr">
        <is>
          <t>open ↗</t>
        </is>
      </c>
    </row>
    <row r="54">
      <c r="A54" s="51" t="inlineStr">
        <is>
          <t>MARKET</t>
        </is>
      </c>
      <c r="B54" s="51" t="inlineStr">
        <is>
          <t>2026-09-28 05:42</t>
        </is>
      </c>
      <c r="C54" s="51" t="inlineStr">
        <is>
          <t>Nifty Sensex drops 1% each as Iran US Conflict and FII Outflows raise concern</t>
        </is>
      </c>
      <c r="D54" s="51" t="inlineStr">
        <is>
          <t>India Infoline</t>
        </is>
      </c>
      <c r="E54" s="81" t="n">
        <v>0.103</v>
      </c>
      <c r="F54" s="51" t="inlineStr">
        <is>
          <t>Neutral</t>
        </is>
      </c>
      <c r="G54" s="82" t="inlineStr">
        <is>
          <t>open ↗</t>
        </is>
      </c>
    </row>
    <row r="55">
      <c r="A55" s="51" t="inlineStr">
        <is>
          <t>KIRLOSENG</t>
        </is>
      </c>
      <c r="B55" s="51" t="inlineStr">
        <is>
          <t>2026-09-28 05:37</t>
        </is>
      </c>
      <c r="C55" s="51" t="inlineStr">
        <is>
          <t>Kirloskar Oil Engines And 2 Other Indian Nuclear Power Stocks To Watch</t>
        </is>
      </c>
      <c r="D55" s="51" t="inlineStr">
        <is>
          <t>simplywall.st</t>
        </is>
      </c>
      <c r="E55" s="81" t="n">
        <v>0</v>
      </c>
      <c r="F55" s="51" t="inlineStr">
        <is>
          <t>Neutral</t>
        </is>
      </c>
      <c r="G55" s="82" t="inlineStr">
        <is>
          <t>open ↗</t>
        </is>
      </c>
    </row>
    <row r="56">
      <c r="A56" s="51" t="inlineStr">
        <is>
          <t>MARKET</t>
        </is>
      </c>
      <c r="B56" s="51" t="inlineStr">
        <is>
          <t>2026-09-28 05:18</t>
        </is>
      </c>
      <c r="C56" s="51" t="inlineStr">
        <is>
          <t>Stock market crash today: BSE Sensex crashes over 1,100 points, investors lose Rs 8.92 lakh crore - top r</t>
        </is>
      </c>
      <c r="D56" s="51" t="inlineStr">
        <is>
          <t>The Times of India</t>
        </is>
      </c>
      <c r="E56" s="81" t="n">
        <v>-0.6909999999999999</v>
      </c>
      <c r="F56" s="51" t="inlineStr">
        <is>
          <t>Negative</t>
        </is>
      </c>
      <c r="G56" s="82" t="inlineStr">
        <is>
          <t>open ↗</t>
        </is>
      </c>
    </row>
    <row r="57">
      <c r="A57" s="51" t="inlineStr">
        <is>
          <t>MARKET</t>
        </is>
      </c>
      <c r="B57" s="51" t="inlineStr">
        <is>
          <t>2026-09-28 05:11</t>
        </is>
      </c>
      <c r="C57" s="51" t="inlineStr">
        <is>
          <t>Sensex tanks 730 points amid surging crude oil prices, geopolitical uncertainties</t>
        </is>
      </c>
      <c r="D57" s="51" t="inlineStr">
        <is>
          <t>The Hindu</t>
        </is>
      </c>
      <c r="E57" s="81" t="n">
        <v>-0.852</v>
      </c>
      <c r="F57" s="51" t="inlineStr">
        <is>
          <t>Negative</t>
        </is>
      </c>
      <c r="G57" s="82" t="inlineStr">
        <is>
          <t>open ↗</t>
        </is>
      </c>
    </row>
    <row r="58">
      <c r="A58" s="51" t="inlineStr">
        <is>
          <t>MARKET</t>
        </is>
      </c>
      <c r="B58" s="51" t="inlineStr">
        <is>
          <t>2026-09-28 04:56</t>
        </is>
      </c>
      <c r="C58" s="51" t="inlineStr">
        <is>
          <t>Sensex Today Tanks 903 Points | Nifty Below 22,900 | Bajaj Finance &amp; Kotak Mahindra Top Losers</t>
        </is>
      </c>
      <c r="D58" s="51" t="inlineStr">
        <is>
          <t>equitymaster.com</t>
        </is>
      </c>
      <c r="E58" s="81" t="n">
        <v>-0.477</v>
      </c>
      <c r="F58" s="51" t="inlineStr">
        <is>
          <t>Negative</t>
        </is>
      </c>
      <c r="G58" s="82" t="inlineStr">
        <is>
          <t>open ↗</t>
        </is>
      </c>
    </row>
    <row r="59">
      <c r="A59" s="51" t="inlineStr">
        <is>
          <t>MARKET</t>
        </is>
      </c>
      <c r="B59" s="51" t="inlineStr">
        <is>
          <t>2026-09-28 04:51</t>
        </is>
      </c>
      <c r="C59" s="51" t="inlineStr">
        <is>
          <t>Stock Markets Today: Sensex, Nifty Tumble Amid Geopolitical Worries, Surging Crude Oil</t>
        </is>
      </c>
      <c r="D59" s="51" t="inlineStr">
        <is>
          <t>rediff.com</t>
        </is>
      </c>
      <c r="E59" s="81" t="n">
        <v>-0.586</v>
      </c>
      <c r="F59" s="51" t="inlineStr">
        <is>
          <t>Negative</t>
        </is>
      </c>
      <c r="G59" s="82" t="inlineStr">
        <is>
          <t>open ↗</t>
        </is>
      </c>
    </row>
    <row r="60">
      <c r="A60" s="51" t="inlineStr">
        <is>
          <t>MARKET</t>
        </is>
      </c>
      <c r="B60" s="51" t="inlineStr">
        <is>
          <t>2026-09-28 04:45</t>
        </is>
      </c>
      <c r="C60" s="51" t="inlineStr">
        <is>
          <t>Sensex ends over 1,100 points, Nifty also sharply low: Why went wrong with stock market down today? | Business News</t>
        </is>
      </c>
      <c r="D60" s="51" t="inlineStr">
        <is>
          <t>Hindustan Times</t>
        </is>
      </c>
      <c r="E60" s="81" t="n">
        <v>-0.361</v>
      </c>
      <c r="F60" s="51" t="inlineStr">
        <is>
          <t>Negative</t>
        </is>
      </c>
      <c r="G60" s="82" t="inlineStr">
        <is>
          <t>open ↗</t>
        </is>
      </c>
    </row>
    <row r="61">
      <c r="A61" s="51" t="inlineStr">
        <is>
          <t>MARKET</t>
        </is>
      </c>
      <c r="B61" s="51" t="inlineStr">
        <is>
          <t>2026-09-28 04:42</t>
        </is>
      </c>
      <c r="C61" s="51" t="inlineStr">
        <is>
          <t>NSE stock slips below issue price of ₹1,785; down 2% on Monday</t>
        </is>
      </c>
      <c r="D61" s="51" t="inlineStr">
        <is>
          <t>Business Standard</t>
        </is>
      </c>
      <c r="E61" s="81" t="n">
        <v>-0.34</v>
      </c>
      <c r="F61" s="51" t="inlineStr">
        <is>
          <t>Negative</t>
        </is>
      </c>
      <c r="G61" s="82" t="inlineStr">
        <is>
          <t>open ↗</t>
        </is>
      </c>
    </row>
    <row r="62">
      <c r="A62" s="51" t="inlineStr">
        <is>
          <t>MARKET</t>
        </is>
      </c>
      <c r="B62" s="51" t="inlineStr">
        <is>
          <t>2026-09-28 04:41</t>
        </is>
      </c>
      <c r="C62" s="51" t="inlineStr">
        <is>
          <t>Investors Lose Rs 5 Lakh Crore In An Hour: 5 Reasons Behind Market Crash Today</t>
        </is>
      </c>
      <c r="D62" s="51" t="inlineStr">
        <is>
          <t>NDTV</t>
        </is>
      </c>
      <c r="E62" s="81" t="n">
        <v>-0.758</v>
      </c>
      <c r="F62" s="51" t="inlineStr">
        <is>
          <t>Negative</t>
        </is>
      </c>
      <c r="G62" s="82" t="inlineStr">
        <is>
          <t>open ↗</t>
        </is>
      </c>
    </row>
    <row r="63">
      <c r="A63" s="51" t="inlineStr">
        <is>
          <t>MARKET</t>
        </is>
      </c>
      <c r="B63" s="51" t="inlineStr">
        <is>
          <t>2026-09-28 04:29</t>
        </is>
      </c>
      <c r="C63" s="51" t="inlineStr">
        <is>
          <t>Why are Sensex, Nifty falling today as crude climbs above $106? Hindalco down over 2%</t>
        </is>
      </c>
      <c r="D63" s="51" t="inlineStr">
        <is>
          <t>newsdrum.in</t>
        </is>
      </c>
      <c r="E63" s="81" t="n">
        <v>0</v>
      </c>
      <c r="F63" s="51" t="inlineStr">
        <is>
          <t>Neutral</t>
        </is>
      </c>
      <c r="G63" s="82" t="inlineStr">
        <is>
          <t>open ↗</t>
        </is>
      </c>
    </row>
    <row r="64">
      <c r="A64" s="51" t="inlineStr">
        <is>
          <t>MARKET</t>
        </is>
      </c>
      <c r="B64" s="51" t="inlineStr">
        <is>
          <t>2026-09-28 04:25</t>
        </is>
      </c>
      <c r="C64" s="51" t="inlineStr">
        <is>
          <t>Why is market down today: Sensex, Nifty fall in Monday trade - Top 3 factors behind plunge</t>
        </is>
      </c>
      <c r="D64" s="51" t="inlineStr">
        <is>
          <t>Livemint</t>
        </is>
      </c>
      <c r="E64" s="81" t="n">
        <v>-0.34</v>
      </c>
      <c r="F64" s="51" t="inlineStr">
        <is>
          <t>Negative</t>
        </is>
      </c>
      <c r="G64" s="82" t="inlineStr">
        <is>
          <t>open ↗</t>
        </is>
      </c>
    </row>
    <row r="65">
      <c r="A65" s="51" t="inlineStr">
        <is>
          <t>MARKET</t>
        </is>
      </c>
      <c r="B65" s="51" t="inlineStr">
        <is>
          <t>2026-09-28 04:17</t>
        </is>
      </c>
      <c r="C65" s="51" t="inlineStr">
        <is>
          <t>Sensex crashes over 1,100 points, investors lose Rs 6 lakh crore: Why are markets falling?</t>
        </is>
      </c>
      <c r="D65" s="51" t="inlineStr">
        <is>
          <t>India Today</t>
        </is>
      </c>
      <c r="E65" s="81" t="n">
        <v>-0.511</v>
      </c>
      <c r="F65" s="51" t="inlineStr">
        <is>
          <t>Negative</t>
        </is>
      </c>
      <c r="G65" s="82" t="inlineStr">
        <is>
          <t>open ↗</t>
        </is>
      </c>
    </row>
    <row r="66">
      <c r="A66" s="51" t="inlineStr">
        <is>
          <t>MARKET</t>
        </is>
      </c>
      <c r="B66" s="51" t="inlineStr">
        <is>
          <t>2026-09-28 04:11</t>
        </is>
      </c>
      <c r="C66" s="51" t="inlineStr">
        <is>
          <t>Mkt crash wipes off ₹7.4 trn; Sensex down 1,180 pts intraday: 5 key factors</t>
        </is>
      </c>
      <c r="D66" s="51" t="inlineStr">
        <is>
          <t>Business Standard</t>
        </is>
      </c>
      <c r="E66" s="81" t="n">
        <v>-0.586</v>
      </c>
      <c r="F66" s="51" t="inlineStr">
        <is>
          <t>Negative</t>
        </is>
      </c>
      <c r="G66" s="82" t="inlineStr">
        <is>
          <t>open ↗</t>
        </is>
      </c>
    </row>
    <row r="67">
      <c r="A67" s="51" t="inlineStr">
        <is>
          <t>MARKET</t>
        </is>
      </c>
      <c r="B67" s="51" t="inlineStr">
        <is>
          <t>2026-09-28 04:08</t>
        </is>
      </c>
      <c r="C67" s="51" t="inlineStr">
        <is>
          <t>Why did stock market crash today? Sensex tumbles 1,124 points, Nifty below 22,800; 6 factors behind Rs 8 l</t>
        </is>
      </c>
      <c r="D67" s="51" t="inlineStr">
        <is>
          <t>The Economic Times</t>
        </is>
      </c>
      <c r="E67" s="81" t="n">
        <v>-0.649</v>
      </c>
      <c r="F67" s="51" t="inlineStr">
        <is>
          <t>Negative</t>
        </is>
      </c>
      <c r="G67" s="82" t="inlineStr">
        <is>
          <t>open ↗</t>
        </is>
      </c>
    </row>
    <row r="68">
      <c r="A68" s="51" t="inlineStr">
        <is>
          <t>MARKET</t>
        </is>
      </c>
      <c r="B68" s="51" t="inlineStr">
        <is>
          <t>2026-09-28 04:07</t>
        </is>
      </c>
      <c r="C68" s="51" t="inlineStr">
        <is>
          <t>Monday mayhem: Sensex settles 1,100 pts lower, Nifty ends below 22,800; key factors behind market crash</t>
        </is>
      </c>
      <c r="D68" s="51" t="inlineStr">
        <is>
          <t>Moneycontrol.com</t>
        </is>
      </c>
      <c r="E68" s="81" t="n">
        <v>-0.44</v>
      </c>
      <c r="F68" s="51" t="inlineStr">
        <is>
          <t>Negative</t>
        </is>
      </c>
      <c r="G68" s="82" t="inlineStr">
        <is>
          <t>open ↗</t>
        </is>
      </c>
    </row>
    <row r="69">
      <c r="A69" s="51" t="inlineStr">
        <is>
          <t>KIRLOSENG</t>
        </is>
      </c>
      <c r="B69" s="51" t="inlineStr">
        <is>
          <t>2026-09-28 04:01</t>
        </is>
      </c>
      <c r="C69" s="51" t="inlineStr">
        <is>
          <t>Kirloskar Oil Engines ESOP 2019 Share Allotment Explained</t>
        </is>
      </c>
      <c r="D69" s="51" t="inlineStr">
        <is>
          <t>Kalkine India</t>
        </is>
      </c>
      <c r="E69" s="81" t="n">
        <v>0</v>
      </c>
      <c r="F69" s="51" t="inlineStr">
        <is>
          <t>Neutral</t>
        </is>
      </c>
      <c r="G69" s="82" t="inlineStr">
        <is>
          <t>open ↗</t>
        </is>
      </c>
    </row>
    <row r="70">
      <c r="A70" s="51" t="inlineStr">
        <is>
          <t>MARKET</t>
        </is>
      </c>
      <c r="B70" s="51" t="inlineStr">
        <is>
          <t>2026-09-28 03:58</t>
        </is>
      </c>
      <c r="C70" s="51" t="inlineStr">
        <is>
          <t>Sensex Tanks 1,000 Points To Breach Support Level, Nifty Below 22,800 — Five Reasons Behind Sell-Off</t>
        </is>
      </c>
      <c r="D70" s="51" t="inlineStr">
        <is>
          <t>NDTV Profit</t>
        </is>
      </c>
      <c r="E70" s="81" t="n">
        <v>0.296</v>
      </c>
      <c r="F70" s="51" t="inlineStr">
        <is>
          <t>Positive</t>
        </is>
      </c>
      <c r="G70" s="82" t="inlineStr">
        <is>
          <t>open ↗</t>
        </is>
      </c>
    </row>
    <row r="71">
      <c r="A71" s="51" t="inlineStr">
        <is>
          <t>MARKET</t>
        </is>
      </c>
      <c r="B71" s="51" t="inlineStr">
        <is>
          <t>2026-09-28 03:54</t>
        </is>
      </c>
      <c r="C71" s="51" t="inlineStr">
        <is>
          <t>Stock market live updates today: BSE Sensex tumbles over 1,000 points, NSE Nifty50 trades below 22,900</t>
        </is>
      </c>
      <c r="D71" s="51" t="inlineStr">
        <is>
          <t>The Times of India</t>
        </is>
      </c>
      <c r="E71" s="81" t="n">
        <v>-0.494</v>
      </c>
      <c r="F71" s="51" t="inlineStr">
        <is>
          <t>Negative</t>
        </is>
      </c>
      <c r="G71" s="82" t="inlineStr">
        <is>
          <t>open ↗</t>
        </is>
      </c>
    </row>
    <row r="72">
      <c r="A72" s="51" t="inlineStr">
        <is>
          <t>MARKET</t>
        </is>
      </c>
      <c r="B72" s="51" t="inlineStr">
        <is>
          <t>2026-09-28 03:48</t>
        </is>
      </c>
      <c r="C72" s="51" t="inlineStr">
        <is>
          <t>Sensex over 900 points down after longest weekly losing streak in years; crude soars above $106 | Business News</t>
        </is>
      </c>
      <c r="D72" s="51" t="inlineStr">
        <is>
          <t>Hindustan Times</t>
        </is>
      </c>
      <c r="E72" s="81" t="n">
        <v>-0.44</v>
      </c>
      <c r="F72" s="51" t="inlineStr">
        <is>
          <t>Negative</t>
        </is>
      </c>
      <c r="G72" s="82" t="inlineStr">
        <is>
          <t>open ↗</t>
        </is>
      </c>
    </row>
    <row r="73">
      <c r="A73" s="51" t="inlineStr">
        <is>
          <t>MARKET</t>
        </is>
      </c>
      <c r="B73" s="51" t="inlineStr">
        <is>
          <t>2026-09-28 03:28</t>
        </is>
      </c>
      <c r="C73" s="51" t="inlineStr">
        <is>
          <t>Gift Nifty Down 0.52%; Sensex, Nifty Set for Weak Open</t>
        </is>
      </c>
      <c r="D73" s="51" t="inlineStr">
        <is>
          <t>HDFC Sky</t>
        </is>
      </c>
      <c r="E73" s="81" t="n">
        <v>0.6909999999999999</v>
      </c>
      <c r="F73" s="51" t="inlineStr">
        <is>
          <t>Positive</t>
        </is>
      </c>
      <c r="G73" s="82" t="inlineStr">
        <is>
          <t>open ↗</t>
        </is>
      </c>
    </row>
    <row r="74">
      <c r="A74" s="51" t="inlineStr">
        <is>
          <t>MARKET</t>
        </is>
      </c>
      <c r="B74" s="51" t="inlineStr">
        <is>
          <t>2026-09-28 02:19</t>
        </is>
      </c>
      <c r="C74" s="51" t="inlineStr">
        <is>
          <t>Indian shares slide to near six-month low as US-Iran deadlock lifts oil prices</t>
        </is>
      </c>
      <c r="D74" s="51" t="inlineStr">
        <is>
          <t>Reuters</t>
        </is>
      </c>
      <c r="E74" s="81" t="n">
        <v>-0.542</v>
      </c>
      <c r="F74" s="51" t="inlineStr">
        <is>
          <t>Negative</t>
        </is>
      </c>
      <c r="G74" s="82" t="inlineStr">
        <is>
          <t>open ↗</t>
        </is>
      </c>
    </row>
    <row r="75">
      <c r="A75" s="51" t="inlineStr">
        <is>
          <t>MARKET</t>
        </is>
      </c>
      <c r="B75" s="51" t="inlineStr">
        <is>
          <t>2026-09-28 01:58</t>
        </is>
      </c>
      <c r="C75" s="51" t="inlineStr">
        <is>
          <t>Stock Market Today: Gift Nifty, FPI Outflows To Oil Prices — Five Key Factors For Sensex, Nifty 50 On September 28</t>
        </is>
      </c>
      <c r="D75" s="51" t="inlineStr">
        <is>
          <t>NDTV Profit</t>
        </is>
      </c>
      <c r="E75" s="81" t="n">
        <v>0.8070000000000001</v>
      </c>
      <c r="F75" s="51" t="inlineStr">
        <is>
          <t>Positive</t>
        </is>
      </c>
      <c r="G75" s="82" t="inlineStr">
        <is>
          <t>open ↗</t>
        </is>
      </c>
    </row>
    <row r="76">
      <c r="A76" s="51" t="inlineStr">
        <is>
          <t>MARKET</t>
        </is>
      </c>
      <c r="B76" s="51" t="inlineStr">
        <is>
          <t>2026-09-28 01:20</t>
        </is>
      </c>
      <c r="C76" s="51" t="inlineStr">
        <is>
          <t>Sensex, Nifty 50 prediction today: Stock market outlook for Monday, 28 Sept - GIFT Nifty, Kospi, Nikkei signals</t>
        </is>
      </c>
      <c r="D76" s="51" t="inlineStr">
        <is>
          <t>Livemint</t>
        </is>
      </c>
      <c r="E76" s="81" t="n">
        <v>0.842</v>
      </c>
      <c r="F76" s="51" t="inlineStr">
        <is>
          <t>Positive</t>
        </is>
      </c>
      <c r="G76" s="82" t="inlineStr">
        <is>
          <t>open ↗</t>
        </is>
      </c>
    </row>
    <row r="77">
      <c r="A77" s="51" t="inlineStr">
        <is>
          <t>E2E</t>
        </is>
      </c>
      <c r="B77" s="51" t="inlineStr">
        <is>
          <t>2026-09-28 00:30</t>
        </is>
      </c>
      <c r="C77" s="51" t="inlineStr">
        <is>
          <t>Which AI Infrastructure Stock is Better: E2E Networks vs ESDS Software Solutions vs Netweb Technologies?</t>
        </is>
      </c>
      <c r="D77" s="51" t="inlineStr">
        <is>
          <t>equitymaster.com</t>
        </is>
      </c>
      <c r="E77" s="81" t="n">
        <v>0.5570000000000001</v>
      </c>
      <c r="F77" s="51" t="inlineStr">
        <is>
          <t>Positive</t>
        </is>
      </c>
      <c r="G77" s="82" t="inlineStr">
        <is>
          <t>open ↗</t>
        </is>
      </c>
    </row>
    <row r="78">
      <c r="A78" s="51" t="inlineStr">
        <is>
          <t>ACUTAAS</t>
        </is>
      </c>
      <c r="B78" s="51" t="inlineStr">
        <is>
          <t>2026-09-27 17:20</t>
        </is>
      </c>
      <c r="C78" s="51" t="inlineStr">
        <is>
          <t>Acutaas Chemicals posts 70% profit surge in Q1 FY27 on pharma demand</t>
        </is>
      </c>
      <c r="D78" s="51" t="inlineStr">
        <is>
          <t>scanx.trade</t>
        </is>
      </c>
      <c r="E78" s="81" t="n">
        <v>0.625</v>
      </c>
      <c r="F78" s="51" t="inlineStr">
        <is>
          <t>Positive</t>
        </is>
      </c>
      <c r="G78" s="82" t="inlineStr">
        <is>
          <t>open ↗</t>
        </is>
      </c>
    </row>
    <row r="79">
      <c r="A79" s="51" t="inlineStr">
        <is>
          <t>MARKET</t>
        </is>
      </c>
      <c r="B79" s="51" t="inlineStr">
        <is>
          <t>2026-09-27 11:03</t>
        </is>
      </c>
      <c r="C79" s="51" t="inlineStr">
        <is>
          <t>Ahead of Market: 10 things that will decide stock market action on Monday</t>
        </is>
      </c>
      <c r="D79" s="51" t="inlineStr">
        <is>
          <t>The Economic Times</t>
        </is>
      </c>
      <c r="E79" s="81" t="n">
        <v>0</v>
      </c>
      <c r="F79" s="51" t="inlineStr">
        <is>
          <t>Neutral</t>
        </is>
      </c>
      <c r="G79" s="82" t="inlineStr">
        <is>
          <t>open ↗</t>
        </is>
      </c>
    </row>
    <row r="80">
      <c r="A80" s="51" t="inlineStr">
        <is>
          <t>MARKET</t>
        </is>
      </c>
      <c r="B80" s="51" t="inlineStr">
        <is>
          <t>2026-09-27 09:48</t>
        </is>
      </c>
      <c r="C80" s="51" t="inlineStr">
        <is>
          <t>Stock market prediction: Experts see more pain ahead but see bottom in Oct 2026 amid Nifty, Sensex poor show — 3 reasons</t>
        </is>
      </c>
      <c r="D80" s="51" t="inlineStr">
        <is>
          <t>Livemint</t>
        </is>
      </c>
      <c r="E80" s="81" t="n">
        <v>-0.44</v>
      </c>
      <c r="F80" s="51" t="inlineStr">
        <is>
          <t>Negative</t>
        </is>
      </c>
      <c r="G80" s="82" t="inlineStr">
        <is>
          <t>open ↗</t>
        </is>
      </c>
    </row>
    <row r="81">
      <c r="A81" s="51" t="inlineStr">
        <is>
          <t>MARKET</t>
        </is>
      </c>
      <c r="B81" s="51" t="inlineStr">
        <is>
          <t>2026-09-27 04:22</t>
        </is>
      </c>
      <c r="C81" s="51" t="inlineStr">
        <is>
          <t>Stock market prediction for today: Sensex, Nifty Monday, 28 Sept triggers | GIFT Nifty, Nikkei, Taiwan, Kospi cues</t>
        </is>
      </c>
      <c r="D81" s="51" t="inlineStr">
        <is>
          <t>Livemint</t>
        </is>
      </c>
      <c r="E81" s="81" t="n">
        <v>0.842</v>
      </c>
      <c r="F81" s="51" t="inlineStr">
        <is>
          <t>Positive</t>
        </is>
      </c>
      <c r="G81" s="82" t="inlineStr">
        <is>
          <t>open ↗</t>
        </is>
      </c>
    </row>
    <row r="82">
      <c r="A82" s="51" t="inlineStr">
        <is>
          <t>KIRLOSENG</t>
        </is>
      </c>
      <c r="B82" s="51" t="inlineStr">
        <is>
          <t>2026-09-26 22:56</t>
        </is>
      </c>
      <c r="C82" s="51" t="inlineStr">
        <is>
          <t>3 Indian Nuclear Stocks To Own In September 2026</t>
        </is>
      </c>
      <c r="D82" s="51" t="inlineStr">
        <is>
          <t>simplywall.st</t>
        </is>
      </c>
      <c r="E82" s="81" t="n">
        <v>0</v>
      </c>
      <c r="F82" s="51" t="inlineStr">
        <is>
          <t>Neutral</t>
        </is>
      </c>
      <c r="G82" s="82" t="inlineStr">
        <is>
          <t>open ↗</t>
        </is>
      </c>
    </row>
    <row r="83">
      <c r="A83" s="51" t="inlineStr">
        <is>
          <t>MARKET</t>
        </is>
      </c>
      <c r="B83" s="51" t="inlineStr">
        <is>
          <t>2026-09-26 13:51</t>
        </is>
      </c>
      <c r="C83" s="51" t="inlineStr">
        <is>
          <t>🚦 Indian Markets Stuck In A Jam! But who's responsible for the traffic? 🤔 A Bernstein note argues that India’s large caps are stuck in a bygone economic era. But here's the BIG question: 🇮🇳 Is The Market’s Fate Really In India’s Hands? 🌍 Or are global cues pul</t>
        </is>
      </c>
      <c r="D83" s="51" t="inlineStr">
        <is>
          <t>LinkedIn</t>
        </is>
      </c>
      <c r="E83" s="81" t="n">
        <v>-0.625</v>
      </c>
      <c r="F83" s="51" t="inlineStr">
        <is>
          <t>Negative</t>
        </is>
      </c>
      <c r="G83" s="82" t="inlineStr">
        <is>
          <t>open ↗</t>
        </is>
      </c>
    </row>
    <row r="84">
      <c r="A84" s="51" t="inlineStr">
        <is>
          <t>MARKET</t>
        </is>
      </c>
      <c r="B84" s="51" t="inlineStr">
        <is>
          <t>2026-09-26 12:11</t>
        </is>
      </c>
      <c r="C84" s="51" t="inlineStr">
        <is>
          <t>Share Market News: Nifty 50 Outlook &amp; Prediction</t>
        </is>
      </c>
      <c r="D84" s="51" t="inlineStr">
        <is>
          <t>Liquide Blog</t>
        </is>
      </c>
      <c r="E84" s="81" t="n">
        <v>0.402</v>
      </c>
      <c r="F84" s="51" t="inlineStr">
        <is>
          <t>Positive</t>
        </is>
      </c>
      <c r="G84" s="82" t="inlineStr">
        <is>
          <t>open ↗</t>
        </is>
      </c>
    </row>
    <row r="85">
      <c r="A85" s="51" t="inlineStr">
        <is>
          <t>MARKET</t>
        </is>
      </c>
      <c r="B85" s="51" t="inlineStr">
        <is>
          <t>2026-09-26 09:15</t>
        </is>
      </c>
      <c r="C85" s="51" t="inlineStr">
        <is>
          <t>Weekly Review| Indian markets under pressure: Oil, outflows and global yields extend the seven-week slide</t>
        </is>
      </c>
      <c r="D85" s="51" t="inlineStr">
        <is>
          <t>The New Indian Express</t>
        </is>
      </c>
      <c r="E85" s="81" t="n">
        <v>-0.128</v>
      </c>
      <c r="F85" s="51" t="inlineStr">
        <is>
          <t>Neutral</t>
        </is>
      </c>
      <c r="G85" s="82" t="inlineStr">
        <is>
          <t>open ↗</t>
        </is>
      </c>
    </row>
    <row r="86">
      <c r="A86" s="51" t="inlineStr">
        <is>
          <t>THANGAMAYL</t>
        </is>
      </c>
      <c r="B86" s="51" t="inlineStr">
        <is>
          <t>2026-09-26 06:30</t>
        </is>
      </c>
      <c r="C86" s="51" t="inlineStr">
        <is>
          <t>Thangamayil Jewellery THANGAMAYL Trading Window Closure Q2 FY27</t>
        </is>
      </c>
      <c r="D86" s="51" t="inlineStr">
        <is>
          <t>Kalkine India</t>
        </is>
      </c>
      <c r="E86" s="81" t="n">
        <v>0</v>
      </c>
      <c r="F86" s="51" t="inlineStr">
        <is>
          <t>Neutral</t>
        </is>
      </c>
      <c r="G86" s="82" t="inlineStr">
        <is>
          <t>open ↗</t>
        </is>
      </c>
    </row>
    <row r="87">
      <c r="A87" s="51" t="inlineStr">
        <is>
          <t>DIACABS</t>
        </is>
      </c>
      <c r="B87" s="51" t="inlineStr">
        <is>
          <t>2026-09-26 00:50</t>
        </is>
      </c>
      <c r="C87" s="51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87" s="51" t="inlineStr">
        <is>
          <t>Alice Blue</t>
        </is>
      </c>
      <c r="E87" s="81" t="n">
        <v>0.34</v>
      </c>
      <c r="F87" s="51" t="inlineStr">
        <is>
          <t>Positive</t>
        </is>
      </c>
      <c r="G87" s="82" t="inlineStr">
        <is>
          <t>open ↗</t>
        </is>
      </c>
    </row>
    <row r="88">
      <c r="A88" s="51" t="inlineStr">
        <is>
          <t>KIRLOSENG</t>
        </is>
      </c>
      <c r="B88" s="51" t="inlineStr">
        <is>
          <t>2026-09-25 14:34</t>
        </is>
      </c>
      <c r="C88" s="51" t="inlineStr">
        <is>
          <t>Kirloskar Oil Engines And 2 Indian Nuclear Stocks To Watch</t>
        </is>
      </c>
      <c r="D88" s="51" t="inlineStr">
        <is>
          <t>simplywall.st</t>
        </is>
      </c>
      <c r="E88" s="81" t="n">
        <v>0</v>
      </c>
      <c r="F88" s="51" t="inlineStr">
        <is>
          <t>Neutral</t>
        </is>
      </c>
      <c r="G88" s="82" t="inlineStr">
        <is>
          <t>open ↗</t>
        </is>
      </c>
    </row>
    <row r="89">
      <c r="A89" s="51" t="inlineStr">
        <is>
          <t>E2E</t>
        </is>
      </c>
      <c r="B89" s="51" t="inlineStr">
        <is>
          <t>2026-09-25 14:31</t>
        </is>
      </c>
      <c r="C89" s="51" t="inlineStr">
        <is>
          <t>PERSISTENT Stock Price and Chart — NSE:PERSISTENT</t>
        </is>
      </c>
      <c r="D89" s="51" t="inlineStr">
        <is>
          <t>TradingView</t>
        </is>
      </c>
      <c r="E89" s="81" t="n">
        <v>0</v>
      </c>
      <c r="F89" s="51" t="inlineStr">
        <is>
          <t>Neutral</t>
        </is>
      </c>
      <c r="G89" s="82" t="inlineStr">
        <is>
          <t>open ↗</t>
        </is>
      </c>
    </row>
    <row r="90">
      <c r="A90" s="51" t="inlineStr">
        <is>
          <t>RRKABEL</t>
        </is>
      </c>
      <c r="B90" s="51" t="inlineStr">
        <is>
          <t>2026-09-25 14:04</t>
        </is>
      </c>
      <c r="C90" s="51" t="inlineStr">
        <is>
          <t>R R Kabel board approves proposal to acquire U M Cables’ optical fibre cable business; shares rally 72% YTD</t>
        </is>
      </c>
      <c r="D90" s="51" t="inlineStr">
        <is>
          <t>Upstox</t>
        </is>
      </c>
      <c r="E90" s="81" t="n">
        <v>0.681</v>
      </c>
      <c r="F90" s="51" t="inlineStr">
        <is>
          <t>Positive</t>
        </is>
      </c>
      <c r="G90" s="82" t="inlineStr">
        <is>
          <t>open ↗</t>
        </is>
      </c>
    </row>
    <row r="91">
      <c r="A91" s="51" t="inlineStr">
        <is>
          <t>MARKET</t>
        </is>
      </c>
      <c r="B91" s="51" t="inlineStr">
        <is>
          <t>2026-09-25 12:52</t>
        </is>
      </c>
      <c r="C91" s="51" t="inlineStr">
        <is>
          <t>India shares log longest weekly losing run since 2020 as oil prices bite</t>
        </is>
      </c>
      <c r="D91" s="51" t="inlineStr">
        <is>
          <t>Reuters</t>
        </is>
      </c>
      <c r="E91" s="81" t="n">
        <v>-0.382</v>
      </c>
      <c r="F91" s="51" t="inlineStr">
        <is>
          <t>Negative</t>
        </is>
      </c>
      <c r="G91" s="82" t="inlineStr">
        <is>
          <t>open ↗</t>
        </is>
      </c>
    </row>
    <row r="92">
      <c r="A92" s="51" t="inlineStr">
        <is>
          <t>THANGAMAYL</t>
        </is>
      </c>
      <c r="B92" s="51" t="inlineStr">
        <is>
          <t>2026-09-25 12:22</t>
        </is>
      </c>
      <c r="C92" s="51" t="inlineStr">
        <is>
          <t>Thangamayil Jewellery Share: Bull Case vs Bear Case for 2026</t>
        </is>
      </c>
      <c r="D92" s="51" t="inlineStr">
        <is>
          <t>Univest</t>
        </is>
      </c>
      <c r="E92" s="81" t="n">
        <v>0</v>
      </c>
      <c r="F92" s="51" t="inlineStr">
        <is>
          <t>Neutral</t>
        </is>
      </c>
      <c r="G92" s="82" t="inlineStr">
        <is>
          <t>open ↗</t>
        </is>
      </c>
    </row>
    <row r="93">
      <c r="A93" s="51" t="inlineStr">
        <is>
          <t>MARKET</t>
        </is>
      </c>
      <c r="B93" s="51" t="inlineStr">
        <is>
          <t>2026-09-25 11:56</t>
        </is>
      </c>
      <c r="C93" s="51" t="inlineStr">
        <is>
          <t>Two years ago Sensex hit lifetime high: What went wrong after that &amp; what’s the road ahead?</t>
        </is>
      </c>
      <c r="D93" s="51" t="inlineStr">
        <is>
          <t>The Times of India</t>
        </is>
      </c>
      <c r="E93" s="81" t="n">
        <v>-0.44</v>
      </c>
      <c r="F93" s="51" t="inlineStr">
        <is>
          <t>Negative</t>
        </is>
      </c>
      <c r="G93" s="82" t="inlineStr">
        <is>
          <t>open ↗</t>
        </is>
      </c>
    </row>
    <row r="94">
      <c r="A94" s="51" t="inlineStr">
        <is>
          <t>RRKABEL</t>
        </is>
      </c>
      <c r="B94" s="51" t="inlineStr">
        <is>
          <t>2026-09-25 11:42</t>
        </is>
      </c>
      <c r="C94" s="51" t="inlineStr">
        <is>
          <t>RR Kabel enters optical fibre cable segment with ₹77 crore U M Cables acquisition</t>
        </is>
      </c>
      <c r="D94" s="51" t="inlineStr">
        <is>
          <t>CNBC TV18</t>
        </is>
      </c>
      <c r="E94" s="81" t="n">
        <v>0</v>
      </c>
      <c r="F94" s="51" t="inlineStr">
        <is>
          <t>Neutral</t>
        </is>
      </c>
      <c r="G94" s="82" t="inlineStr">
        <is>
          <t>open ↗</t>
        </is>
      </c>
    </row>
    <row r="95">
      <c r="A95" s="51" t="inlineStr">
        <is>
          <t>MARKET</t>
        </is>
      </c>
      <c r="B95" s="51" t="inlineStr">
        <is>
          <t>2026-09-25 11:22</t>
        </is>
      </c>
      <c r="C95" s="51" t="inlineStr">
        <is>
          <t>Value Buying Drives Indian Stock Market Rebound; Sensex Climbs 315 Points</t>
        </is>
      </c>
      <c r="D95" s="51" t="inlineStr">
        <is>
          <t>rediff.com</t>
        </is>
      </c>
      <c r="E95" s="81" t="n">
        <v>0.612</v>
      </c>
      <c r="F95" s="51" t="inlineStr">
        <is>
          <t>Positive</t>
        </is>
      </c>
      <c r="G95" s="82" t="inlineStr">
        <is>
          <t>open ↗</t>
        </is>
      </c>
    </row>
    <row r="96">
      <c r="A96" s="51" t="inlineStr">
        <is>
          <t>MARKET</t>
        </is>
      </c>
      <c r="B96" s="51" t="inlineStr">
        <is>
          <t>2026-09-25 11:03</t>
        </is>
      </c>
      <c r="C96" s="51" t="inlineStr">
        <is>
          <t>Sensex Today Ends 315 Points Higher | Nifty Above 23,100 | Whirlpool of India Up 6%</t>
        </is>
      </c>
      <c r="D96" s="51" t="inlineStr">
        <is>
          <t>equitymaster.com</t>
        </is>
      </c>
      <c r="E96" s="81" t="n">
        <v>0.402</v>
      </c>
      <c r="F96" s="51" t="inlineStr">
        <is>
          <t>Positive</t>
        </is>
      </c>
      <c r="G96" s="82" t="inlineStr">
        <is>
          <t>open ↗</t>
        </is>
      </c>
    </row>
    <row r="97">
      <c r="A97" s="51" t="inlineStr">
        <is>
          <t>MARKET</t>
        </is>
      </c>
      <c r="B97" s="51" t="inlineStr">
        <is>
          <t>2026-09-25 10:48</t>
        </is>
      </c>
      <c r="C97" s="51" t="inlineStr">
        <is>
          <t>Sensex, Nifty Rebound on Value Buying After Sharp Losses</t>
        </is>
      </c>
      <c r="D97" s="51" t="inlineStr">
        <is>
          <t>Rediff MoneyWiz</t>
        </is>
      </c>
      <c r="E97" s="81" t="n">
        <v>0.318</v>
      </c>
      <c r="F97" s="51" t="inlineStr">
        <is>
          <t>Positive</t>
        </is>
      </c>
      <c r="G97" s="82" t="inlineStr">
        <is>
          <t>open ↗</t>
        </is>
      </c>
    </row>
    <row r="98">
      <c r="A98" s="51" t="inlineStr">
        <is>
          <t>THANGAMAYL</t>
        </is>
      </c>
      <c r="B98" s="51" t="inlineStr">
        <is>
          <t>2026-09-25 10:31</t>
        </is>
      </c>
      <c r="C98" s="51" t="inlineStr">
        <is>
          <t>Thangamayil Jewellery Ltd Dividend History, Yield &amp; Record Date</t>
        </is>
      </c>
      <c r="D98" s="51" t="inlineStr">
        <is>
          <t>INDmoney</t>
        </is>
      </c>
      <c r="E98" s="81" t="n">
        <v>0.572</v>
      </c>
      <c r="F98" s="51" t="inlineStr">
        <is>
          <t>Positive</t>
        </is>
      </c>
      <c r="G98" s="82" t="inlineStr">
        <is>
          <t>open ↗</t>
        </is>
      </c>
    </row>
    <row r="99">
      <c r="A99" s="51" t="inlineStr">
        <is>
          <t>MARKET</t>
        </is>
      </c>
      <c r="B99" s="51" t="inlineStr">
        <is>
          <t>2026-09-25 10:31</t>
        </is>
      </c>
      <c r="C99" s="51" t="inlineStr">
        <is>
          <t>Sensex, Nifty Today: Indian Markets Recover After Heavy Thursday Losses</t>
        </is>
      </c>
      <c r="D99" s="51" t="inlineStr">
        <is>
          <t>APAC Media</t>
        </is>
      </c>
      <c r="E99" s="81" t="n">
        <v>-0.026</v>
      </c>
      <c r="F99" s="51" t="inlineStr">
        <is>
          <t>Neutral</t>
        </is>
      </c>
      <c r="G99" s="82" t="inlineStr">
        <is>
          <t>open ↗</t>
        </is>
      </c>
    </row>
    <row r="100">
      <c r="A100" s="51" t="inlineStr">
        <is>
          <t>AEROFLEX</t>
        </is>
      </c>
      <c r="B100" s="51" t="inlineStr">
        <is>
          <t>2026-09-25 07:00</t>
        </is>
      </c>
      <c r="C100" s="51" t="inlineStr">
        <is>
          <t>Sah Polymers Share Price</t>
        </is>
      </c>
      <c r="D100" s="51" t="inlineStr">
        <is>
          <t>Upstox</t>
        </is>
      </c>
      <c r="E100" s="81" t="n">
        <v>0</v>
      </c>
      <c r="F100" s="51" t="inlineStr">
        <is>
          <t>Neutral</t>
        </is>
      </c>
      <c r="G100" s="82" t="inlineStr">
        <is>
          <t>open ↗</t>
        </is>
      </c>
    </row>
    <row r="101">
      <c r="A101" s="51" t="inlineStr">
        <is>
          <t>E2E</t>
        </is>
      </c>
      <c r="B101" s="51" t="inlineStr">
        <is>
          <t>2026-09-25 07:00</t>
        </is>
      </c>
      <c r="C101" s="51" t="inlineStr">
        <is>
          <t>Nifty Chemicals (NFTCHEMIC) Share Price</t>
        </is>
      </c>
      <c r="D101" s="51" t="inlineStr">
        <is>
          <t>Business Today</t>
        </is>
      </c>
      <c r="E101" s="81" t="n">
        <v>0.402</v>
      </c>
      <c r="F101" s="51" t="inlineStr">
        <is>
          <t>Positive</t>
        </is>
      </c>
      <c r="G101" s="82" t="inlineStr">
        <is>
          <t>open ↗</t>
        </is>
      </c>
    </row>
    <row r="102">
      <c r="A102" s="51" t="inlineStr">
        <is>
          <t>DIACABS</t>
        </is>
      </c>
      <c r="B102" s="51" t="inlineStr">
        <is>
          <t>2026-09-25 06:49</t>
        </is>
      </c>
      <c r="C102" s="51" t="inlineStr">
        <is>
          <t>Diamond Power Infrastructure (DIACABS-BE) Share Price Falls 3.54% Today</t>
        </is>
      </c>
      <c r="D102" s="51" t="inlineStr">
        <is>
          <t>Univest</t>
        </is>
      </c>
      <c r="E102" s="81" t="n">
        <v>-0.052</v>
      </c>
      <c r="F102" s="51" t="inlineStr">
        <is>
          <t>Neutral</t>
        </is>
      </c>
      <c r="G102" s="82" t="inlineStr">
        <is>
          <t>open ↗</t>
        </is>
      </c>
    </row>
    <row r="103">
      <c r="A103" s="51" t="inlineStr">
        <is>
          <t>RRKABEL</t>
        </is>
      </c>
      <c r="B103" s="51" t="inlineStr">
        <is>
          <t>2026-09-25 06:34</t>
        </is>
      </c>
      <c r="C103" s="51" t="inlineStr">
        <is>
          <t>Usha Martin sells optical fibre manufacturing business to R R Kabel for Rs 77 crore</t>
        </is>
      </c>
      <c r="D103" s="51" t="inlineStr">
        <is>
          <t>Business Standard</t>
        </is>
      </c>
      <c r="E103" s="81" t="n">
        <v>0</v>
      </c>
      <c r="F103" s="51" t="inlineStr">
        <is>
          <t>Neutral</t>
        </is>
      </c>
      <c r="G103" s="82" t="inlineStr">
        <is>
          <t>open ↗</t>
        </is>
      </c>
    </row>
    <row r="104">
      <c r="A104" s="51" t="inlineStr">
        <is>
          <t>MARKET</t>
        </is>
      </c>
      <c r="B104" s="51" t="inlineStr">
        <is>
          <t>2026-09-25 05:52</t>
        </is>
      </c>
      <c r="C104" s="51" t="inlineStr">
        <is>
          <t>Decoded: Sensex lost nearly 3300 points, Nifty dip 1000 since announcement of blockbuster GDP of India | Top 3 reasons</t>
        </is>
      </c>
      <c r="D104" s="51" t="inlineStr">
        <is>
          <t>Livemint</t>
        </is>
      </c>
      <c r="E104" s="81" t="n">
        <v>0.727</v>
      </c>
      <c r="F104" s="51" t="inlineStr">
        <is>
          <t>Positive</t>
        </is>
      </c>
      <c r="G104" s="82" t="inlineStr">
        <is>
          <t>open ↗</t>
        </is>
      </c>
    </row>
    <row r="105">
      <c r="A105" s="51" t="inlineStr">
        <is>
          <t>MARKET</t>
        </is>
      </c>
      <c r="B105" s="51" t="inlineStr">
        <is>
          <t>2026-09-25 05:32</t>
        </is>
      </c>
      <c r="C105" s="51" t="inlineStr">
        <is>
          <t>NSE shares dip on day 2 of listing, brokerages back long-term growth story</t>
        </is>
      </c>
      <c r="D105" s="51" t="inlineStr">
        <is>
          <t>Business Standard</t>
        </is>
      </c>
      <c r="E105" s="81" t="n">
        <v>0.361</v>
      </c>
      <c r="F105" s="51" t="inlineStr">
        <is>
          <t>Positive</t>
        </is>
      </c>
      <c r="G105" s="82" t="inlineStr">
        <is>
          <t>open ↗</t>
        </is>
      </c>
    </row>
    <row r="106">
      <c r="A106" s="51" t="inlineStr">
        <is>
          <t>MARKET</t>
        </is>
      </c>
      <c r="B106" s="51" t="inlineStr">
        <is>
          <t>2026-09-25 03:51</t>
        </is>
      </c>
      <c r="C106" s="51" t="inlineStr">
        <is>
          <t>Stock market today: BSE Sensex tumbles in afternoon trade, NSE Nifty50 trades below 23,050</t>
        </is>
      </c>
      <c r="D106" s="51" t="inlineStr">
        <is>
          <t>The Times of India</t>
        </is>
      </c>
      <c r="E106" s="81" t="n">
        <v>-0.494</v>
      </c>
      <c r="F106" s="51" t="inlineStr">
        <is>
          <t>Negative</t>
        </is>
      </c>
      <c r="G106" s="82" t="inlineStr">
        <is>
          <t>open ↗</t>
        </is>
      </c>
    </row>
    <row r="107">
      <c r="A107" s="51" t="inlineStr">
        <is>
          <t>LAURUSLABS</t>
        </is>
      </c>
      <c r="B107" s="51" t="inlineStr">
        <is>
          <t>2026-09-25 02:49</t>
        </is>
      </c>
      <c r="C107" s="51" t="inlineStr">
        <is>
          <t>Stocks to BUY, SELL or HOLD Today, Sept 25: Adani Power, NSE, PB Fintech, Laurus Labs and others</t>
        </is>
      </c>
      <c r="D107" s="51" t="inlineStr">
        <is>
          <t>ET Now</t>
        </is>
      </c>
      <c r="E107" s="81" t="n">
        <v>-0.052</v>
      </c>
      <c r="F107" s="51" t="inlineStr">
        <is>
          <t>Neutral</t>
        </is>
      </c>
      <c r="G107" s="82" t="inlineStr">
        <is>
          <t>open ↗</t>
        </is>
      </c>
    </row>
    <row r="108">
      <c r="A108" s="51" t="inlineStr">
        <is>
          <t>RRKABEL</t>
        </is>
      </c>
      <c r="B108" s="51" t="inlineStr">
        <is>
          <t>2026-09-25 02:06</t>
        </is>
      </c>
      <c r="C108" s="51" t="inlineStr">
        <is>
          <t>Trade Spotlight: How should you trade HBL Engineering, Arvind, Inventurus Knowledge Solutions, RR Kabel,...</t>
        </is>
      </c>
      <c r="D108" s="51" t="inlineStr">
        <is>
          <t>Moneycontrol.com</t>
        </is>
      </c>
      <c r="E108" s="81" t="n">
        <v>0.178</v>
      </c>
      <c r="F108" s="51" t="inlineStr">
        <is>
          <t>Neutral</t>
        </is>
      </c>
      <c r="G108" s="82" t="inlineStr">
        <is>
          <t>open ↗</t>
        </is>
      </c>
    </row>
    <row r="109">
      <c r="A109" s="51" t="inlineStr">
        <is>
          <t>MARKET</t>
        </is>
      </c>
      <c r="B109" s="51" t="inlineStr">
        <is>
          <t>2026-09-25 01:28</t>
        </is>
      </c>
      <c r="C109" s="51" t="inlineStr">
        <is>
          <t>Stock Market Today: Gift Nifty, Bond Yields To Oil Prices — Five Key Factors That May Drive Sensex, Nifty 50 On September 25</t>
        </is>
      </c>
      <c r="D109" s="51" t="inlineStr">
        <is>
          <t>NDTV Profit</t>
        </is>
      </c>
      <c r="E109" s="81" t="n">
        <v>0.8070000000000001</v>
      </c>
      <c r="F109" s="51" t="inlineStr">
        <is>
          <t>Positive</t>
        </is>
      </c>
      <c r="G109" s="82" t="inlineStr">
        <is>
          <t>open ↗</t>
        </is>
      </c>
    </row>
    <row r="110">
      <c r="A110" s="51" t="inlineStr">
        <is>
          <t>RRKABEL</t>
        </is>
      </c>
      <c r="B110" s="51" t="inlineStr">
        <is>
          <t>2026-09-24 16:21</t>
        </is>
      </c>
      <c r="C110" s="51" t="inlineStr">
        <is>
          <t>R R Kabel executes BTA to acquire U M Cables business for ₹77 crore</t>
        </is>
      </c>
      <c r="D110" s="51" t="inlineStr">
        <is>
          <t>scanx.trade</t>
        </is>
      </c>
      <c r="E110" s="81" t="n">
        <v>0</v>
      </c>
      <c r="F110" s="51" t="inlineStr">
        <is>
          <t>Neutral</t>
        </is>
      </c>
      <c r="G110" s="82" t="inlineStr">
        <is>
          <t>open ↗</t>
        </is>
      </c>
    </row>
    <row r="111">
      <c r="A111" s="51" t="inlineStr">
        <is>
          <t>RRKABEL</t>
        </is>
      </c>
      <c r="B111" s="51" t="inlineStr">
        <is>
          <t>2026-09-24 16:04</t>
        </is>
      </c>
      <c r="C111" s="51" t="inlineStr">
        <is>
          <t>Top breakout stocks to buy today: ITC Hotels, RR Kabel, MCX, Texrail, UBL by Sumeet Bagadia | Targets</t>
        </is>
      </c>
      <c r="D111" s="51" t="inlineStr">
        <is>
          <t>Livemint</t>
        </is>
      </c>
      <c r="E111" s="81" t="n">
        <v>0.7</v>
      </c>
      <c r="F111" s="51" t="inlineStr">
        <is>
          <t>Positive</t>
        </is>
      </c>
      <c r="G111" s="82" t="inlineStr">
        <is>
          <t>open ↗</t>
        </is>
      </c>
    </row>
    <row r="112">
      <c r="A112" s="51" t="inlineStr">
        <is>
          <t>ACUTAAS</t>
        </is>
      </c>
      <c r="B112" s="51" t="inlineStr">
        <is>
          <t>2026-09-24 14:42</t>
        </is>
      </c>
      <c r="C112" s="51" t="inlineStr">
        <is>
          <t>Acutaas Chemicals approves acquisition of step-down subsidiary Enchem Ami Organics</t>
        </is>
      </c>
      <c r="D112" s="51" t="inlineStr">
        <is>
          <t>scanx.trade</t>
        </is>
      </c>
      <c r="E112" s="81" t="n">
        <v>0.382</v>
      </c>
      <c r="F112" s="51" t="inlineStr">
        <is>
          <t>Positive</t>
        </is>
      </c>
      <c r="G112" s="82" t="inlineStr">
        <is>
          <t>open ↗</t>
        </is>
      </c>
    </row>
    <row r="113">
      <c r="A113" s="51" t="inlineStr">
        <is>
          <t>LAURUSLABS</t>
        </is>
      </c>
      <c r="B113" s="51" t="inlineStr">
        <is>
          <t>2026-09-24 13:49</t>
        </is>
      </c>
      <c r="C113" s="51" t="inlineStr">
        <is>
          <t>Laurus Labs - Allied Blenders among 7 stocks that hit 52-week highs and rallied up to 17% in a month</t>
        </is>
      </c>
      <c r="D113" s="51" t="inlineStr">
        <is>
          <t>The Economic Times</t>
        </is>
      </c>
      <c r="E113" s="81" t="n">
        <v>-0.153</v>
      </c>
      <c r="F113" s="51" t="inlineStr">
        <is>
          <t>Neutral</t>
        </is>
      </c>
      <c r="G113" s="82" t="inlineStr">
        <is>
          <t>open ↗</t>
        </is>
      </c>
    </row>
    <row r="114">
      <c r="A114" s="51" t="inlineStr">
        <is>
          <t>E2E</t>
        </is>
      </c>
      <c r="B114" s="51" t="inlineStr">
        <is>
          <t>2026-09-24 13:15</t>
        </is>
      </c>
      <c r="C114" s="51" t="inlineStr">
        <is>
          <t>E2E Networks (NSE:E2E) Appoints Anand Ganapathy as Chief Revenue Officer to Strengthen Leadership Team</t>
        </is>
      </c>
      <c r="D114" s="51" t="inlineStr">
        <is>
          <t>Kalkine India</t>
        </is>
      </c>
      <c r="E114" s="81" t="n">
        <v>0.318</v>
      </c>
      <c r="F114" s="51" t="inlineStr">
        <is>
          <t>Positive</t>
        </is>
      </c>
      <c r="G114" s="82" t="inlineStr">
        <is>
          <t>open ↗</t>
        </is>
      </c>
    </row>
    <row r="115">
      <c r="A115" s="51" t="inlineStr">
        <is>
          <t>LAURUSLABS</t>
        </is>
      </c>
      <c r="B115" s="51" t="inlineStr">
        <is>
          <t>2026-09-24 13:01</t>
        </is>
      </c>
      <c r="C115" s="51" t="inlineStr">
        <is>
          <t>3 Indian Export Stocks That Could Benefit From A Weaker Rupee</t>
        </is>
      </c>
      <c r="D115" s="51" t="inlineStr">
        <is>
          <t>simplywall.st</t>
        </is>
      </c>
      <c r="E115" s="81" t="n">
        <v>0.026</v>
      </c>
      <c r="F115" s="51" t="inlineStr">
        <is>
          <t>Neutral</t>
        </is>
      </c>
      <c r="G115" s="82" t="inlineStr">
        <is>
          <t>open ↗</t>
        </is>
      </c>
    </row>
    <row r="116">
      <c r="A116" s="51" t="inlineStr">
        <is>
          <t>MARKET</t>
        </is>
      </c>
      <c r="B116" s="51" t="inlineStr">
        <is>
          <t>2026-09-24 12:36</t>
        </is>
      </c>
      <c r="C116" s="51" t="inlineStr">
        <is>
          <t>Stock market prediction for today: Sensex, Nifty outlook for Friday | Kospi, Taiwan cues to watch | 25 Sept 2026</t>
        </is>
      </c>
      <c r="D116" s="51" t="inlineStr">
        <is>
          <t>Livemint</t>
        </is>
      </c>
      <c r="E116" s="81" t="n">
        <v>0.402</v>
      </c>
      <c r="F116" s="51" t="inlineStr">
        <is>
          <t>Positive</t>
        </is>
      </c>
      <c r="G116" s="82" t="inlineStr">
        <is>
          <t>open ↗</t>
        </is>
      </c>
    </row>
    <row r="117">
      <c r="A117" s="51" t="inlineStr">
        <is>
          <t>MARKET</t>
        </is>
      </c>
      <c r="B117" s="51" t="inlineStr">
        <is>
          <t>2026-09-24 10:57</t>
        </is>
      </c>
      <c r="C117" s="51" t="inlineStr">
        <is>
          <t>Sensex, Nifty see worst day in weeks: Why was market down today? | Business News</t>
        </is>
      </c>
      <c r="D117" s="51" t="inlineStr">
        <is>
          <t>Hindustan Times</t>
        </is>
      </c>
      <c r="E117" s="81" t="n">
        <v>-0.34</v>
      </c>
      <c r="F117" s="51" t="inlineStr">
        <is>
          <t>Negative</t>
        </is>
      </c>
      <c r="G117" s="82" t="inlineStr">
        <is>
          <t>open ↗</t>
        </is>
      </c>
    </row>
    <row r="118">
      <c r="A118" s="51" t="inlineStr">
        <is>
          <t>TDPOWERSYS</t>
        </is>
      </c>
      <c r="B118" s="51" t="inlineStr">
        <is>
          <t>2026-09-24 10:15</t>
        </is>
      </c>
      <c r="C118" s="51" t="inlineStr">
        <is>
          <t>TD Power Systems TDPOWERSYS Goldman Sachs Analyst Meet Sep 2026</t>
        </is>
      </c>
      <c r="D118" s="51" t="inlineStr">
        <is>
          <t>Kalkine India</t>
        </is>
      </c>
      <c r="E118" s="81" t="n">
        <v>0</v>
      </c>
      <c r="F118" s="51" t="inlineStr">
        <is>
          <t>Neutral</t>
        </is>
      </c>
      <c r="G118" s="82" t="inlineStr">
        <is>
          <t>open ↗</t>
        </is>
      </c>
    </row>
    <row r="119">
      <c r="A119" s="51" t="inlineStr">
        <is>
          <t>KIRLOSENG</t>
        </is>
      </c>
      <c r="B119" s="51" t="inlineStr">
        <is>
          <t>2026-09-24 10:00</t>
        </is>
      </c>
      <c r="C119" s="51" t="inlineStr">
        <is>
          <t>Kirloskar Oil Engines And 2 Other Indian Nuclear Power Stocks</t>
        </is>
      </c>
      <c r="D119" s="51" t="inlineStr">
        <is>
          <t>simplywall.st</t>
        </is>
      </c>
      <c r="E119" s="81" t="n">
        <v>0</v>
      </c>
      <c r="F119" s="51" t="inlineStr">
        <is>
          <t>Neutral</t>
        </is>
      </c>
      <c r="G119" s="82" t="inlineStr">
        <is>
          <t>open ↗</t>
        </is>
      </c>
    </row>
    <row r="120">
      <c r="A120" s="51" t="inlineStr">
        <is>
          <t>MARKET</t>
        </is>
      </c>
      <c r="B120" s="51" t="inlineStr">
        <is>
          <t>2026-09-24 09:42</t>
        </is>
      </c>
      <c r="C120" s="51" t="inlineStr">
        <is>
          <t>The battle between India’s stock exchanges is heating up again</t>
        </is>
      </c>
      <c r="D120" s="51" t="inlineStr">
        <is>
          <t>The Economist</t>
        </is>
      </c>
      <c r="E120" s="81" t="n">
        <v>-0.382</v>
      </c>
      <c r="F120" s="51" t="inlineStr">
        <is>
          <t>Negative</t>
        </is>
      </c>
      <c r="G120" s="82" t="inlineStr">
        <is>
          <t>open ↗</t>
        </is>
      </c>
    </row>
    <row r="121">
      <c r="A121" s="51" t="inlineStr">
        <is>
          <t>MARKET</t>
        </is>
      </c>
      <c r="B121" s="51" t="inlineStr">
        <is>
          <t>2026-09-24 09:40</t>
        </is>
      </c>
      <c r="C121" s="51" t="inlineStr">
        <is>
          <t>Sensex, Nifty crash today: What led to 'Thursday Tank' - Top impact made by these news; check biggest losers, m-cap loss</t>
        </is>
      </c>
      <c r="D121" s="51" t="inlineStr">
        <is>
          <t>Livemint</t>
        </is>
      </c>
      <c r="E121" s="81" t="n">
        <v>-0.758</v>
      </c>
      <c r="F121" s="51" t="inlineStr">
        <is>
          <t>Negative</t>
        </is>
      </c>
      <c r="G121" s="82" t="inlineStr">
        <is>
          <t>open ↗</t>
        </is>
      </c>
    </row>
    <row r="122">
      <c r="A122" s="51" t="inlineStr">
        <is>
          <t>MARKET</t>
        </is>
      </c>
      <c r="B122" s="51" t="inlineStr">
        <is>
          <t>2026-09-24 09:08</t>
        </is>
      </c>
      <c r="C122" s="51" t="inlineStr">
        <is>
          <t>Stock Market Crash: Five reasons why Nifty fell 400 points, Sensex tanked 1,200 points on Thursday</t>
        </is>
      </c>
      <c r="D122" s="51" t="inlineStr">
        <is>
          <t>CNBC TV18</t>
        </is>
      </c>
      <c r="E122" s="81" t="n">
        <v>-0.273</v>
      </c>
      <c r="F122" s="51" t="inlineStr">
        <is>
          <t>Negative</t>
        </is>
      </c>
      <c r="G122" s="82" t="inlineStr">
        <is>
          <t>open ↗</t>
        </is>
      </c>
    </row>
    <row r="123">
      <c r="A123" s="51" t="inlineStr">
        <is>
          <t>MARKET</t>
        </is>
      </c>
      <c r="B123" s="51" t="inlineStr">
        <is>
          <t>2026-09-24 09:02</t>
        </is>
      </c>
      <c r="C123" s="51" t="inlineStr">
        <is>
          <t>Markets Hit 3-Month Low, 5 Reasons Behind Sensex Crashing 1,250 Points Today</t>
        </is>
      </c>
      <c r="D123" s="51" t="inlineStr">
        <is>
          <t>NDTV</t>
        </is>
      </c>
      <c r="E123" s="81" t="n">
        <v>-0.402</v>
      </c>
      <c r="F123" s="51" t="inlineStr">
        <is>
          <t>Negative</t>
        </is>
      </c>
      <c r="G123" s="82" t="inlineStr">
        <is>
          <t>open ↗</t>
        </is>
      </c>
    </row>
    <row r="124">
      <c r="A124" s="51" t="inlineStr">
        <is>
          <t>MARKET</t>
        </is>
      </c>
      <c r="B124" s="51" t="inlineStr">
        <is>
          <t>2026-09-24 08:52</t>
        </is>
      </c>
      <c r="C124" s="51" t="inlineStr">
        <is>
          <t>Stock market crash today: Sensex ends over 1,200 points, Nifty goes below 23,100 - top reasons for fall</t>
        </is>
      </c>
      <c r="D124" s="51" t="inlineStr">
        <is>
          <t>The Times of India</t>
        </is>
      </c>
      <c r="E124" s="81" t="n">
        <v>-0.402</v>
      </c>
      <c r="F124" s="51" t="inlineStr">
        <is>
          <t>Negative</t>
        </is>
      </c>
      <c r="G124" s="82" t="inlineStr">
        <is>
          <t>open ↗</t>
        </is>
      </c>
    </row>
    <row r="125">
      <c r="A125" s="51" t="inlineStr">
        <is>
          <t>AEROFLEX</t>
        </is>
      </c>
      <c r="B125" s="51" t="inlineStr">
        <is>
          <t>2026-09-24 08:46</t>
        </is>
      </c>
      <c r="C125" s="51" t="inlineStr">
        <is>
          <t>Hero Motors Ltd leads gainers in 'B' group</t>
        </is>
      </c>
      <c r="D125" s="51" t="inlineStr">
        <is>
          <t>Business Standard</t>
        </is>
      </c>
      <c r="E125" s="81" t="n">
        <v>0.5570000000000001</v>
      </c>
      <c r="F125" s="51" t="inlineStr">
        <is>
          <t>Positive</t>
        </is>
      </c>
      <c r="G125" s="82" t="inlineStr">
        <is>
          <t>open ↗</t>
        </is>
      </c>
    </row>
    <row r="126">
      <c r="A126" s="51" t="inlineStr">
        <is>
          <t>TDPOWERSYS</t>
        </is>
      </c>
      <c r="B126" s="51" t="inlineStr">
        <is>
          <t>2026-09-24 08:35</t>
        </is>
      </c>
      <c r="C126" s="51" t="inlineStr">
        <is>
          <t>TD Power Systems Share Price today: decline and analysis</t>
        </is>
      </c>
      <c r="D126" s="51" t="inlineStr">
        <is>
          <t>Univest</t>
        </is>
      </c>
      <c r="E126" s="81" t="n">
        <v>-0.382</v>
      </c>
      <c r="F126" s="51" t="inlineStr">
        <is>
          <t>Negative</t>
        </is>
      </c>
      <c r="G126" s="82" t="inlineStr">
        <is>
          <t>open ↗</t>
        </is>
      </c>
    </row>
    <row r="127">
      <c r="A127" s="51" t="inlineStr">
        <is>
          <t>E2E</t>
        </is>
      </c>
      <c r="B127" s="51" t="inlineStr">
        <is>
          <t>2026-09-24 08:21</t>
        </is>
      </c>
      <c r="C127" s="51" t="inlineStr">
        <is>
          <t>E2E Networks appoints Anand Ganapathy as Chief Revenue Officer</t>
        </is>
      </c>
      <c r="D127" s="51" t="inlineStr">
        <is>
          <t>scanx.trade</t>
        </is>
      </c>
      <c r="E127" s="81" t="n">
        <v>0</v>
      </c>
      <c r="F127" s="51" t="inlineStr">
        <is>
          <t>Neutral</t>
        </is>
      </c>
      <c r="G127" s="82" t="inlineStr">
        <is>
          <t>open ↗</t>
        </is>
      </c>
    </row>
    <row r="128">
      <c r="A128" s="51" t="inlineStr">
        <is>
          <t>MARKET</t>
        </is>
      </c>
      <c r="B128" s="51" t="inlineStr">
        <is>
          <t>2026-09-24 07:35</t>
        </is>
      </c>
      <c r="C128" s="51" t="inlineStr">
        <is>
          <t>Why is the stock market crashing today? 4 factors behind the sharp fall in the Nifty and Sensex indices</t>
        </is>
      </c>
      <c r="D128" s="51" t="inlineStr">
        <is>
          <t>theweek.in</t>
        </is>
      </c>
      <c r="E128" s="81" t="n">
        <v>0.077</v>
      </c>
      <c r="F128" s="51" t="inlineStr">
        <is>
          <t>Neutral</t>
        </is>
      </c>
      <c r="G128" s="82" t="inlineStr">
        <is>
          <t>open ↗</t>
        </is>
      </c>
    </row>
    <row r="129">
      <c r="A129" s="51" t="inlineStr">
        <is>
          <t>LAURUSLABS</t>
        </is>
      </c>
      <c r="B129" s="51" t="inlineStr">
        <is>
          <t>2026-09-24 07:25</t>
        </is>
      </c>
      <c r="C129" s="51" t="inlineStr">
        <is>
          <t>Buy, Sell Or Hold: NSE vs BSE, Ola Electric, Laurus Labs, GE Shipping, Optiemus Infracom — Ask Profit</t>
        </is>
      </c>
      <c r="D129" s="51" t="inlineStr">
        <is>
          <t>NDTV Profit</t>
        </is>
      </c>
      <c r="E129" s="81" t="n">
        <v>0.296</v>
      </c>
      <c r="F129" s="51" t="inlineStr">
        <is>
          <t>Positive</t>
        </is>
      </c>
      <c r="G129" s="82" t="inlineStr">
        <is>
          <t>open ↗</t>
        </is>
      </c>
    </row>
    <row r="130">
      <c r="A130" s="51" t="inlineStr">
        <is>
          <t>AEROFLEX</t>
        </is>
      </c>
      <c r="B130" s="51" t="inlineStr">
        <is>
          <t>2026-09-24 06:20</t>
        </is>
      </c>
      <c r="C130" s="51" t="inlineStr">
        <is>
          <t>Aeroflex Neu Ltd (NSE: AERONEU) Gains 20.00% as Stock Sees Renewed Market Interest</t>
        </is>
      </c>
      <c r="D130" s="51" t="inlineStr">
        <is>
          <t>Kalkine India</t>
        </is>
      </c>
      <c r="E130" s="81" t="n">
        <v>0.681</v>
      </c>
      <c r="F130" s="51" t="inlineStr">
        <is>
          <t>Positive</t>
        </is>
      </c>
      <c r="G130" s="82" t="inlineStr">
        <is>
          <t>open ↗</t>
        </is>
      </c>
    </row>
    <row r="131">
      <c r="A131" s="51" t="inlineStr">
        <is>
          <t>MARKET</t>
        </is>
      </c>
      <c r="B131" s="51" t="inlineStr">
        <is>
          <t>2026-09-24 04:09</t>
        </is>
      </c>
      <c r="C131" s="51" t="inlineStr">
        <is>
          <t>Why did market crash today? Sensex plummets 1,248 points, Nifty ends below 23,100. 5 factors behind today'</t>
        </is>
      </c>
      <c r="D131" s="51" t="inlineStr">
        <is>
          <t>The Economic Times</t>
        </is>
      </c>
      <c r="E131" s="81" t="n">
        <v>-0.273</v>
      </c>
      <c r="F131" s="51" t="inlineStr">
        <is>
          <t>Negative</t>
        </is>
      </c>
      <c r="G131" s="82" t="inlineStr">
        <is>
          <t>open ↗</t>
        </is>
      </c>
    </row>
    <row r="132">
      <c r="A132" s="51" t="inlineStr">
        <is>
          <t>MARKET</t>
        </is>
      </c>
      <c r="B132" s="51" t="inlineStr">
        <is>
          <t>2026-09-24 03:56</t>
        </is>
      </c>
      <c r="C132" s="51" t="inlineStr">
        <is>
          <t>Sensex settles 1,250 pts lower, Nifty ends below 23,100: 7 key factors behind market crash</t>
        </is>
      </c>
      <c r="D132" s="51" t="inlineStr">
        <is>
          <t>Moneycontrol.com</t>
        </is>
      </c>
      <c r="E132" s="81" t="n">
        <v>-0.44</v>
      </c>
      <c r="F132" s="51" t="inlineStr">
        <is>
          <t>Negative</t>
        </is>
      </c>
      <c r="G132" s="82" t="inlineStr">
        <is>
          <t>open ↗</t>
        </is>
      </c>
    </row>
    <row r="133">
      <c r="A133" s="51" t="inlineStr">
        <is>
          <t>MARKET</t>
        </is>
      </c>
      <c r="B133" s="51" t="inlineStr">
        <is>
          <t>2026-09-24 02:46</t>
        </is>
      </c>
      <c r="C133" s="51" t="inlineStr">
        <is>
          <t>Indian shares post worst day in 10 weeks on oil spike, proposed insurance curbs</t>
        </is>
      </c>
      <c r="D133" s="51" t="inlineStr">
        <is>
          <t>Reuters</t>
        </is>
      </c>
      <c r="E133" s="81" t="n">
        <v>-0.625</v>
      </c>
      <c r="F133" s="51" t="inlineStr">
        <is>
          <t>Negative</t>
        </is>
      </c>
      <c r="G133" s="82" t="inlineStr">
        <is>
          <t>open ↗</t>
        </is>
      </c>
    </row>
    <row r="134">
      <c r="A134" s="51" t="inlineStr">
        <is>
          <t>MARKET</t>
        </is>
      </c>
      <c r="B134" s="51" t="inlineStr">
        <is>
          <t>2026-09-24 02:44</t>
        </is>
      </c>
      <c r="C134" s="51" t="inlineStr">
        <is>
          <t>US Dollar jumps to near two-month high. What could it mean for Indian stock markets - Sensex, Nifty impact</t>
        </is>
      </c>
      <c r="D134" s="51" t="inlineStr">
        <is>
          <t>Livemint</t>
        </is>
      </c>
      <c r="E134" s="81" t="n">
        <v>0.758</v>
      </c>
      <c r="F134" s="51" t="inlineStr">
        <is>
          <t>Positive</t>
        </is>
      </c>
      <c r="G134" s="82" t="inlineStr">
        <is>
          <t>open ↗</t>
        </is>
      </c>
    </row>
    <row r="135">
      <c r="A135" s="51" t="inlineStr">
        <is>
          <t>MARKET</t>
        </is>
      </c>
      <c r="B135" s="51" t="inlineStr">
        <is>
          <t>2026-09-24 02:38</t>
        </is>
      </c>
      <c r="C135" s="51" t="inlineStr">
        <is>
          <t>GIFT Nifty crashes nearly 200 pts, signals gap-down start for Sensex, Nifty; US selloff, rising yields...</t>
        </is>
      </c>
      <c r="D135" s="51" t="inlineStr">
        <is>
          <t>Moneycontrol.com</t>
        </is>
      </c>
      <c r="E135" s="81" t="n">
        <v>0.842</v>
      </c>
      <c r="F135" s="51" t="inlineStr">
        <is>
          <t>Positive</t>
        </is>
      </c>
      <c r="G135" s="82" t="inlineStr">
        <is>
          <t>open ↗</t>
        </is>
      </c>
    </row>
    <row r="136">
      <c r="A136" s="51" t="inlineStr">
        <is>
          <t>MARKET</t>
        </is>
      </c>
      <c r="B136" s="51" t="inlineStr">
        <is>
          <t>2026-09-24 01:42</t>
        </is>
      </c>
      <c r="C136" s="51" t="inlineStr">
        <is>
          <t>Stock Market Today: Gift Nifty, Oil Prices To US Treasury Yields — Five Key Factors For Sensex, Nifty 50 On Sept 24</t>
        </is>
      </c>
      <c r="D136" s="51" t="inlineStr">
        <is>
          <t>NDTV Profit</t>
        </is>
      </c>
      <c r="E136" s="81" t="n">
        <v>0.844</v>
      </c>
      <c r="F136" s="51" t="inlineStr">
        <is>
          <t>Positive</t>
        </is>
      </c>
      <c r="G136" s="82" t="inlineStr">
        <is>
          <t>open ↗</t>
        </is>
      </c>
    </row>
    <row r="137">
      <c r="A137" s="51" t="inlineStr">
        <is>
          <t>MARKET</t>
        </is>
      </c>
      <c r="B137" s="51" t="inlineStr">
        <is>
          <t>2026-09-24 01:17</t>
        </is>
      </c>
      <c r="C137" s="51" t="inlineStr">
        <is>
          <t>Sensex, Nifty 50 prediction today: Stock market outlook for Thursday, 24 Sept - GIFT Nifty, Nikkei, Taiwan signals</t>
        </is>
      </c>
      <c r="D137" s="51" t="inlineStr">
        <is>
          <t>Livemint</t>
        </is>
      </c>
      <c r="E137" s="81" t="n">
        <v>0.842</v>
      </c>
      <c r="F137" s="51" t="inlineStr">
        <is>
          <t>Positive</t>
        </is>
      </c>
      <c r="G137" s="82" t="inlineStr">
        <is>
          <t>open ↗</t>
        </is>
      </c>
    </row>
    <row r="138">
      <c r="A138" s="51" t="inlineStr">
        <is>
          <t>LAURUSLABS</t>
        </is>
      </c>
      <c r="B138" s="51" t="inlineStr">
        <is>
          <t>2026-09-23 22:57</t>
        </is>
      </c>
      <c r="C138" s="51" t="inlineStr">
        <is>
          <t>Laurus Labs stock gains 1.37 percent as profit jumps 126 percent</t>
        </is>
      </c>
      <c r="D138" s="51" t="inlineStr">
        <is>
          <t>AD HOC NEWS</t>
        </is>
      </c>
      <c r="E138" s="81" t="n">
        <v>0.791</v>
      </c>
      <c r="F138" s="51" t="inlineStr">
        <is>
          <t>Positive</t>
        </is>
      </c>
      <c r="G138" s="82" t="inlineStr">
        <is>
          <t>open ↗</t>
        </is>
      </c>
    </row>
    <row r="139">
      <c r="A139" s="51" t="inlineStr">
        <is>
          <t>LAURUSLABS</t>
        </is>
      </c>
      <c r="B139" s="51" t="inlineStr">
        <is>
          <t>2026-09-23 12:57</t>
        </is>
      </c>
      <c r="C139" s="51" t="inlineStr">
        <is>
          <t>Laurus Labs - Anlon Healthcare among 7 healthcare stocks hitting 52-week highs; rallied up to 105% in a month</t>
        </is>
      </c>
      <c r="D139" s="51" t="inlineStr">
        <is>
          <t>The Economic Times</t>
        </is>
      </c>
      <c r="E139" s="81" t="n">
        <v>0</v>
      </c>
      <c r="F139" s="51" t="inlineStr">
        <is>
          <t>Neutral</t>
        </is>
      </c>
      <c r="G139" s="82" t="inlineStr">
        <is>
          <t>open ↗</t>
        </is>
      </c>
    </row>
    <row r="140">
      <c r="A140" s="51" t="inlineStr">
        <is>
          <t>MARKET</t>
        </is>
      </c>
      <c r="B140" s="51" t="inlineStr">
        <is>
          <t>2026-09-23 11:16</t>
        </is>
      </c>
      <c r="C140" s="51" t="inlineStr">
        <is>
          <t>Sensex slips over 11,000 points from record high in 10 months; 3 triggers that may fuel the Indian stock market</t>
        </is>
      </c>
      <c r="D140" s="51" t="inlineStr">
        <is>
          <t>Livemint</t>
        </is>
      </c>
      <c r="E140" s="81" t="n">
        <v>0.226</v>
      </c>
      <c r="F140" s="51" t="inlineStr">
        <is>
          <t>Positive</t>
        </is>
      </c>
      <c r="G140" s="82" t="inlineStr">
        <is>
          <t>open ↗</t>
        </is>
      </c>
    </row>
    <row r="141">
      <c r="A141" s="51" t="inlineStr">
        <is>
          <t>MARKET</t>
        </is>
      </c>
      <c r="B141" s="51" t="inlineStr">
        <is>
          <t>2026-09-23 10:15</t>
        </is>
      </c>
      <c r="C141" s="51" t="inlineStr">
        <is>
          <t>Market wrap, Sept 23: SENSEX, NIFTY50 gain as metal stocks rally, crude oil price ease; Bajaj Fin, Hindalco top gainers</t>
        </is>
      </c>
      <c r="D141" s="51" t="inlineStr">
        <is>
          <t>Upstox</t>
        </is>
      </c>
      <c r="E141" s="81" t="n">
        <v>0.612</v>
      </c>
      <c r="F141" s="51" t="inlineStr">
        <is>
          <t>Positive</t>
        </is>
      </c>
      <c r="G141" s="82" t="inlineStr">
        <is>
          <t>open ↗</t>
        </is>
      </c>
    </row>
    <row r="142">
      <c r="A142" s="51" t="inlineStr">
        <is>
          <t>DIACABS</t>
        </is>
      </c>
      <c r="B142" s="51" t="inlineStr">
        <is>
          <t>2026-09-23 10:02</t>
        </is>
      </c>
      <c r="C142" s="51" t="inlineStr">
        <is>
          <t>Diamond Power Infrastructure Share Price Rises 2.68% Today</t>
        </is>
      </c>
      <c r="D142" s="51" t="inlineStr">
        <is>
          <t>Univest</t>
        </is>
      </c>
      <c r="E142" s="81" t="n">
        <v>0.34</v>
      </c>
      <c r="F142" s="51" t="inlineStr">
        <is>
          <t>Positive</t>
        </is>
      </c>
      <c r="G142" s="82" t="inlineStr">
        <is>
          <t>open ↗</t>
        </is>
      </c>
    </row>
    <row r="143">
      <c r="A143" s="51" t="inlineStr">
        <is>
          <t>LAURUSLABS</t>
        </is>
      </c>
      <c r="B143" s="51" t="inlineStr">
        <is>
          <t>2026-09-23 09:19</t>
        </is>
      </c>
      <c r="C143" s="51" t="inlineStr">
        <is>
          <t>Laurus Labs Share Price: one-year high and valuation view</t>
        </is>
      </c>
      <c r="D143" s="51" t="inlineStr">
        <is>
          <t>Univest</t>
        </is>
      </c>
      <c r="E143" s="81" t="n">
        <v>0.202</v>
      </c>
      <c r="F143" s="51" t="inlineStr">
        <is>
          <t>Positive</t>
        </is>
      </c>
      <c r="G143" s="82" t="inlineStr">
        <is>
          <t>open ↗</t>
        </is>
      </c>
    </row>
    <row r="144">
      <c r="A144" s="51" t="inlineStr">
        <is>
          <t>MARKET</t>
        </is>
      </c>
      <c r="B144" s="51" t="inlineStr">
        <is>
          <t>2026-09-23 07:59</t>
        </is>
      </c>
      <c r="C144" s="51" t="inlineStr">
        <is>
          <t>NSE IPO listing: National Stock Exchange of India to debut on September 24; check GMP &amp; other details</t>
        </is>
      </c>
      <c r="D144" s="51" t="inlineStr">
        <is>
          <t>The Times of India</t>
        </is>
      </c>
      <c r="E144" s="81" t="n">
        <v>0</v>
      </c>
      <c r="F144" s="51" t="inlineStr">
        <is>
          <t>Neutral</t>
        </is>
      </c>
      <c r="G144" s="82" t="inlineStr">
        <is>
          <t>open ↗</t>
        </is>
      </c>
    </row>
    <row r="145">
      <c r="A145" s="51" t="inlineStr">
        <is>
          <t>E2E</t>
        </is>
      </c>
      <c r="B145" s="51" t="inlineStr">
        <is>
          <t>2026-09-23 07:26</t>
        </is>
      </c>
      <c r="C145" s="51" t="inlineStr">
        <is>
          <t>E2E Networks Share Price news: price rise and valuation</t>
        </is>
      </c>
      <c r="D145" s="51" t="inlineStr">
        <is>
          <t>Univest</t>
        </is>
      </c>
      <c r="E145" s="81" t="n">
        <v>0</v>
      </c>
      <c r="F145" s="51" t="inlineStr">
        <is>
          <t>Neutral</t>
        </is>
      </c>
      <c r="G145" s="82" t="inlineStr">
        <is>
          <t>open ↗</t>
        </is>
      </c>
    </row>
    <row r="146">
      <c r="A146" s="51" t="inlineStr">
        <is>
          <t>LAURUSLABS</t>
        </is>
      </c>
      <c r="B146" s="51" t="inlineStr">
        <is>
          <t>2026-09-23 06:24</t>
        </is>
      </c>
      <c r="C146" s="51" t="inlineStr">
        <is>
          <t>Laurus Labs - 10 midcap stocks that soared up to 105% in 6 months; check FII and MF holdings</t>
        </is>
      </c>
      <c r="D146" s="51" t="inlineStr">
        <is>
          <t>The Economic Times</t>
        </is>
      </c>
      <c r="E146" s="81" t="n">
        <v>0</v>
      </c>
      <c r="F146" s="51" t="inlineStr">
        <is>
          <t>Neutral</t>
        </is>
      </c>
      <c r="G146" s="82" t="inlineStr">
        <is>
          <t>open ↗</t>
        </is>
      </c>
    </row>
    <row r="147">
      <c r="A147" s="51" t="inlineStr">
        <is>
          <t>KIRLOSENG</t>
        </is>
      </c>
      <c r="B147" s="51" t="inlineStr">
        <is>
          <t>2026-09-23 05:56</t>
        </is>
      </c>
      <c r="C147" s="51" t="inlineStr">
        <is>
          <t>3 Indian Nuclear Energy Stocks With Revenue Growth Up To 16%</t>
        </is>
      </c>
      <c r="D147" s="51" t="inlineStr">
        <is>
          <t>simplywall.st</t>
        </is>
      </c>
      <c r="E147" s="81" t="n">
        <v>0.5570000000000001</v>
      </c>
      <c r="F147" s="51" t="inlineStr">
        <is>
          <t>Positive</t>
        </is>
      </c>
      <c r="G147" s="82" t="inlineStr">
        <is>
          <t>open ↗</t>
        </is>
      </c>
    </row>
    <row r="148">
      <c r="A148" s="51" t="inlineStr">
        <is>
          <t>MARKET</t>
        </is>
      </c>
      <c r="B148" s="51" t="inlineStr">
        <is>
          <t>2026-09-23 01:42</t>
        </is>
      </c>
      <c r="C148" s="51" t="inlineStr">
        <is>
          <t>Stock Market Today: Gift Nifty, US-Iran Talks To Oil Prices — Five Key Factors That May Drive Sensex, Nifty 50 On Sept 23</t>
        </is>
      </c>
      <c r="D148" s="51" t="inlineStr">
        <is>
          <t>NDTV Profit</t>
        </is>
      </c>
      <c r="E148" s="81" t="n">
        <v>0.8070000000000001</v>
      </c>
      <c r="F148" s="51" t="inlineStr">
        <is>
          <t>Positive</t>
        </is>
      </c>
      <c r="G148" s="82" t="inlineStr">
        <is>
          <t>open ↗</t>
        </is>
      </c>
    </row>
    <row r="149">
      <c r="A149" s="51" t="inlineStr">
        <is>
          <t>MARKET</t>
        </is>
      </c>
      <c r="B149" s="51" t="inlineStr">
        <is>
          <t>2026-09-23 01:13</t>
        </is>
      </c>
      <c r="C149" s="51" t="inlineStr">
        <is>
          <t>Sensex, Nifty 50 prediction today: How Asian markets, crude will impact Indian markets? Gift Nifty, Kospi, Taiwan signal</t>
        </is>
      </c>
      <c r="D149" s="51" t="inlineStr">
        <is>
          <t>Livemint</t>
        </is>
      </c>
      <c r="E149" s="81" t="n">
        <v>0.5570000000000001</v>
      </c>
      <c r="F149" s="51" t="inlineStr">
        <is>
          <t>Positive</t>
        </is>
      </c>
      <c r="G149" s="82" t="inlineStr">
        <is>
          <t>open ↗</t>
        </is>
      </c>
    </row>
    <row r="150">
      <c r="A150" s="51" t="inlineStr">
        <is>
          <t>RRKABEL</t>
        </is>
      </c>
      <c r="B150" s="51" t="inlineStr">
        <is>
          <t>2026-09-23 00:46</t>
        </is>
      </c>
      <c r="C150" s="51" t="inlineStr">
        <is>
          <t>Here's Why R R Kabel (NSE:RRKABEL) Has Caught The Eye Of Investors</t>
        </is>
      </c>
      <c r="D150" s="51" t="inlineStr">
        <is>
          <t>simplywall.st</t>
        </is>
      </c>
      <c r="E150" s="81" t="n">
        <v>0</v>
      </c>
      <c r="F150" s="51" t="inlineStr">
        <is>
          <t>Neutral</t>
        </is>
      </c>
      <c r="G150" s="82" t="inlineStr">
        <is>
          <t>open ↗</t>
        </is>
      </c>
    </row>
  </sheetData>
  <mergeCells count="2">
    <mergeCell ref="A2:G2"/>
    <mergeCell ref="A1:G1"/>
  </mergeCells>
  <conditionalFormatting sqref="E5:E150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"bhavcopy"}}, "AEROFLEX": {"2026-09-28": {"open": 524.25, "close": 513.4, "src": "yahoo"}, "2026-09-29": {"open": 511.3, "close": 539.6, "src": "bhavcopy"}}, "E2E": {"2026-09-28": {"open": 650.0, "close": 625.9, "src": "yahoo"}, "2026-09-29": {"open": 619.55, "close": 651.8, "src": "bhavcopy"}}, "LAURUSLABS": {"2026-09-28": {"open": 2000.0, "close": 2010.7, "src": "yahoo"}, "2026-09-29": {"open": 2020.7, "close": 1979.0, "src": "bhavcopy"}}, "NIFTY50": {"2026-09-28": {"open": 23064.9, "close": 22780.25, "src": "yahoo"}, "2026-09-29": {"open": 22732.45, "close": 22716.2, "src": "bhavcopy"}}, "ATHERENERG": {"2026-09-28": {"open": 1495.0, "close": 1454.9, "src": "yahoo"}, "2026-09</t>
        </is>
      </c>
    </row>
    <row r="2">
      <c r="A2" t="inlineStr">
        <is>
          <t>-29": {"open": 1460.2, "close": 1407.0, "src": "bhavcopy"}}, "THANGAMAYL": {"2026-09-28": {"open": 5100.0, "close": 5011.5, "src": "yahoo"}, "2026-09-29": {"open": 5010.0, "close": 5204.5, "src": "bhavcopy"}}, "RRKABEL": {"2026-09-28": {"open": 2530.4, "close": 2459.8, "src": "yahoo"}, "2026-09-29": {"open": 2459.8, "close": 2523.2, "src": "bhavcopy"}}, "ACUTAAS": {"2026-09-28": {"open": 3272.5, "close": 3214.4, "src": "yahoo"}, "2026-09-29": {"open": 3290.0, "close": 3304.1, "src": "bhavcopy"}}, "DIACABS": {"2026-09-28": {"open": 353.0, "close": 339.25, "src": "yahoo"}, "2026-09-29": {"open": 336.9, "close": 352.05, "src": "bhavcopy"}}, "KIRLOSENG": {"2026-09-28": {"open": 2138.1, "close": 2141.2, "src": "yahoo"}, "2026-09-29": {"open": 2141.2, "close": 2402.0, "src": "bhavcopy"}}}, "entry_override": {}, "news": {"fetched": "2026-09-29 17:07", "days": 7, "items": [{"symbol": "MARKET", "title": "Sensex, Nifty End Lower for Second Day; Global Tensions, FII Selling Hurt Investor Mood", "link": "https://news.google.com/rss/articles/CBMisgFBVV95cUxNOC0wWWx3dmhaeFRrNDNBUU8zLUxRMDdKSXNURGVXT09GdFJQbGlOR2pOeXdmTHlVMzViVWpVcFJrSmtGbktLUWlESkNzWGJwTlNERW00Y0hWVmR5dUxIV1AzNl9YeXFIZTR1WGRRZlp3RTVyMUR5Wmw0d0xWYWg2ME9Yc2Z3NlBibjR0S1NiV1l5d080TWxvQmpPVVVRMHA2VlNUM1oycTlZcG5CSlh4amFn?oc=5", "source": "The Indian Awaaz", "published": "2026-09-29 15:41", "score": -0.637, "label": "Negative"}, {"symbol": "MARKET", "title": "Markets ride expiry-day seesaw as derivatives swings jolt Nifty",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0.402, "label": "Positive"}, {"symbol": "MARKET", "title": "Stock market closing: Sensex, Nifty end lower; Sept losses mount on FII selling, oil", "link": 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"equitymaster.com", "published": "2026-09-29 10:19", "score": 0.226, "label": "Positive"}, {"symbol": "MARKET", "title": "Stock market prediction for tomorrow: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"Livemint", "published": "2026-09-29 10:11", "score": 0.402, "label": "Positive"},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"Livemint", "published": "2026-09-29 06:14", "score": -0.66, "label": "Negative"},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"Livemint", "published": "2026-09-29 05:23", "score": -0.382, "label": "Negative"}, {"symbol": "MARKET", "title": "Stock Market Crash: Investors Lose Rs 5.9 Lakh Crore In 90 Minutes As Sensex Tumbles Over 700 Points, Nifty Breaches 22,600", "link": "https://news.google.com/rss/articles/CBMihgJBVV95cUxNYi1rRVNYUG1VMmF2VjVva1lnTmNXSGdCbU5SeG1yMkhWUkVjUUl5WjljdGhWNU1wcUhDakVQU3FsQjh5bmlRV08wX3pxMXV0U0Q0VDAweWUzQ0tNZnVsd19FLVVyb3daaTVGY2FZcGtXM25qYkxCaUk2NFB2NXc4dThpTld2ZDh6TFNzanJlYmx3OXVDNTctSW5haEtqWHBrcjJSOWROYmwxQUVEejlnUm0zYVFhTUQ4VXFSbFptWDA3LVBVVER2NzEyaFdLUkljcUltVTdhci1JejFSSEpiQ053RWtjQ2dWaTJ2blJuY3ZYVnFiN1NnT1RxYkpoNTh0Z2tLTTRR0gGOAkFVX3lxTFBSSFVsVGFrRGxxQmZjSF9Lbi14XzVaa0tIRFh0MzhJS21ONkxBTWNkUkJDXzNnRnFjMmk2dTlwNzRoem9INy1sYk12YVNkLVJ0VTUySkJnNTM1QzV6ZFFFQVlhd3c5cUlUZVpUc1hha184X2pGSE5JTEkwWW84LWlwNV9HMkNVamNaWGo0Mlp0M1N3cmRxSmZJUUw5UzN6aTd5MUlHLTRlM25uM2VScXljRXlVcjFlZk4yajZwZkxYSkx1VFp1LWtLX2dWdW51V2NSVFhxUUlUZ3lQT3pkNDctM1hldGtrX2NJQ3hkN0xXQmM3MmFkeXdweXA0M3VsdjhZbWN6ZjREclA0eFdHdw?oc=5", "source": "NDTV Profit", "published": "2026-09-29 05:09", "score": -0.791, "label": "Negative"},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"MARKET", "title": "BSE shares surge over 3%, stock to replace Wipro in Nifty 50 reshuffle", "link": "https://news.google.com/rss/articles/CBMixwFBVV95cUxQWFYxc2FLNFJkeU5VQ0dWdFVETE9Sb1JzT2tuVnNEWTdRaU9JNWQzX0x0VjNmZlNuem9FdGRUelVPeUhNMUpTUWlmbF9nUGJJU1NndEl4eGxYaU5IWjdzSVlpOE9TQlhmakNHbTZlRmMxbGkya1JTYmJpM3FWNnhLM0FSeDhYRndHcDJzaW50dEE4WkVyb1MtcTZvN2pyeV9sTlZ5NVBLc3M4Wl9hQ3JmUF9CSWp2N2NEVk1rWld2Zm5BbXNXdFBZ0gHOAUFVX3lxTE5YV0ZiOEdkcDVUc2tDU1Myb0RnY1VRYkFHUERHLWdyM205dmdzWUoyekhSd2FIaVltYUZVa3ZUNG1qdktXNEpPTkVxdTduMmhGNGFlckQ3UkNrS0lqYkU0dVFqRmtSVS1nUkdNVXlnN1RIdmlaNUhMVGlFWHdrMERaVFo2bnlla2w0eklGTEFzSUdCeVNmYW0wZThzQ2N0WF9wNnhIZy0tZmxwREprRUFLMFk4eDN0eWhPV0x2YmZ5WXhzVU55aExVaFJtMnNR?oc=5", "source": "BusinessLine", "published": "2026-09-29 04:38", "score": 0.71, "label": "Positive"}, {"symbol": "MARKET", "title": "Sensex Falls 400 Points; Nifty Slips Below 22,700", "link": "https://news.google.com/rss/articles/CBMixwFBVV95cUxQWW5nZzl6c0Rqemg0cG1reGtZa3NMMTJEb2xNczJsMS1xbnJscHczcXpwSnJVOFVVQTJQZ2w1T0RNZ1pXb3hoWHFFMkhTdGIxYWgtNGZvQUE1X2dzNS1LMmF5dUZnZVJDbUhqdURGTlhpMTd0NERLVl9wZnNTUEx1dTJXeXY1ZVZnOWgtZGhLUEQxMzM3bmgzWTVxVXA0TWlwbDdTdXFRRVpLQ3p6NjI2ZU5SMTZIU1hsbFhXYU4wUDZpbW1fQUtZ?oc=5", "source": "HDFC Sky", "published": "2026-09-29 04:35", "score": -0.318, "label": "Negative"}, {"symbol": "MARKET", "title": "Sensex Today Tanks 695 Points | Nifty Below 22,600 | Bajaj Finance &amp; Kotak Mahindra Top Losers", "link": "https://news.google.com/rss/articles/CBMi5gFBVV95cUxQNjN4TURGTmhtN2ctbmhRZ0NIMUVodFU1RzZNQlB0UkxGemdVQjZiYWh4WDJGakxkN290TjNzY0JEV3RsZkEtLXlxTW0xNFRzbksyQjRtSW9nSFlCSHF5Z1JMMHJjblJLbFJhX1VjRVE2WTZ2YV9wbnhNM1ZCMG5hekNoQU5uVEpscFdaczk1c1BPcWt1VXRzbWs4WFAtYUZIQVFMbWZNcmxWNE9zN3dkanZUdDhOb3dFckZGWXZfc21sMVc1Q0pOeDRQejVMR2Ztck1hTFFwSW9qM21kYWxqM3BoXzRGZw?oc=5", "source": "equitymaster.com", "published": "2026-09-29 04:35", "score": -0.477,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04:23",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"No respite after Monday blues: Sensex slumps 568 points, Nifty below 22,650; what\u2019s dragging the market?", "link": "https://news.google.com/rss/articles/CBMi2gFBVV95cUxNUmk0WlNhUWFKM2hkY0tydWR0QV9jUVFvV0lQclJYVFlpcXd1Q2xYWjV6aDQ3SGZKWjdkdE9nWTFNNWFsT3NwNXpnVlNtQVowZDhOTmF5eHJkbmdZZ0R5eWh2RHlhZmlXNE03ODdxWnJtYWE0NzlLdmZCNXBVMUNLRW1Hem5EYjUwMXdvcjN5alZJbUdLSTN2RDhvamt1cm8yNWNzOURJZUctaExtNk1ocHRONWswa2ZRc2pjYnRtMXJQcV93MEtTc05yZkJIa1phUnFSSjlSaXpGZ9IB5wFBVV95cUxQUXJua0JCWWl3dVNjWmdUNFdmYTNrYjh1ZDNMS0tVRUhNSTJ6c3RRRjZaRmJnNnMya2MxbmpId0djX3QzQ29LS2EweVFmSFNjZTVfVFIxUEZlbUFEX0F6djZvMnZhUW1oUWlHV29yMno5V0ZzZjJwYnhOSkhuT1BMc1FDdTFwcGtiTTYyT3ktdnVaSjFnU1hkZVhrSE82N1c5NDJjR2Z3LUlNQ0Q5N29rVnVPRTJwUjY5NlNoVkVRMlFQRFVzUnFtYmh0NHhManBaYm5HOEYwckcyR25KR3NiZXFFbVRVZDA?oc=5", "source": "fortuneindia.com", "published": "2026-09-29 04:21", "score": -0.402, "label": "Negative"}, {"symbol": "MARKET", "title": "Sensex, Nifty sink further; What is keeping the market under pressure?", "link": "https://news.google.com/rss/articles/CBMirgFBVV95cUxPT2hTUks4TnNPVTAzVG1rd2xFajdvVU5QX2VTZWplSk9zXzBWc0ZOdGVzOHlrTmVOOC1hYXV1MnZxQmdnUFUwcHZPbTVMenVma0hOOVc3ZDVwWnZScEpoQUp1d2I5XzRyMmktMHZIYWhvZVVtZ2xzakx4ekpES1h6RzlfbHFxTGRUakRTbU9yeDZFT3JLUFZPMVBLdXQ1SW90Umc3S3hIMWFTeVlReWfSAa4BQVVfeXFMT09oU1JLOE5zT1UwM1Rta3dsRWo3b1VOUF9lU2VqZUpPc18wVnNGTnRlczh5a05lTjgtYWF1dTJ2cUJnZ1BVMHB2T201THp1ZmtITjlXN2Q1cFp2UnBKaEFKdXdiOV80cjJpLTB2SGFob2VVbWdsc2pMeHpKREtYekc5X2xxcUxkVGpEU21Pcng2RU9yS1BWTzFQS3V0NUlvdFJnN0t4SDFhU3lZUXln?oc=5", "source": "newsdrum.in", "published": "2026-09-29 04:21", "score": 0.128, "label": "Neutral"}, {"symbol": "MARKET", "title": "Why is market falling today? Sensex slumps 700 points, Nifty below 22,600. 8 key factors rattling D-Street", "link": "https://news.google.com/rss/articles/CBMihwJBVV95cUxPSUtnaHFiYjg4Q204R0luSEhzcmdiaE4ycm9QNW93XzVKMGFOVlpkLUhhbXJDeXhqWWVTWW9FTGw3N2ExV1JFaTg0YjJhV0FrMUQ0Q2lOY3RtekpOUHpHWGJsU2tJTWhzSWdrU1pxNWpaZDVCclRGWWJrSi1HX2k2WmdEREJtd0RBeUdBSlNqekVYTHVqZnBNT2s2UDhYYXBBNmh3cE9kN29vbFlvRjU1OFVaemROVDFEMTgtbnRDVE5HeGRRSUkzY1ZScTlhM1ZqTVBSRThJXzhTb1QwX0R3YnR0b2twZEtsYmJJWHAwTzE2MFR1eWlsUDhNMHpvOW1BeG1pOE92NNIBjAJBVV95cUxOQTI5THdETFZZTFQwUFpsMktSVFhjeDZZWjhqcWdldDVwa2YzOXEtRzBrMWp4UW1QU3dqSzlqeGR5UGJpYUo4MXJMVndFdHpVd1MwOF9vWEFjQ0haZEwzNHB0RWZBRDVCdFZWUmhKdnM1bHRLbkp6cHNTUC1hNVIxdGRlVEtsczRRSXZtVlhyYWpQTUVXelJyeHFOZkREMUx3dnQxTXhCdFd3RGdraUd5NGFUU3NCM2hQY0tLaEU1Ym14WDM4UmZNdFppUWVNYWJtY2c4VjhFRTd0Zm4zczBtSGxJcXBPM2FCVXI1akRfU1VGWWd5UmlGV3Z4dkZHc0hjU0VsZ2p0Ny0wUndQ?oc=5", "source": "The Economic Times", "published": "2026-09-29 04:14", "score": -0.273, "label": "Negative"}, {"symbol": "MARKET", "title": "Sensex settles 250 pts lower, Nifty ends below 22,750: Surging crude prices among key factors behind...", "link": "https://news.google.com/rss/articles/CBMi9gFBVV95cUxQYUFDem9SaEJWdjhyclFJQ0NyNENLejUtdThtMHpzZlREc1dxWVNucG95Mnc5QjE4WGNZc1dMRnFUZkxmanN1T1FmTEw0ZUE4bDhCQ2lXeFU1X2FlVERFS3BEcEVncG5Ya3BGQlRrQmI1WHJkRUcya1F6bV9XU0tvaXZGXzVwN0tEMGFONklKRTV5MVc0bkN4UUYySm50SmZGZms2UHptNTVPMDZnTlJvXzNFNEUxcWRKbTlTZlNLT29rcHBWaWd6RGZLTVV0NjNJSG1kTXBpSW1SZjRJcWRCb3FhWURJTFc3ck45WURndnRTZjNTYlHSAfsBQVVfeXFMTXItZGlfbXJYZnI0OFZ2V0c1VnNhMFB6Z0Y3ZjFrckJPTVZLajJBaXRmS2JjNnJyR1RfMXNoTy1ZQUViZk9tay1yQl8tbDVIQU5TSDJBdF8za3FjMGVZbWZZcV9NdDdILV9MZTFybHRtNlpDeFlPdVh4cmd5d01McXlQVEN1N1M2VlB4ZnJFdERpbUtJX3FlMXJlQmdzcDFnekRROExiRk9RTFBncFpwbzJQanZGZThMZWx5UWlIM2g0cVY0d0tLTi1kWnU1WW8xMHBNQU1qc01GcGl2ZXRHLVN6SXk5djFxZ0J6akJVSF9MZ2RVY3BYYUtoVGM?oc=5", "source": "Moneycontrol.com", "published": "2026-09-29 04:02", "score": -0.421, "label": "Negative"},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"Sensex, Nifty opening: Will stock market crash or open higher today?", "link": "https://news.google.com/rss/articles/CBMi6gFBVV95cUxOUDZsU21wOWJFXzhjakg3OUQxaHREd05uWF95VTJlS05aOXQ0Vjdqam9UcjAycERGamJKcVdrYVJ6WEt4QUhHeWJaaVlJY09vQWxqUU5FVFVjcVBheEhubUkwMWdfSV8wSFNxOXpGWWN5WGwtZHk5VjlwTGw5TEVUdmNDUk4tMmZTdVlwOVpwX1IwaEVnNjNSeW9abHNFUThiS2I1RG13YS1pVjRWYkduWXk2YXh1STNNWUdEUWpKZXpVMUs0Sm9aOUs1Vm5vWFFiLWR0TmNTNmx1bXlkd2h4b2JocnN0RkpqRUHSAe8BQVVfeXFMT0JkeUl1MmI5TEZGbmM2bGFKWnl3LWdpQk8xVlVnNXhhbHg0VTI4WUUybUxNRjdKZHBVem5GbWVqZWZsSzhacWNOa3NpaUQwa0tQV0pMSGg1cDJVRGJHNVl1UWF3YjllaDJ5WnU4NjA0dFVTRkprekFzTHBGYlkyb1VmZXd2czlibnoyRm1Scy0tcGR4TXU0aGVDZjdua3JrcXJDUXRUZENMY0pTc1ZpUEk3UFl2andIckNfZ2tNZlZBXzEtMVF0Y1YwYmhkRTNOVmp2Q0ZMd01jQWR1SVJQMVlJQk5SRVpzbHpveVQyazg?oc=5", "source": "India Today", "published": "2026-09-29 02:57", "score": -0.273, "label": "Negative"},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"Livemint", "published": "2026-09-29 01:19", "score": 0.842, "label": "Positive"}, {"symbol": "MARKET", "title": "Indian stock market crashes, 7.4 lakh crore wiped out: What is driving the fall?", "link": "https://news.google.com/rss/articles/CBMitgFBVV95cUxOZ3ZwWkRNRjJrZ1RQN0tCaXBfTGZORVVIeFJ2d1FmTkJpZ3RFM2ZUNW52alVyTDVSLXNzN0hRWUE0YUZ1NXBJZWEzbWVuV2NDUFRxNmRmWXVSdnkzZ0MtLV9UMm9FeTVaM2VGckptZWt1Wnhpd2F6TmVjcEpXVEJhNXpKWkVFd0NCelczRTBidmMxam1zVjRfM1J0aDVHaVl5MWtkQ1RvS2xXNm9lMTlraE9IQXBqd9IBuwFBVV95cUxQdU1hSjhhcHpRbXBFRmlSLUVvakR5c3ZwYlpORGl2M1hiaEhqa2dDWTVIdHhmY2NsNkVUWFZKT1c4MHROTG1fbEtCYnZnM0VMOHFEXzB5cFotZEtGNHgyVDR6ZkpwM19JM1JaVmlFMElpSUw0OHRMUXNKVUlvSEswOFdQcXlLLVVZZWpDVlE5bHplYkZoNUp4bUVEV2VhaWFVZzNDN1dpRFVUMUROeGtLQ3VlZFJjUDZ5Rmd3?oc=5", "source": "wionews.com", "published": "2026-09-28 19:51", "score": -0.34, "label": "Negative"}, {"symbol": "MARKET", "title": "Nifty falls 1.56% as Brent futures near $108, riskoff mood deepens", "link": "https://news.google.com/rss/articles/CBMiygFBVV95cUxQWkFyUEVEYlc5ejlyTldhYVVvYml2c3N0YTlnSm9yZHEyMDNHUnNKVnRNeGl5NTZ0NkRpZFJJWURHUjdEczROQVpseThQbmlJdGRLa0R2X0Vid1VKM3FncW43TkVIU0hpVE5QY29VMklwNDRQa0FXNHpoRXhWSC1kaFQyVUtzc2RZYk9BMWhpTU5XTHZ4RHRMMU81azFLVFF4THZkTjJ6ZUl5NDNLcWFibmtqOUhjeEJYQW0zY24zT0lhZnMwZElXQXpB0gHPAUFVX3lxTE9jTkdQUlc5aXV2N0dtX0UzYWlfV2ZUSEhCUGp2OHFENzhsWnJQODNmemptdW9oQ2s3Si01ZnV0N3RlazVRS3YxZWJsNDZWZEx1MXdMcFFzZy11MnItN1pWQTdYS284QWJwd2hQZXdxdDc2VkR6emZGZFdsX1pDM1d2Rk1Ka25SVTRXcnAzT3dqekpRQnBKUXBwMGpHZjlQMXBtUi1pUEJac0RYSW9LcnBTUFkwbXoyQ2tDUkN4bEs5UGpoR3NBaldjekJVMFJ4MA?oc=5", "source": "Business Standard", "published": "2026-09-28 17:36", "score": 0.026, "label": "Neutral"}, {"symbol": "MARKET", "title": "Stock market crash takes Sensex to 6-month low; index tanks 5% in a month as investors lose Rs 17 lakh cr", "link": "https://news.google.com/rss/articles/CBMinAJBVV95cUxOOFgyakNMWTlmbmpOdjRVeTdlckZXNks0dmhfc21YME9FaUcxWjRFUG1XdTQwblI3MS1oUFN5eThST252YWpSdkhXbWZQY1V0ZWdVTGI5c2VXNXdFbzI3aUozMDh4RVMxLUxnb0tLX1NYU09yRGxGMWlvaDFlRzQyNkd2eUsxZ1lBTVNnMWI0VkMwejI1a0pWcm91NXFJSUVDZ1VhQ2JESWo2cnpDSHNHbGlhY19Za0pNQ0E3V045bjJMR09ueDZIdkNVUGthN3lRak53QWpiN1B0WkpRb3dRUTNaX1RYVXp0LUMyZG1EUWZPZlNXUGQ0WldOLWF6MFhQalU3YzA4WUttM0x6al9xS0xSVHdOajJJa2lacNIBogJBVV95cUxPanhKS0R3c2ZjbHJ5RlhHMmxmQUVLSFlUTEtBcWFTbS11YlNxdzZqNDVRSHBISmZfblhRcnhPbXVwN0NkclB6ZHNLYUk4bTZQU0x3YUs3NXdrUVE4RzJzY0VQVjZfazRmSmtudW9lNGtqcU1aMU5lMUVVS21lWm5pa2NxWlZxLTEwN0FlNGVJVS1lTzVvV1B6R0lsZGtDOUViTEFycFdFb3FmSm1KTjJZS3dEV3FUMEc4T0FVQXdBTFlCdk9sUlRyMDA5WHA0dmo2Q2lYcTFGTTJqYkI2R1JDLXZkbEdpYTBDU0NWZE1tTmd5SkFBNWxTM24yOERhN0x0SWkwY2RzZmZkRnFqNUJjdER2cFpqYmNBYVNfT2otZks5QQ?oc=5", "source": "The Times of India", "published": "2026-09-28 13:42", "score": -0.896,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"equitymaster.com", "published": "2026-09-28 13:25", "score": 0.652, "label": "Positive"}, {"symbol": "E2E", "title": "E2E Networks appoints Anand Ganapathy as Chief Revenue Officer to accelerate next phase of growth and GTM engine", "link": "https://news.google.com/rss/articles/CBMizAFBVV95cUxQeEMyTGpqalIydEJBcFVFWC12WDdUZVYwbkJPVk1RTGRrWlpwTnlnMWJPMk9TM21CWWxfWkpIRU1QRWNCcVcya2JHbEFRLUZLa0Vwb29SOWt0Q01nbmRfZUhrcDd1M0hsb1pHWWViTnRUNkNYek9KZDVEcUlnemU0SEozeGo0dDQxV3BJSkRlS3JQZU91YWEtUHBERUt1cWZ0T2VZY01yVVlWRlNUR3FpWlJNeFFHYlhiekdoa2htZzlJeWw3b3BhaXFnRy0?oc=5", "source": "hrtoday.in", "published": "2026-09-28 13:16", "score": 0.361,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"Livemint", "published": "2026-09-28 11:48", "score": 0.153, "label": "Neutral"}, {"symbol": "MARKET", "title": "Sensex Today Tanks 1,124 Points | Nifty Below 22,800 | 6 Reasons Why Indian Share Markets Are Falling", "link": "https://news.google.com/rss/articles/CBMi7wFBVV95cUxPX21IU01KT20tUWlfRy1IMWJ2LVBfSXBlOFdWYUZid1ZJdDRncFozNEtSb3NRdnlUTUlOTHFBNkloNjROR2daRV9EQlRObWhYYm1uYkl1dGdDck5yRXM5b1pzU3podGhMc1UybjV6SGNnd2J0dW9xWjRaLWVMWjBLYXlqN2NCRk1fSndYX3lBUU9LUGRBMlg0VnBfYWtJcHhaZlYwVTBxMHBhMWtXY3NhRko4UmUyVDZOUUFVRWN1OWs5RUhyOGxzV0VMWl9sUG11RjdudmdVNHp5M0hFQ3N1aUpoN19LZ19vVmo1MGVBQQ?oc=5", "source": "equitymaster.com", "published": "2026-09-28 10:56", "score": -0.273, "label": "Negative"}, {"symbol": "MARKET", "title": "Sensex Tanks 1,124 Pts to 6-Month Low Amid Crude Surge", "link": "https://news.google.com/rss/articles/CBMirAFBVV95cUxPSmh5R1BHajZwb2tLTkNjdWctZ2g4d1RVU2FVaXdvU2Q4RlYzWmhia2RFWVlCbDBQdUd1NkQ1bWJUbkQtTWQ4Rk9zYkVMTVFKSGZINVFtSkVKMzhRU19ueHF3SUszbkdSOThBNFQwa0lhN1c3LVdJajZqV01uZENnWHV5UzlqbDVfSGpVdm80WlM2STJRQ3RBN2NSc1Fqc1h2amk5aFlyRExGQjh30gGyAUFVX3lxTFBSM1VWX25QMlNMcVR3N1ZFR21rX0JhZy1FVlJ3UFF1cS1PekRTcVhTOEU0Q0VGenl6Ujl1VzUtbEFvaDNiTGVpT0lHakNiQkpOX1lYRktta2stajUxT3NqSmZzRnBzVlUxNUlvdHFlRUJIN2ZKLWJfRjJ4R0ZaZVpOazYtTFlnakVCSWFINDdfcXE4cGJUYmJXcFhWbHhZUHczOHFrb0x2QV9wa0ZtTkJzb2c?oc=5", "source": "Rediff MoneyWiz", "published": "2026-09-28 10:48", "score": -0.7, "label": "Negative"}, {"symbol": "MARKET", "title": "Sensex Falls 1,124 Points, Nifty Slips Below 22,800", "link": "https://news.google.com/rss/articles/CBMixAFBVV95cUxQUkNsYXBaNkxVbEJONXRoU2VUMDhmLVp5MjJ4bm9KZXJpWWp2TV9WQWhkYndIOWJOM3AxbHljM0Z4amc2NmVKS0p1SFk2REJiUVdxT3JEcG9tQ0VPMEJSa0kxNUlOS2dGTHFVN1M0T3JxbThwSkFVMHE2NzVYck1FUDR1bmM2bE1UbGJaZVFmR3hCVDJTbERmTzFnMVBoUlg3dmRkdno3b2lmZTVGNGhQbm9YOGl6SDlBSkt4M1ZoaUlsTkVf?oc=5", "source": "HDFC Sky", "published": "2026-09-28 10:46", "score": -0.318, "label": "Negative"}, {"symbol": "MARKET", "title": "Taking Stock: Sensex sheds 1,124 pts; Nifty ends below 22,800, sinks to 6-month low", "link": 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, "source": "Moneycontrol.com", "published": "2026-09-28 10:26", "score": -0.612, "label": "Negative"}, {"symbol": "MARKET", "title": "Stock market prediction for today: Sensex, Nifty outlook for Tuesday | Kospi, Taiwan cues to watch | 29 Sept 2026", "link": "https://news.google.com/rss/articles/CBMiiwJBVV95cUxPUU44cXhTejNjWEFmX3pOMEQ5YkhwR20yQUs4NGxnNks0d09rWnU2R2pxMWdmOGQ4N2s4Nm41WW9OR1lRRzU5X240Nnp4Zm44NFJ0b1N6a052VjJpXzlmR1VIXzlobHd2OVVJYnV4Q1BfMHNZUmZ0eWNqWUNqMzNGelN0Y3o5ZXRxY3hzby05M094NmZ4aWxpakRnZlZWYlRQMnhvVGRJcGlleVFpMHlNS0VRZllGQTktc1ZUWXM3MldYVkd3THVpOUh1TVVJVDJqd2tiU1N0al9oblNQajFGUDN6RlV6UGRQU2poMTV5dDRtTEVnZ2p4bzFITjQ4SVRoNVV5Z2dZbTFyUDDSAZACQVVfeXFMTl9adnRITUZ1VzVQX29ZOGpxVXpOZ24wcFluN2JGVjFsT056LU10RmMyQ3RnM3pkQlQzSV96TXZVT1ZWdmFNU1VSZmhpMWlCaWNtejhpNWwyZ05CM3c5NjJ0VnE3MUl5R19XWXphSU50eWRpd2RZemRtMzcyZTJMcWpOUUJEZ1BwZGdyXzl6ZW9MbkRoOXZjYWw2X0tURlRyTk13ajNhUXRBbWJpaFhQd2lUd1doVXRMU0VRQVRBTU1rM0xxMFN2alRHRWlWZ3pUUzd5dGJwQTJpdUlDUjJLMjBHNVVOVTJtMFFhdVlJb2dONjJjNzU1Y0p1ZE5Cbk9XcFFRT3ZYNHZaVFY1V1lIVjE?oc=5", "source": "Livemint", "published": "2026-09-28 10:15", "score": 0.402, "label": "Positive"},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"MARKET", "title": "Sensex ends over 1,100 points lower, Nifty below 23,000; Reliance, SBI among top losers", "link": "https://news.google.com/rss/articles/CBMi5wFBVV95cUxNMmZlbEQ0Z0pQZ3FTUXJfQ3E0YkxMTFZlY3pIRjROZTIxeXE3T05xbW1iTUpkV3QwTGlqUnplMUtNZHF0Y0ZzSXBnS1luZG5UZ2h0NkpxNzhPZW52NGUyMjZPaHpveHVHZmpHM21TNmRtS3FldUdGeFRyMEk3MzhLRVkzMWI0RVhKbHFqa2JCUGh3U09IckU2bTEwbkxwenhaSC02X2NVTVBlT0FWN0hPWGFleXdzR1FwZWhBYW1kUmVMdHdha0s2REl2LWxjczAtOTBIQjMtZ3N2SnZHNDdRY3VydlJCM0XSAewBQVVfeXFMUHQ2MUh1aFVLaDBFTVZuR05mVGlpR2V2QVkzMnJFSC1DRXROZDNRSENDMHk2blF4TGR2WllXRk13YlhFRTJJT0UxN1BPbnRBcEpJZWRSc1VTU2tfcWwtNk5vTHZYdjlRZ0FjOG1OYlVuNHFyQjN5MGRicU14eEpadzRkMjVYdmNWbG1Zbmh3ZkJicGV6c3ppMlMtLWhqazd0VkpsVHEwNFlfVFlOTDd0Zjg0OWJLeFBXMGxGWlBzS3Z</t>
        </is>
      </c>
    </row>
    <row r="3">
      <c r="A3" t="inlineStr">
        <is>
          <t>heDYwdDN0UWNXdl9BUGFnTnRMamNnTWJYUVNmRWJWTzJhN0U3YzU0YS1PSDI?oc=5", "source": "India Today", "published": "2026-09-28 10:05", "score": -0.178,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 India", "published": "2026-09-28 08:20", "score": 0.0, "label": "Neutral"}, {"symbol": "MARKET", "title": "Nifty, Sensex: History favours stock market comeback in October; stocks to watch", "link": "https://news.google.com/rss/articles/CBMi3gFBVV95cUxNZE5UeURMRWtrOUFNekVkT0ZOcFI1SkE4Q28tZDc1NkJvbmFaakNlQlBDWkt4RDd6b3FpazN4NjRzWGhMN0RaYXY0U05IVEY3bU1lN3RFaURJSjRUTnF5Y3o3LW1wT3RtSkx5LW5yaWpiemJ2Ym1lYjdtTmpKY2lPWk04aVhiR25wMVl5ME9HSmUtQ3RIaENZTC1pOHpOekZVUVNSSWlFaXl0N2NrS19MeVpJdUxLeEl2blBYSjNseU41V2NjTUxmeklyeTN2Y1B2eWNuQWFTS0FVX2hJNWfSAeMBQVVfeXFMUDhHbWlIakswUl8zYmdMcHhmcVlGQ1V4RkdsdHhqN19JMjZwT0dxMGtVeHBQX2gxZk8yVlFwamlzblJNbUZJZU84N0RRTWk0U1VJRmc4VUZyV2p5NnJLNjRYcExKb3NKWjg2NmlMbUhRVFNDZHdocnNsMl9RVTF3YjBkYzMzaTRqdFAzbE9jX2NKWlZWb3FGOEFPMkktYURRbUZLYTR3SUVTWG84cXo3TzItZGhlOTBoNFhfRTlXSnNfOHJPNVctVEFEcW5WSzg1bHNHR1c4MUoyODVYWnJqV3U2U3c?oc=5", "source": "Business Today", "published": "2026-09-28 08:15", "score": 0.67, "label": "Positive"}, {"symbol": "MARKET", "title": "Sensex, Nifty Tumble as US-Iran Tensions Push Oil Higher", "link": "https://news.google.com/rss/articles/CBMiowFBVV95cUxOci1kRlliVGdLVkdiMUM4b1lqbEFvLUdDV0VITWp3NGlyb2w5N1Rmc2pZUi11cVhmNkxDUlkwZThkS1hOZ0lFaXdmYXJoa3FiT3hfeHhaNkFwdEg2b0V6NHZaZ094cG9RZGQxLTMySlZLX1J6SGRXcU1Sb2RuTng0RzFzc1lZMWNHNjY4b29HdWpzOFRWclh4S1JGUjlGelRRSzlv0gGjAUFVX3lxTE5yLWRGWWJUZ0tWR2IxQzhvWWpsQW8tR0NXRUhNanc0aXJvbDk3VGZzallSLXVxWGY2TENSWTBlOGRLWE5nSUVpd2ZhcmhrcWJPeF94eFo2QXB0SDZvRXo0dlpnT3hwb1FkZDEtMzJKVktfUnpIZFdxTVJvZG5OeDRHMXNzWVkxY0c2Njhvb0d1anM4VFZyWHhLUkZSOUZ6VFFLOW8?oc=5", "source": "Free Press Kashmir", "published": "2026-09-28 08:03", "score": 0.0, "label": "Neutral"}, {"symbol": "MARKET", "title": "Stock Market Crash: Investors Lose Rs 6 lakh Crore; Why Did Sensex, Nifty Plunge?", "link": "https://news.google.com/rss/articles/CBMiygFBVV95cUxQNHU1a2VYbkdKb1k1RENtVm56MHlVeE9EcW1DQWd4ZmRyY0g2b2JqZjkxVENveE5US2JvaWtoanpITFc5NzVFS3hzMWRxcmtPUFJ2a1NBX2xsVDJUWEZrekpKNWVLZzZ6TlRQUnVoVWZWTzZ3Q3VBWTM0WkxqRzVhM0FzWm5kNmtCa3JMUDRENUwyVU1iZDBNd1BMRkpWenlNUHpLTDFScU1rcW0zcnNBM3pWODVoMHV1WlhwNmVSSllWTHVWOW5hRE9B0gHPAUFVX3lxTE00UXRvMWNWTlhGMWphc2xibF9MLUtJQnFQRjR3UG5nbVh4M0NWMVg2MzdockRzaEdnWlpTcEtyM3dGWnRTbnFRQnRKV1JmZk9RdWY2UnpYY1VsWjRBSDVwTk10clJnNHlCSEs0a2g2TFA1alQyYUFWNXIzWDNfeXlOejBhVGJrQTJZRG13cG5XVEdVWExyM2Yyb1owX2pmUDNTWEZsenBGcUlYdWpWZ2NpSXh1dmt4blhQYUptLWFNNnBndk04NXhzdVc2ODNNVQ?oc=5", "source": "ETV Bharat", "published": "2026-09-28 07:56", "score": -0.807, "label": "Negative"}, {"symbol": "MARKET", "title": "Sensex Bloodbath Today: Stock Market Crashes Over 1,000 Pts", "link": "https://news.google.com/rss/articles/CBMimwFBVV95cUxQVWNmQ2tBRmd0NTdUbmZ2YW9kZW1wdDZrMXU4Y0gtTXZPYU9uc3JGRGJXQnhBaEY2YXk2TGhCWlhqZGU5OWs1eDlPOTJMcHp3ek5GUEYtcGQtYUdUVmpTZzVNZGlnS2UxVXhHZE9DcTYxSk9uWkFmaThOdUdzbnpmanpXUF9sSVVReXFLY29VeTg5QUZPNkszSmNGQQ?oc=5", "source": "APAC Media", "published": "2026-09-28 07:44", "score": 0.0, "label": "Neutral"}, {"symbol": "MARKET", "title": "September Slump: SENSEX, NIFTY crash 5% as FII selling and crude oil spike rattle markets", "link": "https://news.google.com/rss/articles/CBMi3gFBVV95cUxONU5xeDQyaGZ0M2JBemJwU0REcWJxYkZWN1hxM2d1VHZBOGh2X3gwR3plbk90RlZMLWtWZV9jek1KR2lsTDB4d09oQlJzRTNadHgyUEY4bHhFbGp6eVhOWDhqLUtQWkpIUldLLU1EbUoyU1VfYmNaOVdqWnJzREo0Mjh3bU5wTTZPN081MmVFY0liRzQzVEtZRWFVMURCaTJZX0twZzRZWVJHVV9KaEl2LUNFZzBpdmt0RFM1OXZoLXVKQmt3WmlDSGR6VHZFMWdiV2dWcklYVWxuTXdFbXc?oc=5", "source": "Upstox", "published": "2026-09-28 07:36", "score": -0.806, "label": "Negative"},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"MARKET", "title": "SENSEX, NIFTY50 plunge, NIFTY Bank drops over 1,000 pts; 5 factors behind Monday\u2019s market crash", "link": "https://news.google.com/rss/articles/CBMi5wFBVV95cUxNeDY4VXlDMWttUXVoM1pMNFhYeks3ZVJpaUI1eDVJZklkME5QbmdzcFpRbFMyT3JYUEV5REM1V1hPSE9JckhRcE5EU0xpOWFfZmtTdVVqM3h2TDdwLWJDWUpMb09XOHdkVURHaUx1Y1BYNW1qbWh2cUpTazhOREdqa0lmMkl5d2pSV0RqSDhUOXlmT2VCWUdxdlZMV0lOeDc4ZFJIWHk1ZXhhbUhjUlpVSmVZNEY2cVpTQUxXdjVpOFJEWDU3RGZOemRCVEJiLUVSMXNhSWE3N25TQVV1eUoxMjJjcHh3YlU?oc=5", "source": "Upstox", "published": "2026-09-28 06:40", "score": -0.595, "label": "Negative"},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"MARKET", "title": "India VIX spikes 14% as oil, geopolitical risks trigger market sell-off", "link": "https://news.google.com/rss/articles/CBMi0gFBVV95cUxQc3R2Z25xanJ3ZVVqYmk4THp6a0pjWnc2UFg5VUNQLUZOaEowZW9WREszOXhBNURRYzh4ZkZNNWJaUmx2TGZjZDBVUUsyQ2VRczJUa0lvNzBLVzFZX1ZhdlV4R1Z4T3pIaWZOdWVvaDcxLXJ0Q1hxQzNaaDBURkRVN3VYT3ZUd3ZjNFNCNzJkZWtnZHgwQ2ViSWxHa1p0TUVlRXpROXVQaTNnbGtHM1dOOHkzUkJtSnBXS0YwU3JEd2J0VmdpQng2bENyOVFfTHhiTXfSAdcBQVVfeXFMUEE2WUJINWNtZDJCUTRSY1RsRHJsWUVSZi16N1F6YjBwVU1keTJZRFpUaE9rZ2FYZ2lKdU1KaldxM1ZFZkRMelphRi0xTnBxRWczdUNlU1FQTExxUE1qSnBzQkxlVGFNZUwwdExoVG91NFlEcHdOOUtJZ0xmZ0wyMnh1QjJrZzVUSWMwX0JYbHNBVVBNNXJLbkx4UG1GdmxKNExxWVdpWFVYUkoxSWRHQWRmTWh0QlNzSTVrMHlRaGVjSFowbUtkdF9GR2FUN0wtaEJWd0t5SWM?oc=5", "source": "Business Standard", "published": "2026-09-28 05:52", "score": -0.273, "label": "Negative"}, {"symbol": "MARKET", "title": "Nifty Sensex drops 1% each as Iran US Conflict and FII Outflows raise concern", "link": "https://news.google.com/rss/articles/CBMiuwFBVV95cUxOZFhpNERkTkx4Z2RRS1k2ejBhN1IyTzR6a2g5MjJ3bkNjeDZlOWRBSmlIek1xQk1GcVIweUZvcVFEcGwwSW90RThvU0J6cng2YVpLV0tZU1dQQlhGZUtieFVuZ3BmWXY5aFFkSlRuR2p2ZW8wZF9TQmZ2RnJoNFV2Q1lMT2JGMkxLUlp3OF81dlkyWHVmQ0xyNVg5R29GVXZkR1NLUkRqTzF2ZXA1cmtlcEptcmJNR3dwRi1R?oc=5", "source": "India Infoline", "published": "2026-09-28 05:42", "score": 0.103, "label": "Neutral"}, {"symbol": "KIRLOSENG", "title": "Kirloskar Oil Engines And 2 Other Indian Nuclear Power Stocks To Watch", "link": "https://news.google.com/rss/articles/CBMi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"simplywall.st", "published": "2026-09-28 05:37", "score": 0.0, "label": "Neutral"},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tanks 730 points amid surging crude oil prices, geopolitical uncertainties", "link": "https://news.google.com/rss/articles/CBMi2gFBVV95cUxNeDRfUkctTnR5c0x3dEhXcmFSWWREQnhLUGMxbmFRT0RpWW1CbkVpN3dkcjJTSUZOd0ZpTjF2M3U5OW1vOEdHS3BKZG03d3BhenZtX21jTEh6VVc4ZC1oazJmSGJCZTBQTVZObmVYeEJFT2ZuaVd4OF9rbWNyUGo1T1ZMZFFtY1Zpd2dSYV94Yk5uS3FRVWFueWpYaTNyVjJVdnVoRzVFaGhvc1pOcmJOb1BWN2I1VXBTTnNNWURYZ18tRXFkZHR3Mks2TEk4X1lMb19NbVU1am5jd9IB4AFBVV95cUxNbVVHcVRveFpQaExzeVVnLXV2bTRTY0dTaTNSWDhoWEdCVkRCZjdZY0I2TElNdWxlb2RYVThZcXFFM1VDQVRxbmRETlVSTGJjX1R0MWpCQTFId3Iwb0hjUXF4bHhoNjNhZlBoeFptZHVHRWdwYTIxd0N4dmZtNHNFRXhvc0h4TVFXNl9ELUhkQ1VXS2FjV19NWWZpeGJTZmc4R0VWZldxNWVlOWlzVGRHX3cwaUd4UjVuMmlDVjlVelA5Umt3dVkwTDlhOEFSWGY5V1k0anMwOFNGbU5ZNmtZUg?oc=5", "source": "The Hindu", "published": "2026-09-28 05:11", "score": -0.852, "label": "Negative"}, {"symbol": "MARKET", "title": "Sensex Today Tanks 903 Points | Nifty Below 22,900 | Bajaj Finance &amp; Kotak Mahindra Top Losers", "link": "https://news.google.com/rss/articles/CBMi5gFBVV95cUxObFRUUjZrRFpjTE1NcXBPb2NicXQtS3RtU0wtNHVjVHV4VHRlWWtMc1RtMzYwbXN2dnl3SVRBcjJxWFphN0hXMm0yZFNFNVduQ2dDdnVweVhTR24xNW5qemFXaTl2dkxsMkFYTlNCbGM1Si1IcmZIN3ZBTmF2ajBCcERjU1RPNXlIRHdlanZ1T0VxWWlWZkZ2eEYyZFBJWUJiSUp6b2gtcEtUQjJMaHNuWHNrRkNYek0tZlRITmkteDFreTNVb2VvcmhWZnJNa3FzTnZiUy1aXzVMMzg0cGNZR3pvMUFRQQ?oc=5", "source": "equitymaster.com", "published": "2026-09-28 04:56", "score": -0.477, "label": "Negative"}, {"symbol": "MARKET", "title": "Stock Markets Today: Sensex, Nifty Tumble Amid Geopolitical Worries, Surging Crude Oil", "link": "https://news.google.com/rss/articles/CBMi5AFBVV95cUxOMEwwTHh2ZHV6TVZtbjNDSEprS000QlNTUjh4X09yNWFTUmpHcW12aERXVXNSOUlSNWVrMlM1eG94ckljVXRpdDUzVHFtWUJ1M1p2TncyUDdBUWItZnppY0dSV2VZQjZiTDNLNzRBYVZnZUpIQzBPQk1BbjNEckUtdUxuU0oxMmRLYmw1cnhOV2FpUkMwNHhqazg4MGs0VTQySklGWTJwUGl5U09GS0t4alJNajVvc2lMdi1nMTJxQkNLeTg1OWUyYWlwbVJoR3F0b2NWU1pOVDFiOVhBZk9Nbk5TQUTSAecBQVVfeXFMTkhYdHl3d2FCU3RHT2JTZzJfcmhZbzNWWFZqMXFObDVBVHNsNnZsX29kak5jdG1BLUowT0REU2xTQWt0RmdoVVg5LXpzSEJobHl0U2hnNUJ6ZDU5MHlIaVVpTG1YeG5VQThDa05fTm1IczQwR3o2TjdQa2NEOVZ6dVZuU1lXN1dEN3dZWTV6ZkgxX0tYWXJNZXJLSU1nYXh2aGtrQTJJQUl1VnRJVGhjbmZpRmp5QnBjcThMTlJrbGFvb2tjUnkyT3B3MXo4VkdEdERQM3hKSmMwWWdoWk9uZGphb0M2a1Q4?oc=5", "source": "rediff.com", "published": "2026-09-28 04:51", "score": -0.586,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 Times",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are Sensex, Nifty falling today as crude climbs above $106? Hindalco down over 2%", "link": "https://news.google.com/rss/articles/CBMiwAFBVV95cUxQQl9VUVpCdDlvWEZ4OXE5V1pabEo4U0RPcVlBRXJuMVBQMzlWQ3Jidkxzc2drSUZPcEhOdG1jRmpqRXE3TDVIdEY5T3hCVXV4Ung2X19yRU1OcE8xUU1FZUwzR3ZTOVBCYWNvc1p1U0x3WF9kazVjV3h5Tk9PbElFSzN1V25BN0xDcU83cGZ1QVRTN2kwZWxjZW9VeFFZZTctcG5PWDdhbERNdzI4ZlZlLWJLYVdxUHZOQUJDWUc0MkbSAcABQVVfeXFMUEJfVVFaQnQ5b1hGeDlxOVdaWmxKOFNET3FZQUVybjFQUDM5VkNyYnZMc3Nna0lGT3BITnRtY0ZqakVxN0w1SHRGOU94QlV1eFJ4Nl9fckVNTnBPMVFNRWVMM0d2UzlQQmFjb3NadVNMd1hfZGs1Y1d4eU5PT2xJRUszdVduQTdMQ3FPN3BmdUFUUzdpMGVsY2VvVXhRWWU3LXBuT1g3YWxETXcyOGZWZS1iS2FXcVB2TkFCQ1lHNDJG?oc=5", "source": "newsdrum.in", "published": "2026-09-28 04:29", "score": 0.0, "label": "Neutral"},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"Livemint", "published": "2026-09-28 04:25", "score": -0.34, "label": "Negative"}, {"symbol": "MARKET", "title": "Sensex crashes over 1,100 points, investors lose Rs 6 lakh crore: Why are markets falling?", "link": "https://news.google.com/rss/articles/CBMi7gFBVV95cUxNNDl1aHc2VHYtR3lHdGJnY2oxdXpXX0tNN29FU0dnYnZTX1hrRWFzOFBzSk5KTWc1RTFJOFdmT3VVMEFmOXNDcXhKbHdBMVUtR0kzclhZVDRLSDRHcnljSTF6UG40ak5SQmMtN2lzRG9QSkRNUzFidmRkSnc2aHRLanVnTURTNU9DcUZXU21kWVhoVUlacHhSa2lYT2tPMUJ6NUxkWjJ1V0xpYndCQU11S2djSjZ4aXpHdHpXRTZpRDlnZFZNNk9PU1hycldaa2w5Ylg1Ull2SXU2SlIwbDVrdG1RZUJaN1JpVjRUT0Jn0gHzAUFVX3lxTFBtcU5GS1BLNVRSQ1BWekxLUmhQaFFhMlZLV3RIcjk3M0RBVkpwU19mcmNLZ3I3UXQxdFY0WHBIMmw3SUtkeTdwN1RFa3RfbzB6bkNGSzJwZWtZN2dDS3E0a04zZEFid2pXVm9xejFDbUpLeG9hWGlfQ2p4NWZtakVWUmxLMEdteDBkVFFLLTlGWHVid2ZNYmh1cHdsS2R6UjFFUzlQNXdUX3VqSlRKY014bU1mcGlxZ2VGbGtxZWlDbHRZTnVZcm55NE5zaE1ra0lUVjlTNTZaQjhQbEJLOV9yWkxSSWwxZ2FacHBnaV85SzhfWQ?oc=5", "source": "India Today", "published": "2026-09-28 04:17", "score": -0.511, "label": "Negative"}, {"symbol": "MARKET", "title": "Mkt crash wipes off \u20b97.4 trn; Sensex down 1,180 pts intraday: 5 key factors",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9IB2gFBVV95cUxNWUItS2dqMFByNUlUcXdPMUdQSHZxX3VTYU1PcEdaWnFaOUo1MnhrQWQ4MTBmaWM2eDY5WURsaFpId1RnLVFJRTdadERxTDVKc0J0UkkwRDM4V0g2WDMtclZ4eEtxY3NCVTV5SV9tQnhEZUR2aHJ4N1Q3VzFLbF9Rb1ZadHN5Vk9tOEE3THlxQVViN0tfZnB1bl9aQU0xRjFZc1dqS3RKVWpLUVM3UkV4aUYzOVNaMDlBbEM3bS0ydnltemJ4TEFOZWt4OHNOcnNNdG5DaE5GVVRHUQ?oc=5", "source": "Business Standard", "published": "2026-09-28 04:11", "score": -0.586, "label": "Negative"}, {"symbol":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 India",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 Times", "published": "2026-09-28 03:48", "score": -0.44, "label": "Negative"}, {"symbol": "MARKET", "title": "Gift Nifty Down 0.52%; Sensex, Nifty Set for Weak Open", "link": "https://news.google.com/rss/articles/CBMisAFBVV95cUxQU1VkYW85T1l4Mzh4SDJFZDBhZC1GczBiSUw3TmdJYUxvTW1TRXpUd3BTOVZwY1FzODlGUkxyNFlXSklFNzBRWUZ4WEpGdUZDWWRIZ21vM05wMHBnQ2N3UTk1VENDZTVYeHJsSEIwUG15RmpnRi0yOUdBaFRTdFg4Rkp6LXBSbzVmQjRQU0V1NXdCdVRmby13QXZqb2Zzb25Fd0FsR18yZW0yZlZBd1VibQ?oc=5", "source": "HDFC Sky", "published": "2026-09-28 03:28", "score": 0.691,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"Reuters", "published": "2026-09-28 02:19", "score": -0.542, "label": "Negative"}, {"symbol": "MARKET", "title": "Stock Market Today: Gift Nifty, FPI Outflows To Oil Prices \u2014 Five Key Factors For Sensex, Nifty 50 On September 28", "link": "https://news.google.com/rss/articles/CBMi9wFBVV95cUxQYTlhOERzdTdrb3FJNkRCaFpyd3p3dGE0QjFQNW5ndE9qQ0VTM3gwOURRS3hlYkxQOXh5UnUzYlVfMmxYZmtkcHVpZUpZZnhsNy05RWRKWi1FdHR2ZWVIa2F3MmxBTjBCeC1rNDBQQzhSYkVKSGdyV2pxa21xcnd3dk82Z2JOU3FMV3pKNzcyQjFreUdPZDlaNWh5WGVLUE1OSzV1VE9Qc3k1el9pOFdKYzBKVEMyRmZRMU9icTFpZTdQOFB5UEFCLXEybjl4MFFJam9tMFV4aXV5cjQ5bWR1Mnh3SUdXYzhtVUk5VU1uQWlMTHFwdlhr0gH_AUFVX3lxTE9yT1pHVWp1N19wOTVOLWdVWEloQV9BS0lKeDhwaWcwTGNqSnpxUVFIRkg3Y05tRUc4MUNDOF9CVm1EZjYzdnlsX0UwVkRDaEVKQ1ZNcVJteXhQQnpjR2JsMGh0QkhNcmt2eUxOdlRxTjVaMlFZWGtVSkU3Z2xfU1BLNjRrYzZ5eFE2V202Y2RKaVV4LXdqb2FNZHVDYlM5WmFyNWVSWnRKVDNab2h5VUhBaDlmbUVJWFNiOU9qYUNrVTJybWpyZkY3OHBiRUl0MTNBRjBNQ0lfYjljbkFCUE5oS3hDaEVILXd1TDNDRFVaOVR0enZ3VzBZZkJzQktabw?oc=5", "source": "NDTV Profit", "published": "2026-09-28 01:58", "score": 0.807, "label": "Positive"},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"equitymaster.com",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"Ahead of Market: 10 things that will decide stock market action on Monday", "link": "https://news.google.com/rss/articles/CBMi3wFBVV95cUxOOHlGS3FhbzhQTUM5VG9rOXZjZXBTZ2Q2X1VJWjVOZXVEM1hET3BtSktCcmlhLXpIX3JUeWtBWlRNX1l4dWk0aGJiNFRuRVlzaDhfVUpzeF9jNzNUT0VpcFVSZWlGNkR5Mm5qeEU4ODR1RUpZcldoc2t3TkFweE8xLTF2YTROOGpkZ3lkWGRFQkpaY0xTRFB1akhkbG01QjZ1eXVBWlpjZHdnMGR2a0ZNODZuQWZ2cThKTG5nb3V1WUxxS3BCRHllVkhKM1hQTWVpQzd2WFU2b2x5TEdYcG5N0gHkAUFVX3lxTE9uUFVOSFVOazh5cm5jb1RDcVU5YzMwUjBJTV9yR1JmeHhaeTB1WmNIUS1faENuVTFJZEVxSEpheGpGcGMycjEwenhnekROSnR5OVI5V1l0TkJsTHp0V0g3MkF1TzNpMmZCUm54dXFiS3lJVWhGTkRnMklIT1pucDc1U0hrSkFoN1dkci1UM1UwVDdoNXNiZFNPWU9iUk1kSTV0RFBTTVl1UkJxc0t4OUIzcXRWWUJMbXcyZF9zZXp0c0ZEcUdBeXFKTFdxbzJWSzl6ZUFZTHI1aDZtdWFOOWhBbUQzbQ?oc=5", "source": "The Economic Times", "published": "2026-09-27 11:03", "score": 0.0, "label": "Neutral"}, {"symbol": "MARKET", "title": "Stock market prediction: Experts see more pain ahead but see bottom in Oct 2026 amid Nifty, Sensex poor show \u2014 3 reasons", "link": "https://news.google.com/rss/articles/CBMilAJBVV95cUxNekdIczJ6NEZleldrYUtRZ0pEMFlMaHFDcWdFeVVhVnJROWRBWTVFeURzYXM3NVY2eTUtZmNMOVg2VVF6eUZOZFpzcTd5S2ZqUmVJYkRaYnd2RF8xZjlDakRzUWFvaTlVb2REeWo4WUF2aTIxZUVncDVzY2o0Tmp3bVR5TmpRQmFSMDZzSTB1MFBCSWh5RmJ2b1d5QTNDdHlSN1hVcEJqUHdlOHZ3VENMVm8yWDMwV3N2M0phaDNFZzZGdE41OWVxbkdjU0tDNnFnTnM5Y2phV1pIYWN1RF9DNDhtd2JBd0I4WHRlMGFvZUtHdXNlWHJVYnN6eTFwVjVhODVsYW04ck9LRnJhb3NzT</t>
        </is>
      </c>
    </row>
    <row r="4">
      <c r="A4" t="inlineStr">
        <is>
          <t>jEzVnfSAZoCQVVfeXFMUEV5VVRyZjl4LW9fV21rY0Y1SkJyYmluZTZHZlpld0cyakhLcHhKTXBNR1kwU0RET0VZeW1Ea2liT2JzSkNGenlOSzlkdVZwejU2X2FJVHFOUHZwRnM5YjRGUzJDM0VaMVlVR2M3N3FwZW83b3pBcnRwQjFTSy1UVVpDUWEwYTVDSmF0eExBWkdOQml5Zkp5aWtqU0hqNlloT2V0XzRPVml6dXV2WW5MVXlSMXZFYkQwMGNqZTBXNjBWTFVkd3pUblpDdHZ2RjlXRGlreDhvWXNnMV9KVGFySDFFNFBzUkpZUEh3OVFRVmFfSU1oU3V2bV9Pdm5hR21UWXBLYW9TUElFRExLRGdPTmJXQ2tSMjlFRV93?oc=5", "source": "Livemint", "published": "2026-09-27 09:48", "score": -0.44, "label": "Negative"},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"simplywall.st", "published": "2026-09-26 22:56", "score": 0.0, "label": "Neutral"}, {"symbol": "MARKET", "title": "\ud83d\udea6 Indian Markets Stuck In A Jam! But who's responsible for the traffic? \ud83e\udd14 A Bernstein note argues that India\u2019s large caps are stuck in a bygone economic era. But here's the BIG question: \ud83c\uddee\ud83c\uddf3 Is The Market\u2019s Fate Really In India\u2019s Hands? \ud83c\udf0d Or are global cues pul", "link": "https://news.google.com/rss/articles/CBMirwFBVV95cUxORUdYckd5Y2pPQUg1MHZTaHlTT1ZXWTdmTGxwSWlMcE9NQm1vNE15dk9qS25VanFnTzk3c0FHTEpwaGcxXzhmekh2dUNLM2s5Zy1USHBjMHRfakhvYndNanZrV19NZVFMY1hjOHZsektLSVZoS2tTNkdzMEJTeExiS3ZVbDVRWTNWVjZ3MWVmSzhnZDVvT2d2YnEwZGJLRUp3QXhxTDVfSUc5TTdvTXIw?oc=5", "source": "LinkedIn", "published": "2026-09-26 13:51", "score": -0.625, "label": "Negative"}, {"symbol": "MARKET", "title": "Share Market News: Nifty 50 Outlook &amp; Prediction", "link": "https://news.google.com/rss/articles/CBMimgFBVV95cUxOYVJvTS1CRXVsT2ZzNUhBV0piRVV1UnZTeDVEcDJmRElmWHB5WkZsM2s5YzlYaXJuVU9vVjQ2dE5XVk93WTVVLUx2d19wRm9lc2YzWW9xX0F1YWJCTUJtMURwVzRxbC1vUlNDWEpLRUZibzdnbVdjdEJUeThfeHZLSXpwTktCQnlMM0tTNUhwWmplMHJKb2ptYmVn?oc=5", "source": "Liquide Blog", "published": "2026-09-26 12:11", "score": 0.402, "label": "Positive"}, {"symbol": "MARKET", "title": "Weekly Review| Indian markets under pressure: Oil, outflows and global yields extend the seven-week slide", "link": "https://news.google.com/rss/articles/CBMi7AFBVV95cUxPbm8wM0RSWWRXc1Bzc3daeEpaNnFwZW55Y1FBT19TQUdxYXdrZ2FJeDJGd1EwQk9BbFJTZ2xKNV9Gd1BadEFlZExtZWlxdUZEZHh1RkRIU1lMNEJVR3hkZ2VKWnNGWUVLa1Fha29hcWcyNVR6dEdydjluNGxlN1YybHFabnUzRWdzMTFSWThkNWRRX0NXQ055dWl2dXN3cGw2RUJxSHAyTTFWMnNOeXZ4S0xGQXFjRmhub1lHeVQyRUhUdEpFSGEwM2U1MEFnbExtV1JPRUVNRmV2dUNfZ1BiblROc2IzLVNPclpNRtIB-gFBVV95cUxOT2FRblV0ZG5vNUh2QTZGeldJa2FuRF8xSmRWYUQ4a1NLblFyUmtJNTRCdHB3NENTZUZhdi1Ha1g4aTV6cy1POUl0Njl3bzZNdE1ZRk43bWQwRXZvNGxncTdBaWg3cDNUMHcyRVp3d2ZKRmljNXZwQktjUTZnV3NpWldYMmNoV0ZJSjZONVJjNEQ3d2ZLWXlVREFsd1VFbFdob0xydFJ5dHpFdGIzeERrQU5kcXBubmVLd2RZODE2Skd0Yk92bFNnWG1qUjNnZWRSR2YwaWIxLU91ZHBzTlJVb0twSW5pUnYxb3E1WEJFTWdmQ0tzeVhaZjRR?oc=5", "source": "The New Indian Express", "published": "2026-09-26 09:15", "score": -0.128,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 India",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"KIRLOSENG", "title": "Kirloskar Oil Engines And 2 Indian Nuclear Stocks To Watch", "link": "https://news.google.com/rss/articles/CBMi5wFBVV95cUxOTXpFTDNOdlg4R1lYS1FPU2VpM05pUUVGSHBvdWxqLXJ4SFpPTXZ6Q25FVjh0V1lvbnR3ODJsa1Q0ZDJlbWpRZFFiSmw2MUhwVF9lUVVyVWJTQ3lTMkJHNmtHMFNOMmwyRng2TlFUVlM0WGhOdU9KaTh4QWZ4bm81SUlqcEN0dm5FRHZVQ09UdTBIVWxZajM4alAwcjRrUURkMHFPSnNWVndUNjhjcjVUb0ROQVZJTFBCMmU1bFUyNUl5c0YzZDQ0bmVSNXB3Nm9pNUhnaW9RdEJYMU9WZkVqS3FHdGRaTnPSAewBQVVfeXFMTm9mRGRDb0NZSlU0UTM4c19nUEJhMERMSFc2ZlY4Ul96bUdPUFBlSEZQZ3c0NnFXX250RkQybjhjQkxoSVc2OGNlTnNoOWcweUdOVjlzdS1sZjZvUkM1T3FKWkxTSFczOHVHQ3pMbWlJbGxDX2Itd29DZU5iTzF1ZGlpSEk2dkNaZE0tNXA0Sms5SDdsZ3VuNjhQTGxYc0lYemowWmJzbFE2VUJjb0drM1NYNktGWTBieGFoOFJEbU05ekZtODl1UGsyM1UxbF9idTdCRlppbW05c1RYZXhVaFd3eXc0NU5PN3RGeWM?oc=5", "source": "simplywall.st", "published": "2026-09-25 14:34", "score": 0.0, "label": "Neutral"}, {"symbol": "E2E", "title": "PERSISTENT Stock Price and Chart \u2014 NSE:PERSISTENT", "link": "https://news.google.com/rss/articles/CBMiYEFVX3lxTE01VG4tR1ZHRnF6bF9CZzh6bHlySkh2MFd6bGJKUVhycUhNQkh2R2syeXEzOG9tLVpSTmNrcUEtOUVWZm45QUE1ZTB1VXFYSEc0LUI0akZJc3NQTDE5SHh0cg?oc=5", "source": "TradingView", "published": "2026-09-25 14:31", "score": 0.0, "label": "Neutral"},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"Positive"}, {"symbol": "MARKET", "title": "India shares log longest weekly losing run since 2020 as oil prices bite", "link": "https://news.google.com/rss/articles/CBMiwAFBVV95cUxPRDlIOXFjNzhyRGVteU5DNTJCdVlRNUZEY3VObFdZNDI1MDU2SUo0NEM1N1JDTHpDMTk0YU9OM2V1eXRla1VaanBsTTlUM1lWR3VYU0g1eG5pM21hNzFWQTdabWphemRRMlc1U09MdWxVRVNLUWxjd3pIODVuY2UtcFE0dEhPTUM2MU1pbHNOQ1NnOUQtME1TTDJjSzJzOGljZTRmN0NBZ2Q0S1VodGZaSXFxZU1VTGNnanc3a0o0anM?oc=5", "source": "Reuters", "published": "2026-09-25 12:52", "score": -0.382, "label": "Negative"}, {"symbol": "THANGAMAYL", "title": "Thangamayil Jewellery Share: Bull Case vs Bear Case for 2026", "link": "https://news.google.com/rss/articles/CBMihwFBVV95cUxQbV84TnZBcDlZcGRjQ2YxN1Z3eC1lNHdhNTN1ZENIRnZsR21zVVQyQUFmNnpKbmQ1VWl6SEpGNi1XX01ZcXZuM09QZklRNUh3YTZwd1RJNDRpM01BRUJfS0VJSXRGVy12UllLVU5jZnd4UWMyQjlkZHJPRGsxX2RQZnY2c3RRRE0?oc=5", "source": "Univest", "published": "2026-09-25 12:22", "score": 0.0, "label": "Neutral"}, {"symbol": "MARKET", "title": "Two years ago Sensex hit lifetime high: What went wrong after that &amp; what\u2019s the road ahead?", "link": "https://news.google.com/rss/articles/CBMiggJBVV95cUxPNjg3MGJpYWo0SHZZNlZLX09hOHJTTU1CZm9FYzZTejdsbWl1bmZfY2t4SVEyNTFLM01ZcVZueHJhZlVtRC1zdWo5ZXZaRkhWOUtJc193NnZOZVhXUDcxcWpzcXQ0eHlmdG1TWEQ1R3NfaElGZjc3eldBcmtIbmphT3F4VFZoMWFwOFZQZ1ctWjAzRlZNTlZOOVVrVFVGcVJkSHo2WVBleXNYWi1VU3VaMk1teVJnVGgtN3BKdXY4U1cwTXYyUXJ6Q21YWmhZbTI5QkdCUG5xaDdyUVFvMi13SGVteFl5a2lSNUhYSTN1ZFo2Vkk1X2lURTB4QXpmc253Zmc?oc=5", "source": "The Times of India", "published": "2026-09-25 11:56", "score": -0.44, "label": "Negative"}, {"symbol": "RRKABEL", "title": "RR Kabel enters optical fibre cable segment with \u20b977 crore U M Cables acquisition", "link": "https://news.google.com/rss/articles/CBMi4AFBVV95cUxQVHNrRVg1VDRadktqWU9TVnUtdlV0UGx2YVN1Wk9maFBKZkl6NXN1dEhmSGxFNVVaejRWQy05czFfT2twSjJxX1lDR2x5QTZycklWVWJBTDNGZ2lWYWFGYUN2dHUtRnEwUGxsVmw5UmhRandzdHdDUHZMUGZNbnhsUVdmbWJ5VTZ1NnlDdTM4UVJJNWlDU3QxRDJfeUZyMWF1Rl9fWmUyWmdyUHZpVXNRT0lkVjVUaHZpX25Na0RVa1lHRFh1ZFlQOUlhVUFJbmVLamVsdHZHVkt6bWJrRXY5UdIB5gFBVV95cUxONTd5ZUl2WG5FUzRqVGsyNGNWcHpEN0ItSkJvV2wweHhrVENsb1NFa3ppbm92bUFGdERMZWlva1YyMEl0dDYxcXg3clQwZ0xKRk1OY0c0cjZOYWFmamVwdnNsTm51TTIwV2lhNnFNX1pfS29Od0xQZXpWNWdFd1k5Y1Fmc2ZKRWJtRGlJUDdBM3NUS0RSMWJtdDlVaGM0NzVuZFZvTktxelNrd29GOFo2SjU5ZU1HR2VWUHZaUTBVa0l3TjZVOGZaWDZUTzRTSW52VnIyNThJb3p6b3lPU3RualRINlVGZw?oc=5", "source": "CNBC TV18", "published": "2026-09-25 11:42", "score": 0.0, "label": "Neutral"}, {"symbol": "MARKET", "title": "Value Buying Drives Indian Stock Market Rebound; Sensex Climbs 315 Points", "link": "https://news.google.com/rss/articles/CBMi0AFBVV95cUxPMGh4UXhKOTVzdW1BeE5LNGFFR2Jwbzd3T3ZvV0NTYU4wekJVZmE1U0FuZ3FsTXlTakZ1Y09lZTFJRXVIOVl2Z1R2ZmJsUUFHaEZXREJUZEtCdFNjWjRKWHhZWDNBMGpMOTJnZHhIa3ZLdHpvQ0tmMEdOTy1BN1hBcm5WcFZpYUdVZmdXZkVFYUkwdnA1VFhQWlNDc2xGNzY1eGlPdjhvZGR2MlRYbnVoTVFjakVVeTd5SWxEbnc2RjlxcHdkcTRYb2tDaXhocjVD0gHTAUFVX3lxTFBiSHlyQWowSl9jdW9fNEZsWnBKV0VjVkFTcV9kNkNoNDQxUHhiZHZiREtiMjkzMGplU19TNjNqVXlVTFRTd1kzeTBwSlFCS2VDdEt2VmlOb1ZvY3ZhMW11aFZWd3Y0bWxUWUQ5WmhGN21xeE9XcnNHWUpvQ05iRER2R1NoaXIwMDJ2dm84a2NpRzRVZ1N5NWk4Tk9XOGxKb0R3aHZlNFdfTzU2MFBMQjBBeEFVSUV5cDQ5eTVWSWgwRGY2dGs3X1BoWDdQQWRhUzJiRXM?oc=5", "source": "rediff.com", "published": "2026-09-25 11:22", "score": 0.612, "label": "Positive"}, {"symbol": "MARKET", "title": "Sensex Today Ends 315 Points Higher | Nifty Above 23,100 | Whirlpool of India Up 6%", "link": "https://news.google.com/rss/articles/CBMi1wFBVV95cUxPbUR3cDZZTmx0T0FjVGdkU0ZOV21PRUFzdFNkR1FaT2hqcFQyZkVxS0ZKSVEydXF6OGlMbnUtakExc2NhTGI0WkE3NXVYYlpnR1NBV2l5SUxWUFhXX0VtemF1WG1pdUU3TnoyLVJCb3ZxM2ZrdjUzRW1wZFJ3M01WQmtaYnFWbUZxR1NGQ2Fwd2dJRTM1QndDMnlobXFVbjAtUnVscXUyZUtyMVZIaEdmSE9MQlFSTkpkYXhvQlBicjJTRjJ6V2VIRnM4RFNCSDNWVmFudGZNTQ?oc=5", "source": "equitymaster.com", "published": "2026-09-25 11:03", "score": 0.402, "label": "Positive"}, {"symbol": "MARKET", "title": "Sensex, Nifty Rebound on Value Buying After Sharp Losses", "link": "https://news.google.com/rss/articles/CBMiqwFBVV95cUxOSjR4N2QtaTVfdUc1bkpKY0JWcFZ6RzdlM21SN2M0eXNfT2hQVWt1eXZxYmlmUFVBSGhRdmxTalRGYlIyV3J2M2lmZk05WUpVcDQ3bk1IeFh5aTN5Mm1nVXFZOUJCenlPRzR6VVAtaW0zcjZMQno2QTh0MklYUFhvZW1Pa1JvRDNCS2JIa3U5Qk1SMjJRTm5zZjE4NGFIVlVFOHpwVWJHTlBtaGfSAbABQVVfeXFMTzMwT3V5UkdaUUpqeTRFOHBwOXhrSFdVNjV6QXlZc1lzN1AwUzU0RFNxYl9aWGdQSS10S1d4dnRZNlhQNjZzMW1hTmhBaFoxMmFIaWNIdjdDblFCanNIUjJXMHR2SEJyUnVUb1J4X2ZoS2FVLWh4N0tnZGJ0RGc4aXpPNnQxLXFrR3J1Z3FGczZjM181U3FTbnVySUducS1VNGUyaVByUVNyanFPdHRHSVQ?oc=5", "source": "Rediff MoneyWiz", "published": "2026-09-25 10:48", "score": 0.318, "label": "Positive"},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"2026-09-25 10:31", "score": 0.572, "label": "Positive"}, {"symbol": "MARKET", "title": "Sensex, Nifty Today: Indian Markets Recover After Heavy Thursday Losses", "link": "https://news.google.com/rss/articles/CBMie0FVX3lxTE5hVC1JSXRqcHpiOC1BcW9STzVMX1E1Y2FuZThSci15UVN4VVBkU0syaVFzU01NaXVDZ21QSS03M0h2N0JoZFFOV1lZVlZna1YtRzRHdi03OHRLS3B0OGdGbzRKX01uc3BVbzZwTXVmVkFoMXU5Nk04aGhYZw?oc=5", "source": "APAC Media", "published": "2026-09-25 10:31", "score": -0.026,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"2026-09-25 07:00", "score": 0.0, "label": "Neutral"}, {"symbol": "E2E", "title": "Nifty Chemicals (NFTCHEMIC) Share Price", "link": "https://news.google.com/rss/articles/CBMihwFBVV95cUxPYURIakNOVnRybktpTUJSR0ZBR1Vla0tUNHQzQmY4clE5d0o4Q1pZM3BtaGhTcjk4UWtuR2tXbmJ1S3kxOGZ4SVhYSURHRkRCN3NwUUxzaDJ0dUZZWWZ0aWhlQkZtclZ6U0hIbTNJTlpNQk9Sblp6WW1WUTVyb3ZRRHJlV1BoUUE?oc=5", "source": "Business Today", "published": "2026-09-25 07:00", "score": 0.402, "label": "Positive"}, {"symbol": "DIACABS", "title": "Diamond Power Infrastructure (DIACABS-BE) Share Price Falls 3.54% Today", "link": "https://news.google.com/rss/articles/CBMilgFBVV95cUxOSmhSUlhBeGVjR0VmV1paYzdJdDlLd045M2hLX1dPc0NQdkJXUmR5dUNCNGNYeGxBNnlrTVNtMkQya1JiamhQQTNfbU8zdmxndzB4TWlmSndSdmpzZ3RGU0VickFfeDg2U0x0ZmFkMWtxMndNU3FkdmMyTTE3R20wdnNpdUJoN1RNdlFKbXJHNXlqMU9KUUE?oc=5", "source": "Univest", "published": "2026-09-25 06:49", "score": -0.052, "label": "Neutral"}, {"symbol": "RRKABEL", "title": "Usha Martin sells optical fibre manufacturing business to R R Kabel for Rs 77 crore", "link": "https://news.google.com/rss/articles/CBMi-AFBVV95cUxNU2lpQ2pNTWhOZFRyMzhsc25Pd1Z2VjI5SkFZa2d3VDhmQVNmT2JuNjBoNWczYU5QaDZZLVhRdVc5WkNZR3RzcGhTN3JpdEJRcWllYlNWQjd3aDBwM0Z3RnNVeG45SUllbmQzX3RtTlZVVmFyRllRTHZwcmZVcFpybi16QVlYeEZoU1Q4Z3o4ZXMxekZ4UWdWYjV1b1Njc3g0dVJlVk5sbEFmRkp5VFNvb1BXeU40RFhHZV9jOXdhU2tIeXV1Sk5mYTdUaHVRamxZTHlqbkwtLVA4MW93SDVJbk5HT0hrbVYwdEZJQVJfSDJSanFzQl9lZtIB_gFBVV95cUxQZ3hlSUszOFFSZW8zSkdBSm0wY3ZNblIxRS1HRnBLVG91VVZ4blFjb2xzakhtMjNBblRzU09WR2NZeWdGT0x3ZHBiSkNKNkJoTmFGanNzX3owUE5sb0szNFhhVEpjV1I3NVFKMGU4VnRCTFBON0doMmhmUUtnZDVYTWpiNV9CZWdkZnlEWXdZVlpBRFRCdUNLVU4xQjJ2dHdJM21Va21pbGppWDBGUkpYbi1VTjVVTEEwM0Jza3ZzbEFHQnFybUJJTUVTc3lsbVNVbF93VzdqV3BWdHR6THZEYXpBeGRZbHZ5Z1hUOUFWeDVJWTRFS3htSFB0N2Jadw?oc=5", "source": "Business Standard", "published": "2026-09-25 06:34", "score": 0.0, "label": "Neutral"}, {"symbol": "MARKET", "title": "Decoded: Sensex lost nearly 3300 points, Nifty dip 1000 since announcement of blockbuster GDP of India | Top 3 reasons", "link": "https://news.google.com/rss/articles/CBMikgJBVV95cUxQTE9BdERYOTF4QjNsVFdOSUVsVjdickVLMkJHYld6YmRCdm5PRGloTnh2OHk5VmRRQjJiTDMyTUZNalZMQXk5eGt2OHd6RmllbVhWbUpEQjhnOVJvbmtVU2w2aEs1cTd4WWljRTkyc2dmT01xZVRnb3k2TGlvS0lCT3NVcS1yclo1TERWQWszM2l1dzhDdnBoSUpOVTRQNW10RFd6ODFidlM5QWttRnkyX1RWaWhWS3RzWURldTM4MDctTWR3d2ZWSWh1a2FJX29lV3Z5NnkxWUhVYzRzZmw3NGI0V1Q0R1o3TTVVZUl3REw4TFBtNTdUZVA3Q1VxanRQYVF5Yk8xc0g1YkVUZm1mTzFR0gGXAkFVX3lxTE9HLTI5ZmFma1R5UUFlREE1U052c1BXWndUTkY4ZlpnQi1hVGs0MFNNTS1SZU1qeUM3cXduelRYbzM2WENOQXNDVUprdkVfYnJDbE90cE9CQXZ6bUJEZkkxdE9wbW52akpFZTZwWGtQaTFQei14d2hFLWJMT2VpOVotMloyZ0U1UFFLeWZNZ3NzYVozQ0lwbE50S2pJN0REOVpaNWZXX0ZOTFVmZWVkbDI2RFA0OFRtUFZxc2ZEeF83emxxMHN2LVk2M2tNNUpmemRCR2lXeUtwYlVPdHFzNGh6Z1RJVmV2aUgtVkFzajM3R2VtOU9qNlAwY29sN09XSDRRR0FXTF9zVV8tNkY5YVpPbVYyb01icw?oc=5", "source": "Livemint", "published": "2026-09-25 05:52", "score": 0.727, "label": "Positive"}, {"symbol": "MARKET", "title": "NSE shares dip on day 2 of listing, brokerages back long-term growth story", "link": "https://news.google.com/rss/articles/CBMi1wFBVV95cUxNVmN3NGUwRl9DSWI4bV9GWXNDZk5fRV83NEJWVDc3RGVNQkh5ZWktVjdJRnJZcE9aZUxUQ3dyZWZodFFiZzljZmppdTJ1R0lPNUtPTjdLSVdfUXJ6VmNyN1FWVElaV094SGFJMlNOU2drVGlFdUlPSGpld1g4VGpoa0QyS21vUTE5QWViVl9ETWtJdHpKbDNvek9wOHZnR0ZRQTNvNGdPSmVaV1BvRmMyQmtPSWZpZmFwYklWOGpkS2dKdF9DUDg0LUU1QzZDUkhLNHdNR0RRd9IB3AFBVV95cUxPdk8wd0R3RW9FSW1lamlhT2tiT0phLWRyT0R5bDhEUVU2aVRjNVZwMGo0SHlfZVotNHZoTGxCR2ctcGxWNml2UWZCZ1FGOEJZNDRFNElqSUtKY3I4NjUyR1RsTEpZbWI2YkNudU9GRXJURUFfRjZfSlh3VHpsaWJ0VEhRdGhhcHVMVjMxMkg0Q3pEMWY1N0thZm5KTnRINTNwWE54NWNUc1REZFhzN0JCZnVxc0J0RndhMFZxTUJlOFZ0XzhnLUpGWDR2Y3Ftd2dwb2hRalRKSk1lS3M0?oc=5", "source": "Business Standard", "published": "2026-09-25 05:32", "score": 0.361, "label": "Positive"}, {"symbol": "MARKET", "title": "Stock market today: BSE Sensex tumbles in afternoon trade, NSE Nifty50 trades below 23,050", "link": "https://news.google.com/rss/articles/CBMigAJBVV95cUxNS2ZIYlJtSTJ2R0tUd041X2M0a2gyT0hxbktRNi1YSFpNcXlUZlBwcW9FMGl0RkRoUXJpLXFSYmI1SUlJTkFBNTl0dlExYi1LWm0xX1hUVVFqVjhxWlJwd1Mwb29fX1U0VVFhRE01d3IxSTNpNkkzQWY2TkpJSVVKLWtlM1dFWkFnaEFuZ2hCT2RYWktac2dQLUVmemdKeHlMMHYwbEtfaEI2d2w0MEdYVGx4T2R1ZktDV1RWQ2ZfUFBDZGRTWVdmSF92OS1kTnFNUTBXeHlZd3ctMF9wMk9lNHRoVEJTUTVYSV9rR0FvdG5jZVIxdzBJdnNSS1VzbXll0gGGAkFVX3lxTFBZX2J6TDljZ3haMlBoSFNpQWJ3XzE1aVhVTXVUNUkyYUZLY2N5Z1VuV19hbzZNNDhsb2RlTjZWRmpObFNlVFR1RmtRcVM3bXZGODZXUnhJcC11VXVDM2pKWVNfdXRjaENBQUZiRjZwZmZ2SmRmRTE1Nmxac1I4RlVla0U0LVdlNGdKS2RxOHhfRUFTaUtlcDNLTFVjY2JyZzBSWFEwVXR1R25rMjZmRldrRldOazUwRmRjTmhpVUl6Q1ViWFo4bS1GaEpuWkhUelYyd0ZBOGdIM0Fxa0p0U29jZEpnR1NWcGx6TEl6ckt5NUNhS0lTVU1QR043dEZvbC0zNmpHNmc?oc=5", "source": "The Times of India", "published": "2026-09-25 03:51", "score": -0.494, "label": "Negative"}, {"symbol": "LAURUSLABS", "title": "Stocks to BUY, SELL or HOLD Today, Sept 25: Adani Power, NSE, PB Fintech, Laurus Labs and others", "link": "https://news.google.com/rss/articles/CBMi2gFBVV95cUxNSUFqNDJicXN5c19sQXd2WXNJb1BWb2UtNUpOZTI3d2JudFdlNkZmTzVQUzFKM3VXTHJlZGZKUlhCZTR6MUZob0p6Y0hERlZkcDBzYmp6OGJaMTBKRFcySjNlblpkZXNabW1kZFZLRzdkT2N2Wnl0TWtJcU54Skk2MTJMUTVFQmJnbXlzeE9jSDgxRlhQaUd1X0xibGxDWks3Y01hZkViMTdVNVJYZ3RJald5TGVvUW5sMkV2M2dxbXBiWUNDT2ZXV0xONFBVa1lPOWN0aW1ZY3JVZ9IB3wFBVV95cUxQOGJWak1PMG9YdEpvYzc3S1VhNXI1bDBheUl0TVdJMTBCdmJoM2M5NUFhQzdYb0VFM2dsRmZLOER4U3k1eFUwQmg2QTdlRGNYZ3Fod1F3RW52bWVGUU02NlpaUkVhWTBXUXd3SERZblFDR2JVR3ZZZ1FkcTVTcGU2ZWZQUEVaWlFTMmJRWDR5WHVoYWtQejV5YjRjNXQtSHBKOFdaM1Y0UVBTNTZENWU1elFHYTZmVkUzSFkwUkM2TGw4Sno0SU00WXNUMjZUenpEMXdqQ3AxdmFOeE9HNnI4?oc=5", "source": "ET Now", "published": "2026-09-25 02:49", "score": -0.052, "label": "Neutral"}, {"symbol": "RRKABEL", "title": "Trade Spotlight: How should you trade HBL Engineering, Arvind, Inventurus Knowledge Solutions, RR Kabel,...", "link": "https://news.google.com/rss/articles/CBMiqAJBVV95cUxOQ0Z0MUFZM2ViTTdHaHJ5akJLdkNEbEVZeFFsZ25KVmN6UTE1X2xMTmtUckhBOUdZeE5OOHY5blA4WDhVZDVJbjZCeUJVWE5meUM0aWhoY01DRnRBRHJaVURNTWg2SVRPVkJhUjVUb3dkRDVQZ1B5ZzRhS1ZyUVA1NnNXOEJqbWh0TG5EWHAxZXIzcU5nYnIzQ2xZU2RWaHR1dE5KTE1sMUpTQUthdmdLbGpjcXZvY1JsWXNzcHp0b1F3c1I3ZHpmUTdqMUpmbTV3M0JNM3AzWDZETUFsOFpURk9oQlY3UXB2Rjh6cjNobFhYOTI4MXRUN3YxVXYwaXJnTklxOGU3NXNHSjl6c3RndGt4TmluUUROMVhIZ0pWc3hia3F6blRJSNIBrgJBVV95cUxOdWNfS1N2QVhiREVSTXpDajYwUE9RM1VycGxPNmRKaHU2N3N4Y2tiX2tKSlU1NEpYR0Y5Q2xOMFFhV0VRRE83WmNDUXFvUU5LNXFITElxRmNJSEFJT3dDcGNwT3Q5UHYzaFB4NHg4NlpKUXo3bGtOV1lPRllGMXUxdC13N2RoTl85V01LU3o3Yk5Oa2hzWVZxdGoweFJySlZDVXFPY3NFcXJwV0tpdkxOZDhhRXRpU3ZhOEZCMEZ5QWlBUnczdTRuMUxCcXdwb1Vtd3JWS1Q0aUxpbzhhLXh2bmRtZ05Cc2VyVWM2YjVJTzRXd18yNndmaklMQWdsWlEtdEkybzlJRng2WndzbnJWUGF2S0RBNnE2MlRCb1FGSVktd0g2TEdPdGEwMDRYZw?oc=5", "source": "Moneycontrol.com", "published": "2026-09-25 02:06", "score": 0.178, "label": "Neutral"}, {"symbol": "MARKET", "title": "Stock Market Today: Gift Nifty, Bond Yields To Oil Prices \u2014 Five Key Factors That May Drive Sensex, Nifty 50 On September 25", "link": "https://news.google.com/rss/articles/CBMi9gFBVV95cUxOdVk2NWY2YmFvVWRzUDF4anpscG54WjM1SVVVVldRT244LTh1aXVWbXFCWnQyQVZnbmQycU41N3JiV3p5ZTF6VlZMSUI3NUQtR0tsVDF6cS0zdjZiQ3lCM0VhTXFoSEt4aEh2YVF2cXFxY2ZfMkVZSjhuNDZyODRGQUNYRXNpeWdEZzRjd2ZaeThvb3BxdmpBdU1jZVhNWHAyUzR0eGhtTzRHYTVkdTdvYWhRcWhldEkxV3Z2bnZ2SjhqNVYzMWR4MTcxdWc4X0FkNzdjb1VhYUFFNFNOTnVMeGFtUkF5SC1ZRG4wM1Z3VUU1SE5ucnfSAf4BQVVfeXFMTzFDRFpfdFA3RTRhanpJaFljZTc3ams4V2FOMENpZWYtUC1uSEwtYWlNODhZSnhnVXBZUEc5REwtbjFDYkFtSjd3SlBwbHgzblJDQ2pyc2F2aHdwV1NnaTlxU2plcGhYNWg4cWZiZGNObUVPOENwTFRuS0dnbHdTbVNtQTZGUXlGTnVnaEhZYW0xVHhjVnpZdk1qMlQxWFNnRHM4NENlWDFtdFhQODYyNWFRb2haeThMUWdsZk55R1g4YzBWbkFGc2xvX0Q4REwxdHBjb2VidHFmMHNKRnZDXzBrQU5oZmJ5bVFuZ2dIVmhlMGJKNHhhQmFPdlNPVlE?oc=5", "source": "NDTV Profit", "published": "2026-09-25 01:28", "score": 0.807, "label": "Positive"}, {"symbol": "RRKABEL", "title": "R R Kabel executes BTA to acquire U M Cables business for \u20b977 crore", "link": "https://news.google.com/rss/articles/CBMipwFBVV95cUxOekdBdkJnQy1zc05YRUg5aFF1a0lwT04xNl9vZlhFaUhGVE0yeENFRkdPYWp5eW5qNGJPQ1Z5M0tIQWJTMmVBZ2NIcG13ZTFtc3FJaE9hOG1SQVk2UENVdGNWTXktTE10MGNUVmpvNkxodGg4TS1KdHFlZGprNUpZMkRsS2x6OW1LcGtSVnJPQnFvNlpOaHZZbFlnSlZ0MGtEdjdSdzVvSQ?oc=5", "source": "scanx.trade", "published": "2026-09-24 16:21", "score": 0.0, "label": "Neutral"}, {"symbol": "RRKABEL", "title": "Top breakout stocks to buy today: ITC Hotels, RR Kabel, MCX, Texrail, UBL by Sumeet Bagadia | Targets", "link": "https://news.google.com/rss/articles/CBMi-wFBVV95cUxNNDY4RnFxUWdPN3hFd2xaaFZRMERxSGpxN2Z1ZjF1LWVVZXFDUnZlQzFhNDRUYkdVWW14NDRCdXZ2LUQ0YzZpNWVUQmxtTEtHV1UzaUw1eWtXYm53a2JYSzdFQ3Z0clktdUNZY2J2dE9MU2lxM012czJpUDR1R2ZkN2h3QXNIWGkwX3pEM0xNakt5RUt3Y3hrQTZPNW9yUVhDQnRCaUs5RHdjRVM5Z2RMTGc2cG10WS0ycnl6ejY3YWFsYkUyVzJBYVc2UXlvaVNpRkFKZkZmWkE2RzBxcWFMNElnR19nMFN6cmRzRDBteVpQMjlDVHlaVi1VONIBgAJBVV95cUxQbEJYN0g0YUZETXczaUtkbUdMb1c4M2lQaUszdUtyTXZxMVVYWENrRm10czlDRHQ0alpzSjBhRXMwVzVYUUo0djJYXzBQWlM4S3NZZXZtZTM4TS1zd3BVbEtHeExGNHVVcTI1eDN1VWZHTUQwRllLU0VTenctSGtMT09DTFpSSG00UF81R2ZsdGxFMFlGVFB5aTZLWGVvQ3RwWTVVWTV3Rjg0N1RKbTROQjdaVjR0RTRuRUVtLTFUTDgxdUVMOWVhOV81ZEhMbHlxVmh5Qk5NMXNCdXo3anhfSTY1SlNaSi1zSEtvemVYdjY4R2YteVlTRG1qX2wzQXFy?oc=5", "source": "Livemint", "published": "2026-09-24 16:04", "score": 0.7, "label": "Positive"}, {"symbol": "ACUTAAS", "title": "Acutaas Chemicals approves acquisition of step-down subsidiary Enchem Ami Organics", "link": "https://news.google.com/rss/articles/CBMiwAFBVV95cUxORWVLSFhyVy1XclJaTW9wUmtOTF84WGZkclJHbmtIdW5oUXNJS2J2V2xqUjNnVmEzRDJJRko2Y1UzaVVuYnFOUlRyYTFzNFB1dTlvMXp0U3BTRS1rUV9pWXotZG5FX2xZVnI0eHRaWDhlLVZwaThPXzdCNW0tT2ZEMFp1b0FrRFVsNnZSVzVCTTd4MWZEUm9ERnJ5bTJNaGRIYlhYcmRGOE1ub1c0THBORGt4d2h6SnlBWUhFeVdSUDg?oc=5", "source": "scanx.trade", "published": "2026-09-24 14:42", "score": 0.382, "label": "Positive"}, {"symbol": "LAURUSLABS", "title": "Laurus Labs - Allied Blenders among 7 stocks that hit 52-week highs and rallied up to 17% in a month", "link": "https://news.google.com/rss/articles/CBMi_gFBVV95cUxNQnJ1UkZncDJJcTRVNElLd1ZKN1Nnd053YjRobGxJUEdGYUdWS0lvb0dHS2MtemJ3SUppQmZ2c0NERjFpa2szSjhMZG5BcGZiT3NNa191ZHEtaGRCNUYyU3FhMHBnXzFBUkk1d09ZNWFnNXJvZHR2VU5LTWkwMFlWU19xVnZkUkk2aFd1N1FBZm5xVVlEQmx6dVhDcG83MGZveUFrMm9pMWgydUlPMDFZOTB2RFBBT3JPdDRVYmdKTUtzbVBMTDFIbGlzdkhVMklTNi1aeVFHNjNBUU9RclRiSmtXVjRlakw2S2UzVlhlRTZvWWs2RFNoVG0wUkhrZw?oc=5", "source": "The Economic Times", "published": "2026-09-24 13:49", "score": -0.153, "label": "Neutral"}, {"symbol": "E2E", "title": "E2E Networks (NSE:E2E) Appoints Anand Ganapathy as Chief Revenue Officer to Strengthen Leadership Team", "link": "https://news.google.com/rss/articles/CBMi3AFBVV95cUxPSmdZMUhhTERFclM4bzZicU5pWTdPX3lDUFQ3NU5qcU5hNWVHU3Jrem1lS3FuYjhUcXBVOGJFLXVKc3hCSFlvZ0E4QzNJYjQtNGRHNldTU0pyWS00ci1qNUNTNFpXd2lJLTZnRnQzVGNraVBUUGNhSkJzWWRjVVNqWm9Qa004SHQ0bXIwUV9SNm4tLWxtUHl6eHFoZVpPUHQ3UXZxdUxZTHZrdnpYY3JrTHhFTUxuQ24wd1lBR092aDNFV0lPcXJWMkxITnFFZkdNTkJqRzZqeVFIZmYx?oc=5", "source": "Kalkine India", "published": "2026-09-24 13:15", "score": 0.318, "label": "Positive"}, {"symbol": "LAURUSLABS", "title": "3 Indian Export Stocks That Could Benefit From A Weaker Rupee", "link": "https://news.google.com/rss/articles/CBMi8gFBVV95cUxQNUp4b2tjbFlmWklUVm5zT2NJRjVXMm53bE5DNjJvb2ZFd0tFZVRUWHVxbWozaEp4aVBQMGtxZkpfQ3FmYnZtbEppcGtXZ1hYYl9seFIwdlhpczRuUWg0dE05REgyUkRMdXJpaVZDc1BORHVteE1IcHptNnNRbkdTY0NEUTZKZk04cHEwWTlNTno4MjJKU05aVlVOZExfd3plejl1cUxiVXlVbVNibjctMlFyOWx3aEZmYk5VNElFYUM4WENySTZGcmFrWURmdElfRjhyTm4xelJnYWNjVGtmb1I2NmxXZnRPem56RDZ2b24xZ9IB9wFBVV95cUxNVGN5NWZ1TnFTNUt1elFVSE5Tam8xZi0zWVY4Um1SX3UyVE5xNDZPZmpWQ2VWXzBsaW1vcnVzX1NoZXk0aWJjeU5iaXpiT1dTejAwSUt6Z3FhTThnTlhsa1ZFdHpfTG1sNjIzQ3pkZ0duUXY5N3ZqZU1qckxKVlZneVRJVmxjU1VrckJtQWlBNWRsNGdZbnRxX253TU56dE9NdXA0RlRoR0dLS0VDWFQ3VXJILUlrcF9OTU1lVk1sODFsbmVIeG1ROEFLcUlhWmswVzVkUjgwRW85cUNQUXpOcS1VZnBLT2pMSlZ1c3lGQ3MyN0JKeGlB?oc=5", "source": "simplywall.st", "published": "2026-09-24 13:01", "score": 0.026, "label": "Neutral"}, {"symbol": "MARKET", "title": "Stock market prediction for today: Sensex, Nifty outlook for Friday | Kospi, Taiwan cues to watch | 25 Sept 2026", "link": "https://news.google.com/rss/articles/CBMiigJBVV95cUxPTmEwdzJWdUtmS1lTeHJNaEFsLUVRRTNTSU0yMko0SUJCczVmU05rb2tDckFtclNUdEJzbmN4VUw0TUY0aWwtVVlEM19wTF9BZ0xyZmw4Z0ZTam4wMmphemF0SjRoWWZTaXZOOGJES2dTWWc4MXU2djFTZFQ2ZmtnTGgtNFBvMlpVbFJUeGVCQ242RGpic3ViMFl5QmlzbE9ZMFBIQktpRXRkSWhmWVh1WWJYZjRYQ3FkcEJtOTVNUmZseW02bXQ2cDlheEVZWnItWGFrOU5aTmdDVFQ5UDJMUEI5Y2VSREJGSmRGdFY1UGY0cUJTR0FFUDNSc014endZb3U2TUN0dFdXQdIBjwJBVV95cUxPX2xOWkM1Q0VWS2w1cGpsMXpBUFVpZHZOQ05TMTBkY3BMRHUzcjVIeEdpRHBhYXhKNXUxSzRjZkI1RHpXbkRQdlpBUkdPS0JIVG5jcjQ4cGxZUnZndUIwX1VMVWlwU2c3dUZTNHR4VjZrUzg2VXd6UHFaYzdTV2xMRXQyWmFQcFdIMEJUN2pqcFliNW1tRHU2a1VNNnUwekE5ZWRTYTF6Sy1FbnBhNEQ1Zkh3Uno3QTZuTXVRcHVlNm1LVE5oVEJHLWRiMWFUeEo2ams0QU1ocjRRREF3Vkd0dXQ3ZC14cWNLNE5oM3lPMXNKelVjbmxuQjA0dURockhtcDBQS2gweGZ5NERLYVRB?oc=5", "source": "Livemint", "published": "2026-09-24 12:36", "score": 0.402, "label": "Positive"}, {"symbol": "MARKET", "title": "Sensex, Nifty see worst day in weeks: Why was market down today? | Business News", "link": "https://news.google.com/rss/articles/CBMi7AFBVV95cUxNTTMxLVltQWc5MkFQOUFYNlpYUTlLRnVtOWFTM19ETVhBaDduYk9pa3VKY2lIdGNGTkpIbVVKaDNkV2Z1NlBvdUVVeC1JbTNJem02eHlvdHRvMFFkR285ZjlFWk1fbXR2Z29HSnNVVklmYnhpOVlHdUFxeUFuNmtXeTZFY21KcGFraFdXRVBfNWZRLUU3WEhhd0x5OGxkRlRCbXR5T21JNDRpWE8tSU81VGtxUXFqUzl5T2FrS1dXd0s2QkdoTkRlSWJFR2lORk1JOWpnWHhvanB4bEdTaS1aZG1sbTJfUDFManBUNNIB8gFBVV95cUxQaVFGYUROS1ExTmNWWWI1RHNoTGZfWDd4U0hPeGVCdzM4eUtkZXVMaGZSTXp3NDZEcS1POXpFa01KQlNtY3U5QWgtdl9VV2hZY2VzZGp2U1pQbE5sT1JoQkZJeFFqT3VMOENGMjFXM3dRajdZdTVJMVpIWVVubzJhbjNyakljV1BrTl9vVDh1Nnhnd3VqdDJBbThXVDY5ZjBIZXFKZ0ZHUkt6eF81SHJEbEF0YkJnVDQ4clNuSFJONkZRRTkwZWxLaS1QcEVwVmRqQURkTlpSTm14R2Z4bDV0NEhMMzVJdWZ1TzhaRUlweVQ0UQ?oc=5", "source": "Hindustan Times", "published": "2026-09-24 10:57", "score": -0.34, "label": "Negative"}, {"symbol": "TDPOWERSYS", "title": "TD Power Systems TDPOWERSYS Goldman Sachs Analyst Meet Sep 2026", "link": "https://news.google.com/rss/articles/CBMiwAFBVV95cUxNb1U1UU5HdEFtaWZCRWdVRWxUc2pRMFZ2YXl2bUpYNE1xNzZBX01tTXNtQWc5d2ZCNTdzYUZwXzU5U2VOX19rRndvYkVDaUl3aGVqQ3lyU01qYkNtVENjRG41VW9IenA4V21EcDhLYWFrdHZPYU9yNGl2RDFSUEdRcEtObWtDS0doZlo1V3ZwOGcwcmRROTcweDNZeTZaRGdQZ084YzU0amppMUZaZERQamg3YUE3RF84TjFuLWx6T28?oc=5", "source": "Kalkine India", "published": "2026-09-24 10:15", "score": 0.0, "label": "Neutral"}, {"symbol": "KIRLOSENG", "title": "Kirloskar Oil Engines And 2 Other Indian Nuclear Power Stocks", "link": "https://news.google.com/rss/articles/CBMi6gFBVV95cUxOVTh5Q2ROa0YzRWp5NS1Kamp3NnMzYnBNRlJHcEZ1cVRnOG1aampUb2pFbERqcGNPZjN2WGZqNGd5dWNDN2R3bnhXQ016bjJoUXUxN2FqcVYxaDFrSTlwZGpSQmZIbGM3THdoMUFDX1hwZXo1OHNPTjVpNFhLWVZudVFHU2xxbmZ1aUFnWXZqM09tZzZ0TVlRWUwxakpaM3JIUkg4QlBBaG40QUQzTWxYYzNSZi1uVVZtWTJHVU1UQzhDWHB5OW9Fb2JHS3ExdVR3dExkMGJRRVRQVmZfZnM1THUyOTdWbWhDaWfSAe8BQVVfeXFMTUFnaWZmYkVLMzZkNk5ZRXF1ZF82LXluT0hoSlJNZ19kUVk4VHlzLXhabENVbTd5LThnUlJIc215aVY1T2ZwOThSS0dVNnJNTVBIdjgyQlBPQjJaTF9sQnZWeEw3Z3dVdFVMNnU4ZzBWOENQQ0dtZ1JQal84UmdMS3FvdEFJUFdMbVhXQm5tM3JYNUJhYTFFRnFtX2VIaDJMcWNPUFhpaUs1YjRSbG1lWWVTYng5VnNjbFF4Z3NqVWFHWEd3eEMxUjE5YUFQZ21qdVJJV240Q3dsYTdHQUhKTjVGcnk4UWRhd3lEdTJYeGs?oc=5", "source": "simplywall.st", "published": "2026-09-24 10:00", "score": 0.0, "label": "Neutral"}, {"symbol": "MARKET", "title": "The battle between India\u2019s stock exchanges is heating up again", "link": "https://news.google.com/rss/articles/CBMivAFBVV95cUxQSllxZjNuQ0l0ZExkQlp2RmVURXBuMm5WRjUyUkZsOXNaeF90Zy1GWXMyZFAzYmlGMGFfTWlhSl9lT2JNMmVnclFGYlg3bjNZQTRUeERZRkFScXBYc0IxZnhEcUF4Q0tzcWhhQTZXaXR6NjA5Y1pTSWdDQXBPQS1HZWpMOWJHN0NzN0lLWkdiMlJWWjN3OC1Ha1VDQ1ViSE9QTmZmSHBYTVpFM1FiUEJtZ1B4Y01nd2dabTlwTw?oc=5", "source": "The Economist", "published": "2026-09-24 09:42", "score": -0.382, "label": "Negative"}, {"symbol": "MARKET", "title": "Sensex, Nifty crash today: What led to 'Thursday Tank' - Top impact made by these news; check biggest losers, m-cap loss", "link": "https://news.google.com/rss/articles/CBMijwJBVV95cUxPVWZGNDlpWFN6MFJFZVZMVWp4RnIxcTVXOTRMUS1oVnMyQkVmZkF4eDdQTGYxOXVKV253c2dWUVZrOFpQUEEzdUQ1Rm45bG1aX01RSzVBNjNIWEFIb0lLbFJsSWJNYzFzMVFaVFpXUnAtR2xtZEZ5YXhjdXRSOHI4ZkNVMlJvWUszcWJEdGFBWmpqZG9zaGJWRnZGMHFtM0J3OWluTEZMVE9xSkV0Q29QTnJFQzEza0ZQaERRWjNBaEN6QlpkSFdMcGRuWndIWE1RVU5uczhza2w2WndRYWlUVkg3Yi10bUJFLWRWTE1sT2I1NnhwVTdCa3ZBRmxpRklNbGtzbkQ3V1licnlmakQw0gGUAkFVX3lxTE5pNjM4R2ZHalBOWTl1aGVPaWxONlMyd2lmVERYa0RZeDlDMU1IbnZMWnhNQ2VuWXY2dGRTTlFrZVFrU3RmaUJtcjZxNnlVNXc0eU4wQjR5Z29zd2FWZVRoM2FVYl9BY0xldFp3SDNjYnNSdmRwdXFYTEpxcWM5WWFrbHZCeDhZZ1c4ODE2SWJpX1RvX0dkX1VHemI3dmpJem9uWWJsNU1Ia0JFWmxobTRWMjBFdktPS0d</t>
        </is>
      </c>
    </row>
    <row r="5">
      <c r="A5" t="inlineStr">
        <is>
          <t>sZGhlVjdIaVh6dFRhU0FERjk4aE15ZmlNR19BbmlCei1FRHV2TXNwV1BJaVRHQmxSZnh5dGotNDRaUEpUZV9pMmR2STRRbkhLUHhPa2FMelZzX0VfdXJMOGVoeQ?oc=5", "source": "Livemint", "published": "2026-09-24 09:40", "score": -0.758, "label": "Negative"}, {"symbol": "MARKET", "title": "Stock Market Crash: Five reasons why Nifty fell 400 points, Sensex tanked 1,200 points on Thursday", "link": "https://news.google.com/rss/articles/CBMi2wFBVV95cUxQZ3RITnlWRlVoLVRXRW9Pc1NnU042UFB5V1BVM0s0QkFvcnRjbElBRVd1ejJZQjdSTmNfM19uazFjYnZFbm9EMmhxVU0xYWtsd1dZNldfbEFJOE45dEVDMWw4TUVwSW5LdkVfSHZPVnZsRVI4eWhyVFpaQW1mRFM0UFUzZDhXaTB6anpwWDlSSk0yWjlpZ1Z4WEsxd3M3YklFREtEbi1TNXhEUmsxYUVyWXlPTHNxUXJVYUxpbV9ENkEtNURlYnlPcU5lTnBEbjRMVGE0SXdGRTd2VWvSAeABQVVfeXFMTVVqV1N6TXB3TXJhak1kUURlODRETFpFX1NBa1RRb1oyUlVNd0xRcXBHU2ozWVN4dlQ2N1Y2WUhpdTdZQk1NWWNYcDB4U2ZneFRVblBSajlpRmlzLXZWMTNCeHdIZG44a0ZMandxanFjTW5qTHpGM05QQ1Vxbnlsck51UjJhMkloS3dPaWstcTFoS3Q2NEQyRi0zQVhITkp3NzdWRnBkWG1vaVdWSll0SGlsdXRiaUxWc2FUVk9wMW1ZZ09tRlRCa3RoQjNONFhvQmdyN25tVWhBVTBEZmpuMnQ?oc=5", "source": "CNBC TV18", "published": "2026-09-24 09:08", "score": -0.273, "label": "Negative"}, {"symbol": "MARKET", "title": "Markets Hit 3-Month Low, 5 Reasons Behind Sensex Crashing 1,250 Points Today", "link": "https://news.google.com/rss/articles/CBMirwFBVV95cUxNeEtEbWlBNTFIcHJzRV9zU0hnQUd4MVRma2VMWXpOdDl3SURrMGJPOXBnVnFOTm1MLVpMMFAzYUhUWDJVYnpYd1cyWG1xUjhxOVdkb0tVNkF2VnZfZktsRnRYTlNjMzBYblcyM0pHRUo4Ul8xVlFoci1JOXpSU2F2RlBkbFJaZGhTeE9yODV4aDlnSDdKbjd2c0ZKMzc0Y2JFbER0c2hDNW1pbURITlcw0gG3AUFVX3lxTE8xbVZoQm0xdm9CSmg5ZVBDMVluS0lTTUctTnpYYVU2S0RxcFhlaUY5Qndta09tY3VuZWI3MW1LRWlPNVl6QlY4OVBFcENPZEY4OU9jMThxdzM1cG56U1ZtN29HNGEtZmZ6eklRSXlNNERlUVF0dXNjVXV0dERKeFpyeHY4YUV3ZXdWYWhjcWsxM1d4TWtYOE1tUjRFQ0xKQm5aWHJhcnJfSHFha1FDeUJpSDdJaWhrNA?oc=5", "source": "NDTV", "published": "2026-09-24 09:02", "score": -0.402, "label": "Negative"}, {"symbol": "MARKET", "title": "Stock market crash today: Sensex ends over 1,200 points, Nifty goes below 23,100 - top reasons for fall", "link": "https://news.google.com/rss/articles/CBMiiAJBVV95cUxNT1lNOEhqOHFBM0dUS21nbjEzUDVTOVY0YnkweVp1T1pQdy0zTG9LUmppQkhYTGtIZXBSTEtiVHdDNjZxWm5FM1VXYUl5Mk9WcklBS1p0NWlKY1FUWDNqUnlYcDRrTzI2dms1NVNjenlmQkJZdlIyQllHaEF5VVU5OWE1OFgzeE5jaVdSR0ZfNklZOGpsMGRyc3NXcEdsdFVGRl80QXRsZUhkSDVWbXN0TlRKNjJXSkRSc05IQnczMlpyYXJwYnV3NERXY3BQRjdJN0h6REx4LVo3S1dLQjNRQlpNOU9zX0RLaUlxNXUzRzFmTEdGakNJTHotX2cwX0hyb3lMVEZmR0PSAY4CQVVfeXFMTWdFZHhRbFpBMnQtazZaZUpQVk9Ramd2ajI4M296WDFaazhGZG1OV1RmeGRqcDJkeTNsWC1TYXNTbWtJa1RGRktmREpwbkpqNFYzUlFIYkR3ODg3RllZQTNWZ2h1ZzBLUlU0WXpYV2ZlQnN5WE9pN2JCV2sxbEZMdjcwQXcxRGE2c0lLSWdLVHJVYTRuX2gyYnV6MFlPZDhMUmpzVHpUUWk4WmJYNWtsMnRZSTdmNzBzdnhGRzNRUnN4aTdrakZ5QlJ0aHJsaGRGQlk5NFllakp1bHByRFpMbU05S2tqWFExY3lQYkVlUjlyX3hTUXpmRFQtVmdocWFJMG1aQ29LTHNvb200Rlh3?oc=5", "source": "The Times of India", "published": "2026-09-24 08:52", "score": -0.402, "label": "Negative"}, {"symbol": "AEROFLEX", "title": "Hero Motors Ltd leads gainers in 'B' group", "link": "https://news.google.com/rss/articles/CBMivwFBVV95cUxQSDJtZTVDOFZES0ZIb3BKUnlmdkV5VTlSc2doTWJUZ1k3WEhzVDNxd0doUHI2aFBOUG9FRW1hbUw2bTBKb3FxYlNxZS1kM2VvaWtpcnp4ZEJpa1AxQ04yN3QySVkwS1dUZ3YzVUo3UVlIdzV2eE41ZUdJOWs4cTMtS2ZQNWdySzltWE5CVVFQZTZLdVZCaHVxTDVYTkJKLTE4ZWQ2SlpuVVAxNFFSVVJKYzlhT1FxMnYxZ0dKUDUwNNIBxAFBVV95cUxQS1NzWTc3QXZDVEZ2M1JsYlh1RFVzUjdVdHVWdVFrcWMyRS1zdVRJajBxXzdvSnVzWlZCQXRNbDJyenM5SDJwUnRMcW5BR3ZCMnlKbUY0dTdiVXZMalpuT1lsOHJoaFZtYkhkY2lIbVVXOVJ2MkRoRE1pa21xNU1LWUtYOGpEaVE4VFhqdElqLXVRZ1Q5SHNLVGJfN2VPNUtLT2F1ZnhMUU1hMjNXSTh1dzVZS1d2VE1fQ25BcmZEcVhTVGxf?oc=5", "source": "Business Standard", "published": "2026-09-24 08:46", "score": 0.557, "label": "Positive"}, {"symbol": "TDPOWERSYS", "title": "TD Power Systems Share Price today: decline and analysis", "link": "https://news.google.com/rss/articles/CBMihgFBVV95cUxQcUhUNEJMQ3ZXeU5ZcFk0aUE1NndmWmVMR2E0MVJuM2RhTi1QRHhxT1lZRTZKeXp3NEkwak4yQ1RPVDBDRDlXUlJVUXQ1QjVIMURYTEtsZ2lXVW52SmR2VzZRS3FHanh2RklUTlNTWElScmtkaTdGMGx0SWIxdlF0YjlzVTZzQQ?oc=5", "source": "Univest", "published": "2026-09-24 08:35", "score": -0.382, "label": "Negative"}, {"symbol": "E2E", "title": "E2E Networks appoints Anand Ganapathy as Chief Revenue Officer", "link": "https://news.google.com/rss/articles/CBMitwFBVV95cUxNYTRVYTVWR1lSdF95cG9QR1FLMk9SOTlCWVg0NzdVR21OeTdQQXJYc2UxbkUxa2I2blpPOVRYSmVCcWNaQnVxSnpvX0RGQnhZdmp6X1JXRGxXaVk0dXZnRDV0ZTJmdFNMTzUySWNXUjZ0OWN6Y2hwcHY2cWRxLS1hZVRpdHpISHpjMnl6b0s1M1J1bHR6LWNTd1otbHEzM0ZRV2RHeUNEdmY3X2t6ZnF3YkNyRHREUDA?oc=5", "source": "scanx.trade", "published": "2026-09-24 08:21", "score": 0.0, "label": "Neutral"}, {"symbol": "MARKET", "title": "Why is the stock market crashing today? 4 factors behind the sharp fall in the Nifty and Sensex indices", "link": "https://news.google.com/rss/articles/CBMi6wFBVV95cUxNcnpYS1l4a05TYTZaQUM2enZTYmIxVThMMmd0UzZaSEczczdQSXhEU0tSSV9DdXFXdXE3SUNBem5BRV9BMUFlZF80U24xWHh1ZHM1SkRjU1p2a2NvM2NuRjdMQUswaWJkZUV6dVp1ZzVrZC1jZUdkX09JaWRSNWFOcEdOc1JFUVNRcEdfVXdYMVF4MHpnTl9zRDhLQWY2NVllQzkyMXN1Y0YzQzdSUTFoUC1nanVwcEhzNnc1NDNtbVZOSFhDVVpUM0F0ZG1VemZSZkF3eU5FSldzSEFLZGRBell3ZVA2Y01JWVhv0gHwAUFVX3lxTE1XVE1JUmZXOUd6YURZeGlua2c3dEZoZ3NQdWY4SnB2RFVOa0dnd012UlV5Mm16QmE1c1c1SHppQ2luZHZqU3lfb2llTkxTQmN3MUlpejNJOVVYb3BCaUQxZ1RSWEZBWWFwdjVlN2ZTZWVyTGZhdjVfWkNtUG50SkNhS3hNRFlFbHBhMG5DMjZXS1FGVWJnMmUtVzJueHhRa1IxdnZpaGVuU3ZJYmhUVXFGUWFNVW52ZGxYODBxWFVzMmRnNl9PMW53dGJ0Qi1EZmRaUGhzc0FLZWxnejdscjFjRDdUM0UtRWNpa1d5bm5JOA?oc=5", "source": "theweek.in", "published": "2026-09-24 07:35", "score": 0.077, "label": "Neutral"}, {"symbol": "LAURUSLABS", "title": "Buy, Sell Or Hold: NSE vs BSE, Ola Electric, Laurus Labs, GE Shipping, Optiemus Infracom \u2014 Ask Profit", "link": "https://news.google.com/rss/articles/CBMi4gFBVV95cUxPcjBhRnpQaFhkbGdfV3E0ZHlmUjFPQUlUQm9LTFU4UnFqSHduWnhNSEcwenhUQmM5LUxsdFNwUXN1S3gxZW9PN213QUx2TDhzUWpoNXJldnBQRmI4eTBIOE9JMGdqd3I3T2F1QVVYcVZSUF9jOEt6cnB3QWhmZ3F3Z202eHZkRXM4NHduSVVzLThxbTQ0aUJEeEJlTThhWHBFMkJ2OGJ5X0FXT3ZyWFR3MGlZeWEzWjJGU0hhejlZTFgxakpDdVVtbkV2VGJtOXU3aTh4Z0lPdmtneU5EQTNudGd30gHqAUFVX3lxTE5SeDJuQlhJbTcxaDUzbWNPNjNuZDFqLTNYYmEwR0o1QW43WVdkLW9FQUhpVExqaFluQjJwYWRVcG5NcE1ELTduTUxUVTJzQjhvVlN5YWJKa1AxaEFjYnIxempBeUNFbG1IeW94YVMwanoxOHAzNHlRSnFUbWJ3anJqQWVvb2xQeVRwZl9CQUwyUl9KSXhhTm16Qy00Uk5JdkhGU2Z5SGRzNkthQmRBN0J5WnE5bFNUREhuNC02SklqM01odWNqWjV1YTVsVUhXUUZMdlhkN09kWTdvbHhZUjFXV05sVTlGQkptQQ?oc=5", "source": "NDTV Profit", "published": "2026-09-24 07:25", "score": 0.296, "label": "Positive"}, {"symbol": "AEROFLEX", "title": "Aeroflex Neu Ltd (NSE: AERONEU) Gains 20.00% as Stock Sees Renewed Market Interest", "link": "https://news.google.com/rss/articles/CBMitAFBVV95cUxOU0F5bUI3X2RaNWllcFpuSUpqZFp4Ui0xRVNpb2FSbVRfMjZieWxhWGV5R2N5MHpqeHBQcXIzT2dfTHBjZUt4Zk5aV2Y2SDNhM3VjamJBeTRhUjNjVklyZ3lWZDMxZ3hMMjNXaHFHWUFKV19ZaEp1WTBQekRXOU5ZdXc5UG1hQkIxRTJWdU9USDZqekc5QTh5VENqRW1ybVVCYUMwODlQRGJGVUZKV28tSVpXMFQ?oc=5", "source": "Kalkine India", "published": "2026-09-24 06:20", "score": 0.681, "label": "Positive"}, {"symbol": "MARKET", "title": "Why did market crash today? Sensex plummets 1,248 points, Nifty ends below 23,100. 5 factors behind today'", "link": "https://news.google.com/rss/articles/CBMimwJBVV95cUxNblY5UUJKckZ0My1hbEZrdS1NbjFpR0Vyam1YUHcxd1BSMDdzWkpVZzVyN0ptcnZWZ0EwRElGTEdLV1pWNFd3a05HeEpBOC1UN0NCandyUjlzUVpsUXpKZElQajdHYUoyc2dvLXdMVkNQSW5lZHNFVG1aMzVJQ0tUcENOcmR3QWIyUFNWOFo1RENRX29SbEZLVmNGdVdjSVdkYVZyM1l6dUNtaE9KYjk1VmhIVTlWUlVZNUVFekwwRGZETkw1NTFzbWhSX2xVc2RTdzdCRExjMW5LZ05EbFZRODJvcXRnbmpKZGdPRGlpeGgza1BVNFA1V0xkR2ZJUEpCNWpPZnh5aXR2MW5aQ1EzTEJBdGY5Mi1UTkZF0gGgAkFVX3lxTE9GWEM2U2ttbzdkc05MdlJqN2tFU2pGUmxYbmVIeHktdHRhWVpuaWRnUE1RN01WREtsT2x1cTBBbExxTi1sRE93d3FvWDljRGJzWHNxMW9jek9KTklxUEdnbUk1a0t0YXdlMVZvbzc4Mnh0c3hUUXMzdV9VOWV3UXdqSnRQZFJNaVNRZ1RybmpKR19rS2dNdm5HVkNlUmRUTzJrbkRuYy1fR3pRLTFLUDBZcVAxMjRrdXg5ZVF2M2NDMjgwTXZ4bktqUXNidVU1dmJKWXEzUi1NLUwxUjliSG1vU2lQeWM2S1lRdkMxbW1qSGI4M1lpSHRVS1FVXzNja3B5Q3BYalFYLXV0T3d6VXlWVVdEWTdfUVRsWFV0RlVkdg?oc=5", "source": "The Economic Times", "published": "2026-09-24 04:09", "score": -0.273, "label": "Negative"}, {"symbol": "MARKET", "title": "Sensex settles 1,250 pts lower, Nifty ends below 23,100: 7 key factors behind market crash", "link": "https://news.google.com/rss/articles/CBMi9AFBVV95cUxNNmFnZnk5VzNtcVFkY1JFVlVCMFh6T3BlejFod0JXRWFjMng2alROdHU2YzRmcEVCV3VMZFdYM3hCbUFCa09PVmVkWTh1MWFaaUxhTndsdjlVb3pZZy1VZU1wWFl6WnNvUzUyZ243ZUQ2RUVIMEhVbm8tMWxWMzM0Y1N6aVlPenNvZkl5R0hmVG5JWlE2QkcxNlRDd0UwU2RSN3NscF9PR2NRVGVaRWYyVUpMeHFrYWNVcGdMNTM3MmpSVGdkc0laX1E5U2U4Q0pBM1N2cUNlQndvUGRvUHVhT2w3Qkh0UHZ4dkcwVTQwUkRMMHlY0gH6AUFVX3lxTE5jREhsTGtRRUVDMnRQMEhucHBndU15SnViUmVFb0ZxTUE1dmpUSlBMV01WYkZ6UXd4QkRncTdNZUh5VVRxNEQ1cmViQ2Z6WFViOVktS1hld09jM25FTHRYN0lJa3d2Q1NsWUxZR2VqUElmYXVFVk5wczFqMy13QUd4Ty1ER181WE5KaHE5SEhFdHZzTy15T0tnZ3pyZzhVMktvLUI2WDF2M3hTRThxVzZEeDRaU21jYUd4ZzZPbHlWRFVMN1lZVGRzcHd4bDUwTWc5d09MYks4c21iYlZKNUUyaC1GOXIzZ1ZzT3dXTWVaWm9KdVhHYzN4emc?oc=5", "source": "Moneycontrol.com", "published": "2026-09-24 03:56", "score": -0.44, "label": "Negative"}, {"symbol": "MARKET", "title": "Indian shares post worst day in 10 weeks on oil spike, proposed insurance curbs", "link": "https://news.google.com/rss/articles/CBMitwFBVV95cUxPRFR1dnlza0cxUU5PbXRVYmRRT19oaHZFS3NmTDZUdHhDUVpIaTJDVDFHYThvSXE3RzNWenBDSUlDUDVCdE51VkpDaXppUEl2M1htMGxsMkxPV3ZaS2d3YVhYVTlFUEphWm45cWVuYTZLYmJ2V0xwT2dtMFkwQXZ5bjVWOVh2UHczVnZUSFQ5NFBrUkJaQTJwRXFoSlY5ajhXaHJXOVd3enFaclR4QUpXODFjMWxjVVE?oc=5", "source": "Reuters", "published": "2026-09-24 02:46", "score": -0.625, "label": "Negative"}, {"symbol": "MARKET", "title": "US Dollar jumps to near two-month high. What could it mean for Indian stock markets - Sensex, Nifty impact", "link": "https://news.google.com/rss/articles/CBMiggJBVV95cUxPUXhSRW9fbndZUTd4Q3FFZjhsaThCbS1jNzk4Z1N2TUdiU0lpcHNQcEZ0WmpqdGZHUUlIUUhNdlNseThhQ0hkVDVNazBSQTV1SmRVNTJ6SnUyVTBEQ3pfWTBubFpaREdzcjI0VTFacmFUZzI4ajJfZXZLcU0yQ05NcG9BN1ZkYWQ4M3pJVkFmRllNRXJXeU8zWXRMRkVoQ2o5aGJOamlGaXlfYll4WDBEdGdpY21SN1o4UENfRGNSZ1E5elpxVjJ1aGVWZ1BnZGpfUFMwM0VYM0t4eHpnM3BTTlBKaFZoQkFTT3M2bWhSNlExcEZkcmRUUHZMVmNzSzlPc2fSAYcCQVVfeXFMTnBRN0FXeEh4U2V5eEYydmZXb19IdldaZk5tYU8zbVV2TFV5ZjgxOGg5cGZfdHVScXprR3dCeEQ4czVEOF9zSWpoM3MzdWVrNFphaTdJZWg3SHVac0VnOVc0Si04cUdma2xrRFRLRlJSakp5N1FobmtwdUNqRVRFNWxsYnJrbVpjRHI2RTI5dmJ0Qml3eVBLa2NTXzNhUHZzckNXVHJxVGs1clVveXhUYlk1MjdQOTE3SDZTelVJb1JpSF9wWkpjMno4X0lDdkt2TzFIVE0zVEVRaUFxNG5IVFRhTGRwVURPZlBOcTZtUmlNTTJYS0gxU2RWTkh4T2RZOHB3SFQ4RHc?oc=5", "source": "Livemint", "published": "2026-09-24 02:44", "score": 0.758, "label": "Positive"}, {"symbol": "MARKET", "title": "GIFT Nifty crashes nearly 200 pts, signals gap-down start for Sensex, Nifty; US selloff, rising yields...", "link": "https://news.google.com/rss/articles/CBMi_gFBVV95cUxOT0tVTzVLRFhsRHJ6QVB0WV85ZGh4RHFXTEdKY1R3Snp4T1VIcXVyQmNMOGpKeDF2aVdfckZKRGVqMzVpaDlTMDU0Q0lVemMzLUxFblYwQkIxcFFvalhLYng4bVdZbUhqTnFDSDFweU93akx6V3ViVXF5cEtCbk9QSFJQTjNobXRLQUpPTGNuSlc3UkVfNGdnQ0hWbXJldU11M3hadi1FU1o5azNRZ3pIUldvMkV3b1FQYVktMldOcWZkVFhPcHI2QUdMOXQxOEY1aGN6TG13WW1yMjlQWHNYd0p5LTFkRGZqOHhHNlJIcW9pWU1VQ1k0Yy01VDRPQdIBgwJBVV95cUxOdVk4MlI1LWY0aGw5azFlQ3UtdkF1V2lVYjJBaC1UYUtRNi1FT1lTeWpTbG1jZ2dPeGtBVnFYcTdISXFqaUxJcnpuZ29EWml0UkJEN0VfeHRONWRtcGo5dG9ZTDhOWGlvemZrUWZHRWtxUVBwcFRaRno4UmpWSDIwdHh6Si1LbFFDS1E3R3hvTTRGSFA4T256enl3RjBfb1hWNEFaTEkyOHJNRXBMVng1YnJMd01TMW51ZGhta1dRRmNnc3p4TC0xa2lsMDVOQ3VoZFZzUzRGV2IzYTVzajR1Mm11ZXZ6NkNfNjJjSG5iOVNmSkVXaWozaDNwaHVTNS1MNjRF?oc=5", "source": "Moneycontrol.com", "published": "2026-09-24 02:38", "score": 0.842, "label": "Positive"}, {"symbol": "MARKET", "title": "Stock Market Today: Gift Nifty, Oil Prices To US Treasury Yields \u2014 Five Key Factors For Sensex, Nifty 50 On Sept 24", "link": "https://news.google.com/rss/articles/CBMi_wFBVV95cUxNMHRUa21iWVZtelA2Um13ZTJ6ZDhOSGNJMlcyandCLUFTT0w0V3R5eWd5SEdCZ1pyOEMwSlY3ak42dHRhUjdnREc5UzdaNmI3QnFkd2RsLUk0SmhaRGNqOS1QdWp0ZVdnOExERTduSHhXZlpFb2ZHaHVneDFmaGdpVTAwa3I4RWxTT3NxUHp5ekV2YTlVd3ltNS1FLTdKN19nUzBFaHB2a1Etd0xVb0NMVDJMaG5RcGlDMDhhLUJqOWFoTmFEdXFCbDZ0SlAwTmlheHZuWEZ5dGJJdW1LQ2dGeTVtNS15Z0tmR1B2YXZ0eDR6YlFBUFRIUlRVLTZ2ZTjSAYcCQVVfeXFMTVJoelZ4TXkyUmNUWkk2RThDUWRtT1RrS0dqQUtzTHJTM1RZX0w5ZHl3b0xicjN6Z1IxS2dQUV94YWdwRGpyME1rZmVaZnZ6SGE1bW5sUlM3N2ZBYl9lajJub1AwcjJLYUc1d3pHUG5HLWUtc1VFVlc3Z0FVNXI1anMwNzA5MkZvd1YzdTRUNHpRZTBBSWpqcm05bUp0ZmxNZklyNU9LS0l0NG9uSWZCRkhYenIzaktxa3Bic25SYzVfVVdPcko2ZG95YWhraURGZ212MDJBVHBCVWxXUWVQVzZZLTFIZmVGdkdsNHF3aTNOclNEMUEtSjNsUHFCZU5JSlA5bE1aZGs?oc=5", "source": "NDTV Profit", "published": "2026-09-24 01:42", "score": 0.844, "label": "Positive"}, {"symbol": "MARKET", "title": "Sensex, Nifty 50 prediction today: Stock market outlook for Thursday, 24 Sept - GIFT Nifty, Nikkei, Taiwan signals", "link": "https://news.google.com/rss/articles/CBMiiAJBVV95cUxQTDl3ZlJyNW5xZXBBLUtBLXRfSU5kbEdSOXFWM3V2RU51eVdlanIzclZnczhweGRBR1lmWkVUNWI0SlBsbW5tWmd4SzBzNXA0Ty15d21DNVJkQ0piMXpzMDYxYkNndEtmV19UQnV6NVBKZlgzU1ltZEpEakJ5dVl3WU8xQS1DRVQxN0pxV1NuU19RaGZhTWNqSHFhRHFGUVROWDhEMkxhODZ2bmZFX1piMDl0ZzVJSVRhUU5KUC1pV0NCclR5dGxXXzR1VUNvbHMweU1xaHRIQWNIRG5HN1o4NWNlRlBlRjhRVFc2SElTNklUNEtMSXBZVmQ1YkxBOFg2eWtOOFZiMUTSAY4CQVVfeXFMTUdPNHFyRDVseGxVX1p5RDdOWFBabmJQdm1ZNmVZOVB0RGZMeERCSnFfZUMxV3FrMXBJT1liYmFZekEzWGR4cUs4eDlKOUhiNURta2xDLTM0dUFkRTJrOHNaa0djNnlJWFpQcE43OGt0SkFJNEgxSm9hd0puemtzNVgyX3dHdUtGa1VIRHJBdFllRUFmYlYwQ3Y4elV1djY2ZUo5R204dmZyZ3RwaGdZSHZrbERxQWZfRlhCUEhrZjdaelZGLXZmY2lTWm84ek9wWHYzdGRKQVFOR3pYWU94RUVERlBYOXFEeDJaUVI1and2N1hCenc4anc0NVVaRG50TF9Pa1o2di0xc3k3SDdn?oc=5", "source": "Livemint", "published": "2026-09-24 01:17", "score": 0.842, "label": "Positive"}, {"symbol": "LAURUSLABS", "title": "Laurus Labs stock gains 1.37 percent as profit jumps 126 percent", "link": "https://news.google.com/rss/articles/CBMiwAFBVV95cUxPRGZMMkVQZFBodEJ4cHVqbng0YWJyNHJjbndja3pLdkJzamNORjlNUGNab3A1MDczV2piSTRpUG5yeklwV2ZvMWlFMGp2OVota2lsTHJoZlB6dG10UlBHeXRYNTk5NlRLVVduSzZJM0dLdFlTN2hkM29mWnhNU3lHVUlaTmlGQ25fUFo0dXhGT2cyNWlhQmllc3hiRFU3Z1RIN01VV0xHOFBTMUtoWUQxTDZUY2J0VTNxRXYyb2xhQ3c?oc=5", "source": "AD HOC NEWS", "published": "2026-09-23 22:57", "score": 0.791, "label": "Positive"}, {"symbol": "LAURUSLABS", "title": "Laurus Labs - Anlon Healthcare among 7 healthcare stocks hitting 52-week highs; rallied up to 105% in a month", "link": "https://news.google.com/rss/articles/CBMiiAJBVV95cUxQUE9BMFBTZkQ0bmQwWjZyUG4tSWp1VU1ERG50V2ptaVRoamFQX21HUDNBVmdwOG81TjVLeU1GSUZoNGIzUU5Vc0drSzhsMlZkOFl4MmstUEMyZWdYTTNING9fVnZrR0ZvS3VCYmJaVEk5aFdJRUJNWTZMMlV5Sy1iaU5ieC05WjZtaFJaQmMyaU5jTW9Oc1pmZHFsaUl3aVJ6TUJTR0s3SjYtdnE4c0NDejFJOFprT0Z0Zm1RTGFsTFlFVTVvUHo3d0lpZk16R1NmVGczYlUzZGNXb0Mwd3RQUmxKR0pRcklfUl9XRVNyMEZBZ1Fxa2FsSWtGSllrV2QwSmRSVnBOMmQ?oc=5", "source": "The Economic Times", "published": "2026-09-23 12:57", "score": 0.0, "label": "Neutral"}, {"symbol": "MARKET", "title": "Sensex slips over 11,000 points from record high in 10 months; 3 triggers that may fuel the Indian stock market", "link": "https://news.google.com/rss/articles/CBMijAJBVV95cUxOUExzY0ZPTTBDblhZUWV1SjVUZWd0amE1STlQN1N6bm9VajdoT2NVb1ZvVjJrcHg2WTNBYlI1SGkwMlVOU3o4NDY2ZVpRMHRkRUhVUWVaS0N5QUdNbzRLa1I4UkRhNkVwOWpaVVNxOHhFV0NxZFhGOUx4anFCRDlDb0ptMHlzWFhvTmhMTEFvSk1ybFBSTzA1SG1KQnczZVdTX1NmUktxYURuVTBFbk0ydGhjNVBNN1d0Q1lUWkZlQVBJWWJLd0NhVml5amI0STBVcEs5WW4tN1pTajJSbU1wYm5ydUdIUjdvSW04MWVkdl85NmpZVmVVVFl1YmxZaWxBTVB5bkhUSFVaMXFu0gGSAkFVX3lxTE5LZmlZbUxuSjFGRzllWHk1R0RmZ0tla0huTUZYM25TUGxFMXpWLU5rTXc0WXdXM3lTWW1nYUNmNTI2elJWcEhZOTRhZ3A2X2JOUHZ1XzBuSmRRX2ZsNGZrQVBkVDlFSExzbHc3Z0VPYjRTekszODB5QndnS1Q3NmVvRmpfdmc4QzhRcGZScWlZZ01KUE1ZVWZmSFQ0UnpKVFllOFZxY3ZIME1LX2xaZ2o5bUxoYkR6Q0JQTlN0b3ZWU19IRHRCaTRmdFZLVXo1dG1oODdLOWJhSkQ4akVrODVaQTUxZnZtLWxUNDhyTGdxMDBkS3ExQXJwbnRPQlpxTFdReTZxNEtLWGRwNnIwTEhCcGc?oc=5", "source": "Livemint", "published": "2026-09-23 11:16", "score": 0.226, "label": "Positive"}, {"symbol": "MARKET", "title": "Market wrap, Sept 23: SENSEX, NIFTY50 gain as metal stocks rally, crude oil price ease; Bajaj Fin, Hindalco top gainers", "link": "https://news.google.com/rss/articles/CBMigwJBVV95cUxPaHBTQzhTRUdZS2tNRmJlTDU1UXJ4bnYzUXZNY1RzZWhub0dSbFFIZDM3aGZCNFJ2V2F1QmJRX3lVelpSd2ZsTkZVTF9ncUZCZ1NYblZYUjBYNi13Z19fOVhDN19taGt4MGV1Q1NtWEY4U0lrdnVXaUtFQm9TZTFUMGlzNWdoTUdBYWZxOUtWcG1idGJwOE10NTloS1hrdV9HN3lhLXZXWUh3dzA2TVVLcHRuRFJDVXdmUC1nV084LTVEV2N4OFRVQjU1Smg4Q2ktSTBKWmRCRGtRdWdWOEc5UGh0YWpOTUlNWmVyV2l0RC10T3d1YndQalotU0NWWDBqTDhn?oc=5", "source": "Upstox", "published": "2026-09-23 10:15", "score": 0.612, "label": "Positive"}, {"symbol": "DIACABS", "title": "Diamond Power Infrastructure Share Price Rises 2.68% Today", "link": "https://news.google.com/rss/articles/CBMimwFBVV95cUxNbjd5UVZ4d3N3ZUtybnEyZW1MZ1R4T0NrS1JsMEhETFc5d2tyclFHRnV4bzQ1RVQyUkZvNnIwOURYdjdBUzZldEpRN0FBV29YLVZOTjlFalZfemVpUzBVZ3BZSDJxSVFqSmdCMDVfNVNVXy1ZZVJpZUZORHdmNUFzazBrdGVsOGVPN1ZMRmdyQ0U1X3kzS1ZNZU1mQQ?oc=5", "source": "Univest", "published": "2026-09-23 10:02", "score": 0.34, "label": "Positive"}, {"symbol": "LAURUSLABS", "title": "Laurus Labs Share Price: one-year high and valuation view", "link": "https://news.google.com/rss/articles/CBMihwFBVV95cUxPYU9VS2psbTA2SEFlWWF6NVFFbVRManpTcU0wUjJIbWRQdEU2S1JUeWVXWVUtSW1RNGp3VmdEZjRGYkdVYmFtV2tZd1BQLWJfT2ZHYzhXcFhMTVgwaDlmNmZkOHhaY0JiOEVaQmZmTk5FS1luRmcxeE9ZbGV3VDlqOWR4VFhCZEE?oc=5", "source": "Univest", "published": "2026-09-23 09:19", "score": 0.202, "label": "Positive"}, {"symbol": "MARKET", "title": "NSE IPO listing: National Stock Exchange of India to debut on September 24; check GMP &amp; other details", "link": "https://news.google.com/rss/articles/CBMikAJBVV95cUxQa2ZFOFYwaEJuQTl6N3NjWFFvMWUyUGdxNXlZNFJHVWxtcFNEenVuTlNieHRNX3RpY0dfNnNCUk1hMU9Ndk5Sckl3TVg1Z2lJYnFORjgtY0UySTc0WW5qVmV0bU5hd0UzTVM3OVdKUFNUUHdzbEhaTTNERlV0WTdFWTBYSnpadUhucV9mejJxMnNlZ2V2UzJaOVY0dHdfNWtMVWN3U0tkVVFuSUVSMnV5NjhTUUE5a2Zrc2xieTVkZEphNmVqSEQ1MmRqMEFKM2xwU1FCVkxkZ0VsdFZYazRiMDhKcEhsejFNOXgtSGo0bFRJWThyZkZaXzJVQWpwbklBNno4NE1QSzRfT001NktmddIBlgJBVV95cUxOdy1fS2JiOHZGWTlaelh4ak5fQTR6TU9lek4tN0tIODhtWjRtRkJmS2hhZHVLTmpSMkQ2T0dXNnk1VFlTdFRjcmE1b1dCQWYtSnVQRFh0Z1hsUUljNkZVeF9GQ2pSZmplX082cHlVWEx2aVQ0dWpyZndmREdSOUJmcHBfczhYU0ZjUVVWYU96N1J0SENVQV8tR243REJnYzZwcnNzTlFnakJWcmV6eU9yTUs3NC1FWVpwRnFiZTRrUVVtM1UxQy01YnNsN1BweXNTbGpkb1l1UTNTRzNDUDEtWjBOeVJsa2QtejEtRElXcy1LNXc5bW5FY0Q4TGhXQXNWWlgxRjlXQlNEQ1R0V1B2OVZqWHluUQ?oc=5", "source": "The Times of India", "published": "2026-09-23 07:59", "score": 0.0, "label": "Neutral"}, {"symbol": "E2E", "title": "E2E Networks Share Price news: price rise and valuation", "link": "https://news.google.com/rss/articles/CBMihgFBVV95cUxNS3pobG5zQUpFLU53cFlCQWxZTFQ5S0E1dDNmbTU3V2daQUx1ZTMxMjctRHphNW5OSWVoYk9UY09CU2NxbF9GWjVCZDJzeF9OTXVTX3NUYVRjZ1U3ekZnLVFxZ01Sc3dVWlZIcnZOdXdvTzVlNTdoMlhYaVZZaWNaTEpZTkxpZw?oc=5", "source": "Univest", "published": "2026-09-23 07:26", "score": 0.0, "label": "Neutral"}, {"symbol": "LAURUSLABS", "title": "Laurus Labs - 10 midcap stocks that soared up to 105% in 6 months; check FII and MF holdings", "link": "https://news.google.com/rss/articles/CBMi8gFBVV95cUxPQThVQlhqMHhQX1dCbzk5aTVLRzAzLVhTQ0kzajBZMXRVTTNTazhRNTM3Y2d5SE1fbUhYVkJkT0hDeDlCZFhGRHEtWUxEcEhISzA4bkNGUlQ2RW44NEdPa1k5VFF5MGktRHhhZHJMRjAyeUVCVmEwWkVIQ2ROQmlhdTZTY255RFg2Rkp4NWtCTk1vaGxrUFc1VTRFSkJFY1Nnakd4VXpMNGxRVkpvMkl5VnpmakQtMWgwcV90RFpwM3BwaFFfNzhsR3IzQWhRNmpCWVVjdVM1ZExSSkxZR1N1bEpNaUp0eGV5bGIyTDQzZTZjdw?oc=5", "source": "The Economic Times", "published": "2026-09-23 06:24", "score": 0.0, "label": "Neutral"}, {"symbol": "KIRLOSENG", "title": "3 Indian Nuclear Energy Stocks With Revenue Growth Up To 16%", "link": "https://news.google.com/rss/articles/CBMi6AFBVV95cUxPa2tacGJLRFdET1pPVlhxQlRodHp4ZVZkREJLUU8yQlFiSmdib0hReElVbW5Qc2QtMnFqZWVDREFveHlPbDB5MHhGQjlBcTVfMS12Q1hyNGRFUjZrOHY0Ym9jSGhaSnV4YlZYZDZGV25jb1NtRV9admFLQWN1N1NETF9pUU1GbFFadFVXdzJ0dUxJelU3SFlaQUR0MlZxTWxHaDQ2SnpjRl9LczRSQ1BiX2h6SWl3ckJiek5mSDVwNm84cVVBYnRCSnFPYWRHLUlhUUlwb2cyN0tGdHRGU2lNdnVkdlNQZGJS0gHuAUFVX3lxTFBtQmV3OHlXVURIb1VpaGFmZnYtYjJnSFVyVjEtM2pvajJYV3BZQlZDOGtuOEZ4dG9hMDNkQmJVaXJPODNLdFdBMHJVdmRoTkRkR1NERk5DaWRlNXgyMUJmNDkzYXZzWVUwSzlIZ29CX3BueG8ySTU4Ymlod19HTFVJM1k2X1FDMmFpLXJPa3YtVjlSdi0tdjJ4UVc3MHZGR1ljSTJHdENmV0MwOHhJdmgyTEZBV0ZUN1JVR2gxOFhXSXBHdXlWTVYxT2RMdkhnY3UtN3FXOGd1UUtZYWRaWXVIR193bmsydVZRVnJNV0E?oc=5", "source": "simplywall.st", "published": "2026-09-23 05:56", "score": 0.557, "label": "Positive"}, {"symbol": "MARKET", "title": "Stock Market Today: Gift Nifty, US-Iran Talks To Oil Prices \u2014 Five Key Factors That May Drive Sensex, Nifty 50 On Sept 23", "link": "https://news.google.com/rss/articles/CBMi-AFBVV95cUxNUnltRmdqM0NYQ2wzZWItS3BOdjdlU1pUcFJ6aEtPV1Zub1hfcVR0MERkbjZzTWpuc3pFdFVxUFBSY3U5WEhLVjdOLV9tX2lSWG1yNjJzUzVWR2xhRFJ1NUctcDN6VlJtMGlZaGlpQWx3T3RBYWs0ZExick04cTBYd0tYY1dBcTV2MjFVTUtsWFdtY3NZMFFiVjYyM0JpSmpNUWVzSVJqRGpUMzUyRHc2dm1yZEgyRmNnQmpjbDFYaXZkV3NPaXgxM2ZFWGtoemxNWU9STmpkUVlSa3oydXk5bjJpMWFRWlNqM2J5Y2lCMTB4d0FoTGFNNdIBgAJBVV95cUxQYm1wblRHcjNRcnF0MG5Uel9qVFEycDNoSzNfQWx4WWoweVQzX3d3Ym5UTTM3cjVzUG9STkdXYmlzc1psbE10cUNKYTBGVlZPaTh4bEFkN0szUHJmS2wzYzRmazBKT2MxY29WZUxaWVhmdjVEbS1TU0NyeFlRVGFEbXk3R2R3OFJYc0s1bTZmbzJGZ1hDRWE4Z05Wa2lPT0FiWWRvaFlRWFFkaDNoYnBmazJfYVlhblBVMF8yMDlfVllVdk9BeVZKUzRVSXUwNUlxOE9LUVZENWw2LW8yNGhWX3VnaUxSZC04bDljRXJGZUE0RlgycFlabTVrRDVoYy1W?oc=5", "source": "NDTV Profit", "published": "2026-09-23 01:42", "score": 0.807, "label": "Positive"}, {"symbol": "MARKET", "title": "Sensex, Nifty 50 prediction today: How Asian markets, crude will impact Indian markets? Gift Nifty, Kospi, Taiwan signal", "link": "https://news.google.com/rss/articles/CBMikgJBVV95cUxNNi1kLW5uekpsdjNub29Fa3NDaWEzNU91MUMxNGZMS1ZVeEZPZ2tiLWZWY1M4MW84dTRYRl93QjFISTVtSG9oUHRpLUZZcE9welgydkFGTDZPRWtBbXVkaC1xOVgtWnhuNVZNVklETHgyNFdOMEo3UWFjUWx4dzI0ZlZDbXJ3cEdKMTFWZkNoeVo1OXlpUG1iLXhIUkREVElXLWozbkxtUWtmWXFxc043VHB2R0NpU2dQVVVGZlNWeXNkbVItSGk0VGZ5M202QUVzckd5bFliQUtMbE5SZ2NURVNsZW50aFZnd1RsQkJoRGVHUklpNF9iRGxCbE5XamlvWnZyVUNIM3NrdkZiYjI1MjFB0gGXAkFVX3lxTE1waWJFallWREMwLVdIUXFpMDlzd1loMmViNEdDbzVfbTJoSUxubGpLVy1NZjU1c2taUzdsczJIaG9OSmpIVFc5bUlyRjZQdzZkWVZKeVlwMG9GTTI1N0dHV09ucTJJX0hQUS1rUGtMLXhVTkNXQjNpNDVYVTQ1TmxtMmVWWGx0UVhpTDhmSGdCNlNma19TQTZadDlPa0RjZ2RfQ1dLaXFHMVZtdjNPRzFhdGVnMFYydnNJR3VGWEJiTHVvNW11dV9SbzNiaU1fSEJLeUpVY0R3UnBZbWp3NTNZN2NwU3ZFMzVhME9XVjI0cWdvdW1DZno2ZHVkTWFwMkRDUUkwdVRsYW5XQkx6M0gwX2tJYWJacw?oc=5", "source": "Livemint", "published": "2026-09-23 01:13", "score": 0.557, "label": "Positive"}, {"symbol": "RRKABEL", "title": "Here's Why R R Kabel (NSE:RRKABEL) Has Caught The Eye Of Investors", "link": "https://news.google.com/rss/articles/CBMi1wFBVV95cUxPeE5EWjI1ZEd2aG02OThzbUpNSXdERzVpYkNmNXRCdEFNLU1JUEk2RG9IanhndHM2N1oxMDAwblVrcXpSaVFfcmc0WEF6UUJqd09acWZQYXdzM2cwZFJkUVZVSkE5Tk9WWnhJV0ZXR19HN18tRFhCU2hqWXR5a3lBazR6UWN4UDJ0VEh3NGFxNE1oX3M2Sjhib0h5N0RvMGdUcU9zVm91ODRoaGl2dVJXc18xTnJObk9pS3BfX1lQWS1HWGUzR0lEbDZ1ZTZ1b1FlY0h6SnBCRdIB3AFBVV95cUxQbHN0Tmw0M3l2RFNtTzBTaEtMbzJ5WmE3cWRraUhSRTc3ejR4SUE2NDBvTEhqMTZPQmktdXJ5N3VwM2ZudzBPTU8zZU1tLUVIUFlVVDdCbGFaZGllcHA5UmEzLUpOU2RlU2c0YzlrTUk4ejU3UUxQM2hXTWlsU0p5eVh0blVNMmdpcERxXzFnZ1d2R3lzUzE2c21vOGxBWGlIMnR1Z25MQTlITTI4S3JIcU56YU5VVHVyUXVSU3JHZ3ZiVnZFLWVFbmR0S0dHTHVqOGw2QlZrZzg5bDFT?oc=5", "source": "simplywall.st", "published": "2026-09-23 00:46", "score": 0.0, "label": "Neutral"}], "errors": []}, "created": "2026-09-28T13:27:26", "last_updated": "2026-09-29T17:07:39",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</t>
        </is>
      </c>
    </row>
    <row r="6">
      <c r="A6" t="inlineStr">
        <is>
          <t xml:space="preserve">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"2026-09-28", "corp_actions":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2026-09-29T17:07:45Z</dcterms:created>
  <dcterms:modified xmlns:dcterms="http://purl.org/dc/terms/" xmlns:xsi="http://www.w3.org/2001/XMLSchema-instance" xsi:type="dcterms:W3CDTF">2026-09-29T17:07:45Z</dcterms:modified>
</cp:coreProperties>
</file>