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ily Closes" sheetId="2" state="visible" r:id="rId2"/>
    <sheet xmlns:r="http://schemas.openxmlformats.org/officeDocument/2006/relationships" name="Returns %" sheetId="3" state="visible" r:id="rId3"/>
    <sheet xmlns:r="http://schemas.openxmlformats.org/officeDocument/2006/relationships" name="P&amp;L" sheetId="4" state="visible" r:id="rId4"/>
    <sheet xmlns:r="http://schemas.openxmlformats.org/officeDocument/2006/relationships" name="Portfolio Path" sheetId="5" state="visible" r:id="rId5"/>
    <sheet xmlns:r="http://schemas.openxmlformats.org/officeDocument/2006/relationships" name="Batch Info" sheetId="6" state="visible" r:id="rId6"/>
    <sheet xmlns:r="http://schemas.openxmlformats.org/officeDocument/2006/relationships" name="Research" sheetId="7" state="visible" r:id="rId7"/>
    <sheet xmlns:r="http://schemas.openxmlformats.org/officeDocument/2006/relationships" name="News &amp; Sentiment" sheetId="8" state="visible" r:id="rId8"/>
    <sheet xmlns:r="http://schemas.openxmlformats.org/officeDocument/2006/relationships" name="_state" sheetId="9" state="hidden" r:id="rId9"/>
  </sheets>
  <definedNames/>
  <calcPr calcId="124519" fullCalcOnLoad="1"/>
</workbook>
</file>

<file path=xl/styles.xml><?xml version="1.0" encoding="utf-8"?>
<styleSheet xmlns="http://schemas.openxmlformats.org/spreadsheetml/2006/main">
  <numFmts count="5">
    <numFmt numFmtId="164" formatCode="+0.00%;[Red]-0.00%;0.00%"/>
    <numFmt numFmtId="165" formatCode="₹#,##,##0;[Red]-₹#,##,##0"/>
    <numFmt numFmtId="166" formatCode="0.0%"/>
    <numFmt numFmtId="167" formatCode="+0.00;-0.00;0.00"/>
    <numFmt numFmtId="168" formatCode="+0.00;-0.00"/>
  </numFmts>
  <fonts count="25">
    <font>
      <name val="Calibri"/>
      <family val="2"/>
      <color theme="1"/>
      <sz val="11"/>
      <scheme val="minor"/>
    </font>
    <font>
      <name val="Calibri"/>
      <b val="1"/>
      <color rgb="00FFFFFF"/>
      <sz val="18"/>
    </font>
    <font>
      <name val="Calibri"/>
      <color rgb="00C9D3E6"/>
      <sz val="10"/>
    </font>
    <font>
      <name val="Calibri"/>
      <i val="1"/>
      <color rgb="006B7280"/>
      <sz val="9"/>
    </font>
    <font>
      <name val="Calibri"/>
      <b val="1"/>
      <color rgb="00FFFFFF"/>
      <sz val="10"/>
    </font>
    <font>
      <name val="Calibri"/>
      <b val="1"/>
      <color rgb="00FFFFFF"/>
      <sz val="9"/>
    </font>
    <font>
      <name val="Calibri"/>
      <color rgb="00475569"/>
      <sz val="9"/>
    </font>
    <font>
      <name val="Calibri"/>
      <color rgb="00171A1F"/>
      <sz val="10"/>
    </font>
    <font>
      <name val="Calibri"/>
      <b val="1"/>
      <color rgb="00171A1F"/>
      <sz val="10"/>
    </font>
    <font>
      <name val="Calibri"/>
      <color rgb="006B7280"/>
      <sz val="9"/>
    </font>
    <font>
      <name val="Calibri"/>
      <b val="1"/>
      <color rgb="0064748B"/>
      <sz val="9"/>
    </font>
    <font>
      <name val="Calibri"/>
      <b val="1"/>
      <color rgb="000B1F3A"/>
      <sz val="16"/>
    </font>
    <font>
      <name val="Calibri"/>
      <i val="1"/>
      <color rgb="0094A3B8"/>
      <sz val="8"/>
    </font>
    <font>
      <name val="Calibri"/>
      <b val="1"/>
      <color rgb="000B1F3A"/>
      <sz val="11"/>
    </font>
    <font>
      <name val="Calibri"/>
      <b val="1"/>
      <color rgb="00ffffff"/>
      <sz val="10"/>
    </font>
    <font>
      <name val="Calibri"/>
      <b val="1"/>
      <color rgb="000f5132"/>
      <sz val="10"/>
    </font>
    <font>
      <name val="Calibri"/>
      <b val="1"/>
      <color rgb="007a4a00"/>
      <sz val="10"/>
    </font>
    <font>
      <name val="Calibri"/>
      <b val="1"/>
      <color rgb="00374151"/>
      <sz val="10"/>
    </font>
    <font>
      <name val="Calibri"/>
      <b val="1"/>
      <color rgb="009b1c1c"/>
      <sz val="10"/>
    </font>
    <font>
      <name val="Calibri"/>
      <b val="1"/>
      <color rgb="000B1F3A"/>
      <sz val="12"/>
    </font>
    <font>
      <name val="Calibri"/>
      <b val="1"/>
      <color rgb="001F9D63"/>
      <sz val="10"/>
    </font>
    <font>
      <name val="Calibri"/>
      <color rgb="002F4BD8"/>
      <sz val="10"/>
      <u val="single"/>
    </font>
    <font>
      <name val="Calibri"/>
      <b val="1"/>
      <color rgb="00D64545"/>
      <sz val="10"/>
    </font>
    <font>
      <name val="Calibri"/>
      <b val="1"/>
      <color rgb="0064748B"/>
      <sz val="10"/>
    </font>
    <font>
      <name val="Calibri"/>
      <color rgb="002F4BD8"/>
      <u val="single"/>
    </font>
  </fonts>
  <fills count="19">
    <fill>
      <patternFill/>
    </fill>
    <fill>
      <patternFill patternType="gray125"/>
    </fill>
    <fill>
      <patternFill patternType="solid">
        <fgColor rgb="000B1F3A"/>
      </patternFill>
    </fill>
    <fill>
      <patternFill patternType="solid">
        <fgColor rgb="001E3A66"/>
      </patternFill>
    </fill>
    <fill>
      <patternFill patternType="solid">
        <fgColor rgb="000E7C86"/>
      </patternFill>
    </fill>
    <fill>
      <patternFill patternType="solid">
        <fgColor rgb="00334E7E"/>
      </patternFill>
    </fill>
    <fill>
      <patternFill patternType="solid">
        <fgColor rgb="00C9860A"/>
      </patternFill>
    </fill>
    <fill>
      <patternFill patternType="solid">
        <fgColor rgb="00D9DEE7"/>
      </patternFill>
    </fill>
    <fill>
      <patternFill patternType="solid">
        <fgColor rgb="00FFF4D6"/>
      </patternFill>
    </fill>
    <fill>
      <patternFill patternType="solid">
        <fgColor rgb="00FAFAFB"/>
      </patternFill>
    </fill>
    <fill>
      <patternFill patternType="solid">
        <fgColor rgb="00F3F5F8"/>
      </patternFill>
    </fill>
    <fill>
      <patternFill patternType="solid">
        <fgColor rgb="002F4BD8"/>
      </patternFill>
    </fill>
    <fill>
      <patternFill patternType="solid">
        <fgColor rgb="000f7a4a"/>
      </patternFill>
    </fill>
    <fill>
      <patternFill patternType="solid">
        <fgColor rgb="001f9d63"/>
      </patternFill>
    </fill>
    <fill>
      <patternFill patternType="solid">
        <fgColor rgb="00d7f2e3"/>
      </patternFill>
    </fill>
    <fill>
      <patternFill patternType="solid">
        <fgColor rgb="00fdecc8"/>
      </patternFill>
    </fill>
    <fill>
      <patternFill patternType="solid">
        <fgColor rgb="00e5e7eb"/>
      </patternFill>
    </fill>
    <fill>
      <patternFill patternType="solid">
        <fgColor rgb="00fde2e2"/>
      </patternFill>
    </fill>
    <fill>
      <patternFill patternType="solid">
        <fgColor rgb="00d64545"/>
      </patternFill>
    </fill>
  </fills>
  <borders count="11">
    <border>
      <left/>
      <right/>
      <top/>
      <bottom/>
      <diagonal/>
    </border>
    <border>
      <left style="thin">
        <color rgb="00D9DEE7"/>
      </left>
      <right style="thin">
        <color rgb="00D9DEE7"/>
      </right>
      <top style="thin">
        <color rgb="00D9DEE7"/>
      </top>
      <bottom style="thin">
        <color rgb="00D9DEE7"/>
      </bottom>
    </border>
    <border>
      <left style="thin">
        <color rgb="00D9DEE7"/>
      </left>
      <right/>
      <top/>
      <bottom/>
      <diagonal/>
    </border>
    <border>
      <left style="thin">
        <color rgb="00D9DEE7"/>
      </left>
      <right style="thin">
        <color rgb="00D9DEE7"/>
      </right>
      <top/>
      <bottom/>
      <diagonal/>
    </border>
    <border>
      <left style="thin">
        <color rgb="00D9DEE7"/>
      </left>
      <right style="thin">
        <color rgb="00D9DEE7"/>
      </right>
      <top/>
      <bottom style="thin">
        <color rgb="00D9DEE7"/>
      </bottom>
      <diagonal/>
    </border>
    <border>
      <left style="thin">
        <color rgb="00FFFFFF"/>
      </left>
      <right style="thin">
        <color rgb="00FFFFFF"/>
      </right>
    </border>
    <border>
      <top style="thick">
        <color rgb="002F4BD8"/>
      </top>
    </border>
    <border>
      <left/>
      <right/>
      <top style="thin">
        <color rgb="00D9DEE7"/>
      </top>
      <bottom/>
      <diagonal/>
    </border>
    <border>
      <left/>
      <right style="thin">
        <color rgb="00D9DEE7"/>
      </right>
      <top style="thin">
        <color rgb="00D9DEE7"/>
      </top>
      <bottom/>
      <diagonal/>
    </border>
    <border>
      <left/>
      <right/>
      <top style="thin">
        <color rgb="00D9DEE7"/>
      </top>
      <bottom style="thin">
        <color rgb="00D9DEE7"/>
      </bottom>
      <diagonal/>
    </border>
    <border>
      <left/>
      <right style="thin">
        <color rgb="00D9DEE7"/>
      </right>
      <top style="thin">
        <color rgb="00D9DEE7"/>
      </top>
      <bottom style="thin">
        <color rgb="00D9DEE7"/>
      </bottom>
      <diagonal/>
    </border>
  </borders>
  <cellStyleXfs count="1">
    <xf numFmtId="0" fontId="0" fillId="0" borderId="0"/>
  </cellStyleXfs>
  <cellXfs count="84">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8" fillId="0" borderId="0" pivotButton="0" quotePrefix="0" xfId="0"/>
    <xf numFmtId="0" fontId="0" fillId="11" borderId="5" pivotButton="0" quotePrefix="0" xfId="0"/>
    <xf numFmtId="0" fontId="0" fillId="7" borderId="5" pivotButton="0" quotePrefix="0" xfId="0"/>
    <xf numFmtId="0" fontId="10" fillId="10" borderId="6" applyAlignment="1" pivotButton="0" quotePrefix="0" xfId="0">
      <alignment horizontal="left" vertical="center" indent="1"/>
    </xf>
    <xf numFmtId="0" fontId="0" fillId="10" borderId="6" applyAlignment="1" pivotButton="0" quotePrefix="0" xfId="0">
      <alignment horizontal="left" vertical="center" indent="1"/>
    </xf>
    <xf numFmtId="0" fontId="11" fillId="10" borderId="0" applyAlignment="1" pivotButton="0" quotePrefix="0" xfId="0">
      <alignment horizontal="left" vertical="center" indent="1"/>
    </xf>
    <xf numFmtId="0" fontId="0" fillId="10" borderId="0" applyAlignment="1" pivotButton="0" quotePrefix="0" xfId="0">
      <alignment horizontal="left" vertical="center" indent="1"/>
    </xf>
    <xf numFmtId="165" fontId="11" fillId="10" borderId="0" applyAlignment="1" pivotButton="0" quotePrefix="0" xfId="0">
      <alignment horizontal="left" vertical="center" indent="1"/>
    </xf>
    <xf numFmtId="0" fontId="12" fillId="10" borderId="0" applyAlignment="1" pivotButton="0" quotePrefix="0" xfId="0">
      <alignment horizontal="left" vertical="center" indent="1"/>
    </xf>
    <xf numFmtId="164" fontId="11" fillId="10" borderId="0" applyAlignment="1" pivotButton="0" quotePrefix="0" xfId="0">
      <alignment horizontal="left" vertical="center" indent="1"/>
    </xf>
    <xf numFmtId="0" fontId="13" fillId="0" borderId="0" pivotButton="0" quotePrefix="0" xfId="0"/>
    <xf numFmtId="0" fontId="4" fillId="3" borderId="1" applyAlignment="1" pivotButton="0" quotePrefix="0" xfId="0">
      <alignment horizontal="center" vertical="center" wrapText="1"/>
    </xf>
    <xf numFmtId="0" fontId="8" fillId="0" borderId="1" applyAlignment="1" pivotButton="0" quotePrefix="0" xfId="0">
      <alignment horizontal="left" vertical="center"/>
    </xf>
    <xf numFmtId="1" fontId="7" fillId="0" borderId="1" applyAlignment="1" pivotButton="0" quotePrefix="0" xfId="0">
      <alignment horizontal="right" vertical="center"/>
    </xf>
    <xf numFmtId="4" fontId="7" fillId="0" borderId="1" applyAlignment="1" pivotButton="0" quotePrefix="0" xfId="0">
      <alignment horizontal="right"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6" fontId="7" fillId="0" borderId="1" applyAlignment="1" pivotButton="0" quotePrefix="0" xfId="0">
      <alignment horizontal="right" vertical="center"/>
    </xf>
    <xf numFmtId="0" fontId="8" fillId="10" borderId="1" applyAlignment="1" pivotButton="0" quotePrefix="0" xfId="0">
      <alignment horizontal="left" vertical="center"/>
    </xf>
    <xf numFmtId="1" fontId="7" fillId="10" borderId="1" applyAlignment="1" pivotButton="0" quotePrefix="0" xfId="0">
      <alignment horizontal="right" vertical="center"/>
    </xf>
    <xf numFmtId="4" fontId="7" fillId="10" borderId="1" applyAlignment="1" pivotButton="0" quotePrefix="0" xfId="0">
      <alignment horizontal="right" vertical="center"/>
    </xf>
    <xf numFmtId="164" fontId="7" fillId="10" borderId="1" applyAlignment="1" pivotButton="0" quotePrefix="0" xfId="0">
      <alignment horizontal="right" vertical="center"/>
    </xf>
    <xf numFmtId="165" fontId="7" fillId="10" borderId="1" applyAlignment="1" pivotButton="0" quotePrefix="0" xfId="0">
      <alignment horizontal="right" vertical="center"/>
    </xf>
    <xf numFmtId="166" fontId="7" fillId="10" borderId="1" applyAlignment="1" pivotButton="0" quotePrefix="0" xfId="0">
      <alignment horizontal="right" vertical="center"/>
    </xf>
    <xf numFmtId="0" fontId="3" fillId="0" borderId="0" pivotButton="0" quotePrefix="0" xfId="0"/>
    <xf numFmtId="0" fontId="4" fillId="4"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2" borderId="1" applyAlignment="1" pivotButton="0" quotePrefix="0" xfId="0">
      <alignment horizontal="center" vertical="center" wrapText="1"/>
    </xf>
    <xf numFmtId="0" fontId="0" fillId="0" borderId="4" pivotButton="0" quotePrefix="0" xfId="0"/>
    <xf numFmtId="0" fontId="5" fillId="5"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0" borderId="1" applyAlignment="1" pivotButton="0" quotePrefix="0" xfId="0">
      <alignment horizontal="center" vertical="center" wrapText="1"/>
    </xf>
    <xf numFmtId="0" fontId="9" fillId="0" borderId="1" applyAlignment="1" pivotButton="0" quotePrefix="0" xfId="0">
      <alignment horizontal="left" vertical="center"/>
    </xf>
    <xf numFmtId="4" fontId="8" fillId="0" borderId="1" applyAlignment="1" pivotButton="0" quotePrefix="0" xfId="0">
      <alignment horizontal="right" vertical="center"/>
    </xf>
    <xf numFmtId="4" fontId="7" fillId="8" borderId="1" applyAlignment="1" pivotButton="0" quotePrefix="0" xfId="0">
      <alignment horizontal="right" vertical="center"/>
    </xf>
    <xf numFmtId="4" fontId="7" fillId="9" borderId="1" applyAlignment="1" pivotButton="0" quotePrefix="0" xfId="0">
      <alignment horizontal="right" vertical="center"/>
    </xf>
    <xf numFmtId="164" fontId="8" fillId="0" borderId="1" applyAlignment="1" pivotButton="0" quotePrefix="0" xfId="0">
      <alignment horizontal="right" vertical="center"/>
    </xf>
    <xf numFmtId="165" fontId="8" fillId="0" borderId="1" applyAlignment="1" pivotButton="0" quotePrefix="0" xfId="0">
      <alignment horizontal="right" vertical="center"/>
    </xf>
    <xf numFmtId="0" fontId="7" fillId="10" borderId="1" applyAlignment="1" pivotButton="0" quotePrefix="0" xfId="0">
      <alignment horizontal="center" vertical="center" wrapText="1"/>
    </xf>
    <xf numFmtId="0" fontId="9" fillId="10" borderId="1" applyAlignment="1" pivotButton="0" quotePrefix="0" xfId="0">
      <alignment horizontal="left" vertical="center"/>
    </xf>
    <xf numFmtId="4" fontId="8" fillId="10" borderId="1" applyAlignment="1" pivotButton="0" quotePrefix="0" xfId="0">
      <alignment horizontal="right" vertical="center"/>
    </xf>
    <xf numFmtId="0" fontId="7" fillId="7" borderId="1" applyAlignment="1" pivotButton="0" quotePrefix="0" xfId="0">
      <alignment horizontal="right" vertical="center"/>
    </xf>
    <xf numFmtId="0" fontId="8" fillId="7" borderId="1" applyAlignment="1" pivotButton="0" quotePrefix="0" xfId="0">
      <alignment horizontal="left" vertical="center"/>
    </xf>
    <xf numFmtId="1" fontId="8" fillId="7" borderId="1" applyAlignment="1" pivotButton="0" quotePrefix="0" xfId="0">
      <alignment horizontal="right" vertical="center"/>
    </xf>
    <xf numFmtId="165" fontId="8" fillId="7" borderId="1" applyAlignment="1" pivotButton="0" quotePrefix="0" xfId="0">
      <alignment horizontal="right" vertical="center"/>
    </xf>
    <xf numFmtId="164" fontId="8" fillId="7" borderId="1" applyAlignment="1" pivotButton="0" quotePrefix="0" xfId="0">
      <alignment horizontal="right" vertical="center"/>
    </xf>
    <xf numFmtId="0" fontId="3" fillId="0" borderId="0" applyAlignment="1" pivotButton="0" quotePrefix="0" xfId="0">
      <alignment horizontal="center" vertical="center" wrapText="1"/>
    </xf>
    <xf numFmtId="0" fontId="7" fillId="0" borderId="1" applyAlignment="1" pivotButton="0" quotePrefix="0" xfId="0">
      <alignment horizontal="right" vertical="center"/>
    </xf>
    <xf numFmtId="0" fontId="7" fillId="0" borderId="1" applyAlignment="1" pivotButton="0" quotePrefix="0" xfId="0">
      <alignment horizontal="left" vertical="center"/>
    </xf>
    <xf numFmtId="1" fontId="7" fillId="0" borderId="1" applyAlignment="1" pivotButton="0" quotePrefix="0" xfId="0">
      <alignment horizontal="center" vertical="center" wrapText="1"/>
    </xf>
    <xf numFmtId="1" fontId="7" fillId="8"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8" borderId="1" applyAlignment="1" pivotButton="0" quotePrefix="0" xfId="0">
      <alignment horizontal="left" vertical="center"/>
    </xf>
    <xf numFmtId="165" fontId="7" fillId="8" borderId="1" applyAlignment="1" pivotButton="0" quotePrefix="0" xfId="0">
      <alignment horizontal="right" vertical="center"/>
    </xf>
    <xf numFmtId="164" fontId="7" fillId="8" borderId="1" applyAlignment="1" pivotButton="0" quotePrefix="0" xfId="0">
      <alignment horizontal="right" vertical="center"/>
    </xf>
    <xf numFmtId="1" fontId="7" fillId="9"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9" borderId="1" applyAlignment="1" pivotButton="0" quotePrefix="0" xfId="0">
      <alignment horizontal="left" vertical="center"/>
    </xf>
    <xf numFmtId="165" fontId="7" fillId="9" borderId="1" applyAlignment="1" pivotButton="0" quotePrefix="0" xfId="0">
      <alignment horizontal="right" vertical="center"/>
    </xf>
    <xf numFmtId="164" fontId="7" fillId="9" borderId="1" applyAlignment="1" pivotButton="0" quotePrefix="0" xfId="0">
      <alignment horizontal="right" vertical="center"/>
    </xf>
    <xf numFmtId="0" fontId="0" fillId="0" borderId="9" pivotButton="0" quotePrefix="0" xfId="0"/>
    <xf numFmtId="0" fontId="0" fillId="0" borderId="10" pivotButton="0" quotePrefix="0" xfId="0"/>
    <xf numFmtId="165" fontId="7" fillId="0" borderId="1" applyAlignment="1" pivotButton="0" quotePrefix="0" xfId="0">
      <alignment horizontal="left" vertical="center"/>
    </xf>
    <xf numFmtId="0" fontId="0" fillId="0" borderId="0" applyAlignment="1" pivotButton="0" quotePrefix="0" xfId="0">
      <alignment vertical="top" wrapText="1"/>
    </xf>
    <xf numFmtId="0" fontId="14" fillId="12" borderId="1" applyAlignment="1" pivotButton="0" quotePrefix="0" xfId="0">
      <alignment horizontal="left" vertical="center"/>
    </xf>
    <xf numFmtId="167" fontId="7" fillId="0" borderId="1" applyAlignment="1" pivotButton="0" quotePrefix="0" xfId="0">
      <alignment horizontal="right" vertical="center"/>
    </xf>
    <xf numFmtId="0" fontId="7" fillId="0" borderId="1" applyAlignment="1" pivotButton="0" quotePrefix="0" xfId="0">
      <alignment vertical="center" wrapText="1"/>
    </xf>
    <xf numFmtId="0" fontId="14" fillId="13" borderId="1" applyAlignment="1" pivotButton="0" quotePrefix="0" xfId="0">
      <alignment horizontal="left" vertical="center"/>
    </xf>
    <xf numFmtId="0" fontId="15" fillId="14" borderId="1" applyAlignment="1" pivotButton="0" quotePrefix="0" xfId="0">
      <alignment horizontal="left" vertical="center"/>
    </xf>
    <xf numFmtId="0" fontId="16" fillId="15" borderId="1" applyAlignment="1" pivotButton="0" quotePrefix="0" xfId="0">
      <alignment horizontal="left" vertical="center"/>
    </xf>
    <xf numFmtId="0" fontId="17" fillId="16" borderId="1" applyAlignment="1" pivotButton="0" quotePrefix="0" xfId="0">
      <alignment horizontal="left" vertical="center"/>
    </xf>
    <xf numFmtId="0" fontId="18" fillId="17" borderId="1" applyAlignment="1" pivotButton="0" quotePrefix="0" xfId="0">
      <alignment horizontal="left" vertical="center"/>
    </xf>
    <xf numFmtId="0" fontId="14" fillId="18" borderId="1" applyAlignment="1" pivotButton="0" quotePrefix="0" xfId="0">
      <alignment horizontal="left" vertical="center"/>
    </xf>
    <xf numFmtId="0" fontId="19" fillId="0" borderId="0" pivotButton="0" quotePrefix="0" xfId="0"/>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22" fillId="0" borderId="1" applyAlignment="1" pivotButton="0" quotePrefix="0" xfId="0">
      <alignment horizontal="left" vertical="center"/>
    </xf>
    <xf numFmtId="0" fontId="23" fillId="0" borderId="1" applyAlignment="1" pivotButton="0" quotePrefix="0" xfId="0">
      <alignment horizontal="left" vertical="center"/>
    </xf>
    <xf numFmtId="168" fontId="7" fillId="0" borderId="1" applyAlignment="1" pivotButton="0" quotePrefix="0" xfId="0">
      <alignment horizontal="right" vertical="center"/>
    </xf>
    <xf numFmtId="0" fontId="24" fillId="0" borderId="1" applyAlignment="1" pivotButton="0" quotePrefix="0" xfId="0">
      <alignment horizontal="left" vertical="center"/>
    </xf>
  </cellXfs>
  <cellStyles count="1">
    <cellStyle name="Normal" xfId="0" builtinId="0" hidden="0"/>
  </cellStyles>
  <dxfs count="6">
    <dxf>
      <font>
        <name val="Calibri"/>
        <b val="1"/>
        <color rgb="001F9D63"/>
        <sz val="16"/>
      </font>
    </dxf>
    <dxf>
      <font>
        <name val="Calibri"/>
        <b val="1"/>
        <color rgb="00D64545"/>
        <sz val="16"/>
      </font>
    </dxf>
    <dxf>
      <font>
        <name val="Calibri"/>
        <b val="1"/>
        <color rgb="001F9D63"/>
      </font>
    </dxf>
    <dxf>
      <font>
        <name val="Calibri"/>
        <b val="1"/>
        <color rgb="00D64545"/>
      </font>
    </dxf>
    <dxf>
      <font>
        <name val="Calibri"/>
        <color rgb="001F9D63"/>
      </font>
    </dxf>
    <dxf>
      <font>
        <name val="Calibri"/>
        <color rgb="00D64545"/>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Return by stock</a:t>
            </a:r>
          </a:p>
        </rich>
      </tx>
    </title>
    <plotArea>
      <barChart>
        <barDir val="bar"/>
        <grouping val="clustered"/>
        <ser>
          <idx val="0"/>
          <order val="0"/>
          <tx>
            <strRef>
              <f>'Dashboard'!F20</f>
            </strRef>
          </tx>
          <spPr>
            <a:solidFill xmlns:a="http://schemas.openxmlformats.org/drawingml/2006/main">
              <a:srgbClr val="2F4BD8"/>
            </a:solidFill>
            <a:ln xmlns:a="http://schemas.openxmlformats.org/drawingml/2006/main">
              <a:prstDash val="solid"/>
            </a:ln>
          </spPr>
          <cat>
            <numRef>
              <f>'Dashboard'!$B$21:$B$30</f>
            </numRef>
          </cat>
          <val>
            <numRef>
              <f>'Dashboard'!$F$21:$F$30</f>
            </numRef>
          </val>
        </ser>
        <dLbls>
          <numFmt formatCode="+0.0%;-0.0%"/>
          <showLegendKey val="0"/>
          <showVal val="1"/>
          <showCatName val="0"/>
          <showSerName val="0"/>
        </dLbls>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Portfolio value (₹)</a:t>
            </a:r>
          </a:p>
        </rich>
      </tx>
    </title>
    <plotArea>
      <lineChart>
        <grouping val="standard"/>
        <ser>
          <idx val="0"/>
          <order val="0"/>
          <tx>
            <strRef>
              <f>'Portfolio Path'!D4</f>
            </strRef>
          </tx>
          <spPr>
            <a:ln xmlns:a="http://schemas.openxmlformats.org/drawingml/2006/main" w="28000">
              <a:solidFill>
                <a:srgbClr val="0E7C86"/>
              </a:solidFill>
              <a:prstDash val="solid"/>
            </a:ln>
          </spPr>
          <marker>
            <symbol val="none"/>
            <spPr>
              <a:ln xmlns:a="http://schemas.openxmlformats.org/drawingml/2006/main">
                <a:prstDash val="solid"/>
              </a:ln>
            </spPr>
          </marker>
          <cat>
            <numRef>
              <f>'Portfolio Path'!$A$5:$A$13</f>
            </numRef>
          </cat>
          <val>
            <numRef>
              <f>'Portfolio Path'!$D$5:$D$13</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Day</a:t>
                </a:r>
              </a:p>
            </rich>
          </tx>
        </title>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Portfolio return vs Nifty 50 (%)</a:t>
            </a:r>
          </a:p>
        </rich>
      </tx>
    </title>
    <plotArea>
      <lineChart>
        <grouping val="standard"/>
        <ser>
          <idx val="0"/>
          <order val="0"/>
          <tx>
            <strRef>
              <f>'Portfolio Path'!F4</f>
            </strRef>
          </tx>
          <spPr>
            <a:ln xmlns:a="http://schemas.openxmlformats.org/drawingml/2006/main" w="28000">
              <a:solidFill>
                <a:srgbClr val="2F4BD8"/>
              </a:solidFill>
              <a:prstDash val="solid"/>
            </a:ln>
          </spPr>
          <marker>
            <symbol val="none"/>
            <spPr>
              <a:ln xmlns:a="http://schemas.openxmlformats.org/drawingml/2006/main">
                <a:prstDash val="solid"/>
              </a:ln>
            </spPr>
          </marker>
          <cat>
            <numRef>
              <f>'Portfolio Path'!$A$5:$A$26</f>
            </numRef>
          </cat>
          <val>
            <numRef>
              <f>'Portfolio Path'!$F$5:$F$26</f>
            </numRef>
          </val>
          <smooth val="0"/>
        </ser>
        <ser>
          <idx val="1"/>
          <order val="1"/>
          <tx>
            <strRef>
              <f>'Portfolio Path'!I4</f>
            </strRef>
          </tx>
          <spPr>
            <a:ln xmlns:a="http://schemas.openxmlformats.org/drawingml/2006/main">
              <a:solidFill>
                <a:srgbClr val="9AA2AD"/>
              </a:solidFill>
              <a:prstDash val="dash"/>
            </a:ln>
          </spPr>
          <marker>
            <symbol val="none"/>
            <spPr>
              <a:ln xmlns:a="http://schemas.openxmlformats.org/drawingml/2006/main">
                <a:prstDash val="solid"/>
              </a:ln>
            </spPr>
          </marker>
          <cat>
            <numRef>
              <f>'Portfolio Path'!$A$5:$A$26</f>
            </numRef>
          </cat>
          <val>
            <numRef>
              <f>'Portfolio Path'!$I$5:$I$26</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Day</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Return</a:t>
                </a:r>
              </a:p>
            </rich>
          </tx>
        </title>
        <numFmt formatCode="0.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32</row>
      <rowOff>0</rowOff>
    </from>
    <ext cx="504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32</row>
      <rowOff>0</rowOff>
    </from>
    <ext cx="504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10</col>
      <colOff>0</colOff>
      <row>3</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hyperlink" Target="https://www.google.com/search?q=Laurus%20Labs%20site%3Atorusdigital.com" TargetMode="External" Id="rId1"/><Relationship Type="http://schemas.openxmlformats.org/officeDocument/2006/relationships/hyperlink" Target="https://www.google.com/search?q=Laurus%20Labs%20site%3Aanandrathi.com" TargetMode="External" Id="rId2"/><Relationship Type="http://schemas.openxmlformats.org/officeDocument/2006/relationships/hyperlink" Target="https://www.google.com/search?q=Laurus%20Labs%20site%3Aanandrathi.com" TargetMode="External" Id="rId3"/><Relationship Type="http://schemas.openxmlformats.org/officeDocument/2006/relationships/hyperlink" Target="https://www.google.com/search?q=Laurus%20Labs%20site%3Aanandrathi.com" TargetMode="External" Id="rId4"/><Relationship Type="http://schemas.openxmlformats.org/officeDocument/2006/relationships/hyperlink" Target="https://www.google.com/search?q=TD%20Power%20Systems%20site%3A5paisa.com" TargetMode="External" Id="rId5"/><Relationship Type="http://schemas.openxmlformats.org/officeDocument/2006/relationships/hyperlink" Target="https://www.google.com/search?q=TD%20Power%20Systems%20site%3Afyers.in" TargetMode="External" Id="rId6"/><Relationship Type="http://schemas.openxmlformats.org/officeDocument/2006/relationships/hyperlink" Target="https://www.google.com/search?q=TD%20Power%20Systems%20site%3A5paisa.com" TargetMode="External" Id="rId7"/><Relationship Type="http://schemas.openxmlformats.org/officeDocument/2006/relationships/hyperlink" Target="https://www.google.com/search?q=TD%20Power%20Systems%20site%3A5paisa.com" TargetMode="External" Id="rId8"/><Relationship Type="http://schemas.openxmlformats.org/officeDocument/2006/relationships/hyperlink" Target="https://www.google.com/search?q=Ather%20Energy%20site%3Aindmoney.com" TargetMode="External" Id="rId9"/><Relationship Type="http://schemas.openxmlformats.org/officeDocument/2006/relationships/hyperlink" Target="https://www.google.com/search?q=Ather%20Energy%20site%3Aindmoney.com" TargetMode="External" Id="rId10"/><Relationship Type="http://schemas.openxmlformats.org/officeDocument/2006/relationships/hyperlink" Target="https://www.google.com/search?q=Ather%20Energy%20site%3Afreepressjournal.in" TargetMode="External" Id="rId11"/><Relationship Type="http://schemas.openxmlformats.org/officeDocument/2006/relationships/hyperlink" Target="https://www.google.com/search?q=Ather%20Energy%20site%3Ahdfcsky.com" TargetMode="External" Id="rId12"/><Relationship Type="http://schemas.openxmlformats.org/officeDocument/2006/relationships/hyperlink" Target="https://www.google.com/search?q=RR%20Kabel%20site%3A5paisa.com" TargetMode="External" Id="rId13"/><Relationship Type="http://schemas.openxmlformats.org/officeDocument/2006/relationships/hyperlink" Target="https://www.google.com/search?q=RR%20Kabel%20site%3Afyers.in" TargetMode="External" Id="rId14"/><Relationship Type="http://schemas.openxmlformats.org/officeDocument/2006/relationships/hyperlink" Target="https://www.google.com/search?q=Aeroflex%20Industries%20site%3Asahi.com" TargetMode="External" Id="rId15"/><Relationship Type="http://schemas.openxmlformats.org/officeDocument/2006/relationships/hyperlink" Target="https://www.google.com/search?q=Aeroflex%20Industries%20site%3Asahi.com" TargetMode="External" Id="rId16"/><Relationship Type="http://schemas.openxmlformats.org/officeDocument/2006/relationships/hyperlink" Target="https://www.google.com/search?q=Aeroflex%20Industries%20share" TargetMode="External" Id="rId17"/><Relationship Type="http://schemas.openxmlformats.org/officeDocument/2006/relationships/hyperlink" Target="https://www.google.com/search?q=Aeroflex%20Industries%20share" TargetMode="External" Id="rId18"/><Relationship Type="http://schemas.openxmlformats.org/officeDocument/2006/relationships/hyperlink" Target="https://www.google.com/search?q=E2E%20Networks%20site%3Aangelone.in" TargetMode="External" Id="rId19"/><Relationship Type="http://schemas.openxmlformats.org/officeDocument/2006/relationships/hyperlink" Target="https://www.google.com/search?q=E2E%20Networks%20site%3Aanandrathi.com" TargetMode="External" Id="rId20"/><Relationship Type="http://schemas.openxmlformats.org/officeDocument/2006/relationships/hyperlink" Target="https://www.google.com/search?q=E2E%20Networks%20site%3Aanandrathi.com" TargetMode="External" Id="rId21"/><Relationship Type="http://schemas.openxmlformats.org/officeDocument/2006/relationships/hyperlink" Target="https://www.google.com/search?q=Acutaas%20Chemicals%20site%3Afyers.in" TargetMode="External" Id="rId22"/><Relationship Type="http://schemas.openxmlformats.org/officeDocument/2006/relationships/hyperlink" Target="https://www.google.com/search?q=Acutaas%20Chemicals%20site%3Aanandrathi.com" TargetMode="External" Id="rId23"/><Relationship Type="http://schemas.openxmlformats.org/officeDocument/2006/relationships/hyperlink" Target="https://www.google.com/search?q=Acutaas%20Chemicals%20site%3Aanandrathi.com" TargetMode="External" Id="rId24"/><Relationship Type="http://schemas.openxmlformats.org/officeDocument/2006/relationships/hyperlink" Target="https://www.google.com/search?q=Diamond%20Power%20Infra%20site%3Aanandrathi.com" TargetMode="External" Id="rId25"/><Relationship Type="http://schemas.openxmlformats.org/officeDocument/2006/relationships/hyperlink" Target="https://www.google.com/search?q=Diamond%20Power%20Infra%20site%3Abajajfinserv.in" TargetMode="External" Id="rId26"/><Relationship Type="http://schemas.openxmlformats.org/officeDocument/2006/relationships/hyperlink" Target="https://www.google.com/search?q=Kirloskar%20Oil%20Engines%20site%3Aanandrathi.com" TargetMode="External" Id="rId27"/><Relationship Type="http://schemas.openxmlformats.org/officeDocument/2006/relationships/hyperlink" Target="https://www.google.com/search?q=Thangamayil%20Jewellery%20site%3Aanandrathi.com" TargetMode="External" Id="rId28"/><Relationship Type="http://schemas.openxmlformats.org/officeDocument/2006/relationships/hyperlink" Target="https://www.google.com/search?q=Thangamayil%20Jewellery%20site%3Aanandrathi.com" TargetMode="External" Id="rId29"/><Relationship Type="http://schemas.openxmlformats.org/officeDocument/2006/relationships/hyperlink" Target="https://www.google.com/search?q=Thangamayil%20Jewellery%20site%3Aanandrathi.com" TargetMode="External" Id="rId30"/></Relationships>
</file>

<file path=xl/worksheets/_rels/sheet8.xml.rels><Relationships xmlns="http://schemas.openxmlformats.org/package/2006/relationships"><Relationship Type="http://schemas.openxmlformats.org/officeDocument/2006/relationships/hyperlink" Target="https://news.google.com/rss/articles/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oc=5" TargetMode="External" Id="rId1"/><Relationship Type="http://schemas.openxmlformats.org/officeDocument/2006/relationships/hyperlink" Target="https://news.google.com/rss/articles/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oc=5" TargetMode="External" Id="rId2"/><Relationship Type="http://schemas.openxmlformats.org/officeDocument/2006/relationships/hyperlink" Target="https://news.google.com/rss/articles/CBMi0wJBVV95cUxQTWNJOENZdFhYSThjQ2c0VXcteFZJd21NLVdmZ0xjZ1l6MUVUY2g3ZjYyRG05VUI0UnJaaVFEUWJDQjFwU3NicWxqWWNCOHhUSThHbl8xVnNwQ3BidGlSQkZTSjFheDFxdGRJdlAxQTdVUTMwV2MtR0VPY1ZrdGZEZjBlanJaeDNYUEV6QWhPX2tIemtwQnljX2FrUVhXa3VmZ0llYXdJY3JzMXVNd1RJSWk1bXdBZWpRX2p3eExjVzE1YngwRXVfdjlLU0lSSGthUEtNbXI4d1d0X21MX3lNV3lHUWlDX2xPWGVQTC0tUkQtQVpvcExQVGZ4cGNxRkEwTnVVN3hLYmgxT2t0R2JJaUhXbWZQeU52NjNWT1pMdk1wRWFJYklmX3ZNWWxuRUdwbVFLUm9DS2lScVlJeDBpZEJMVjB5S2hEdlZRRzRxMDlVaGM?oc=5" TargetMode="External" Id="rId3"/><Relationship Type="http://schemas.openxmlformats.org/officeDocument/2006/relationships/hyperlink" Target="https://news.google.com/rss/articles/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oc=5" TargetMode="External" Id="rId4"/><Relationship Type="http://schemas.openxmlformats.org/officeDocument/2006/relationships/hyperlink" Target="https://news.google.com/rss/articles/CBMiqAFBVV95cUxOT240M3EtalNqQlJLUFFBVURGNmhRM3J4MVg4NnBiVlpHejZVSVdybUNhYkhMcWhVRm9mM0lMbG5maWZhMzlmSUNhaGEtQXUxMVRLWjh6cWo0U1FaZ1ByLVk5VzVVblkxUGZjWDk5ZXFLUGxwT0VBLVR4bzMxRzEybHZKNllTQ2NnNFVfbUgtUU1UMUVuYjdWeWxsNGZiWTRUd3k2M0pCWTA?oc=5" TargetMode="External" Id="rId5"/><Relationship Type="http://schemas.openxmlformats.org/officeDocument/2006/relationships/hyperlink" Target="https://news.google.com/rss/articles/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oc=5" TargetMode="External" Id="rId6"/><Relationship Type="http://schemas.openxmlformats.org/officeDocument/2006/relationships/hyperlink" Target="https://news.google.com/rss/articles/CBMiyAFBVV95cUxNRWpGS3RydlZCR2xQdGhoeE5oTm9WSG1QVkZPc2MyRW9sS0JTV1hOWmt5MlJnRkZqbTAtZDdUM250NjZxcldnV1h3NWwyX1JRdGlOLVB0QnFVNDE4Sm1YY3lYT3ZsNGZfeno0ejlUczFXc3ROZktva0hxRHZnYzZqbmJfUzFvWGhVZnlRbjVBUkpFdjJMVHpBb0dNODJMQlFUeVRWQkpZUllwZmx6V1pLMDV5ZlQzVlVLdDRHZE9MRUF4TmVsWkdaTw?oc=5" TargetMode="External" Id="rId7"/><Relationship Type="http://schemas.openxmlformats.org/officeDocument/2006/relationships/hyperlink" Target="https://news.google.com/rss/articles/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oc=5" TargetMode="External" Id="rId8"/><Relationship Type="http://schemas.openxmlformats.org/officeDocument/2006/relationships/hyperlink" Target="https://news.google.com/rss/articles/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oc=5" TargetMode="External" Id="rId9"/><Relationship Type="http://schemas.openxmlformats.org/officeDocument/2006/relationships/hyperlink" Target="https://news.google.com/rss/articles/CBMiwwFBVV95cUxOQ3N1TTcwb0xyUnNlQnM2M0ZEOG1uSFhtY2FlN1Z4Mk9NTjdzUklmTUVEMm1WeEExYVNqa21uOWt3b0NRSk1mWkFhNm0yd0ZHLWs0cHJnS3FwdXJub01sV1NBUHNMclUyVDRjaWlOVnU0Sl9nUUZOV2hKSnRQbmlwMUdCVUl4cHJFRWZDXzhNaFJtNzgzaDlrMlBNcEZCS1BxRkhwbXgtUEp2eHN3X0xXZWI0cWNXbFdTYkphT1ZZaW9wajA?oc=5" TargetMode="External" Id="rId10"/><Relationship Type="http://schemas.openxmlformats.org/officeDocument/2006/relationships/hyperlink" Target="https://news.google.com/rss/articles/CBMiswFBVV95cUxOTW1saGpBaGYtTHdqbl9vblU3QkFLRkpWSHJXbEI3M1lLcTYtLUNJdDlvZzNNRVNiUUlmZVV6YzRmWVE0TVM4MElLMTVkSDFkV0Y5cFBXRFpFQS05cEo2bGxVX1RQcXljY2xOcHdIMHlwX1ZJb2VCU21pMnlOUXFrVWZTLW9YeUp1M08wazBHVFZ4VDVsdXNVVm9OeFhoNW5YMWlYM1NSOWVVU1M1Z3Jxd0ZjRQ?oc=5" TargetMode="External" Id="rId11"/><Relationship Type="http://schemas.openxmlformats.org/officeDocument/2006/relationships/hyperlink" Target="https://news.google.com/rss/articles/CBMiswFBVV95cUxOSEFzSlpidTNUeUtWTkJtR3AxMmF4emJNN004WUduT0VmVnJKLUt3REtrN0Z1bVY3THgwd0pLbTlyYXc3WWJudy1WdldVUEljRnhuWUdWekZTeFFJejhlTUM5N3VTVXRHMENKWHhXZjV4V1JnVTBmeERMVFZQS3kwQThENi1ORTdHLTMxSS1GUDZrcXNSbXoxTFpmVlFMS1V1cmhqS3FxTzBsaXVVSjFXeG1DUQ?oc=5" TargetMode="External" Id="rId12"/><Relationship Type="http://schemas.openxmlformats.org/officeDocument/2006/relationships/hyperlink" Target="https://news.google.com/rss/articles/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oc=5" TargetMode="External" Id="rId13"/><Relationship Type="http://schemas.openxmlformats.org/officeDocument/2006/relationships/hyperlink" Target="https://news.google.com/rss/articles/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oc=5" TargetMode="External" Id="rId14"/><Relationship Type="http://schemas.openxmlformats.org/officeDocument/2006/relationships/hyperlink" Target="https://news.google.com/rss/articles/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oc=5" TargetMode="External" Id="rId15"/><Relationship Type="http://schemas.openxmlformats.org/officeDocument/2006/relationships/hyperlink" Target="https://news.google.com/rss/articles/CBMixwFBVV95cUxQZTBMSm5wUXNua2Y0dG81UUxKVWlLRzNYaDBuLVRLQnVsMWlnc19ZVVVjQjNQNUsxUTNOSTFvekFQS013aUY3NWstWXlKSjMxR1BtVXhYbGViWkdJUU9nREIwMTIyMXFaOGViMmRWYU1mT2tGY2dtUWxlY01BUkJVdXVTdmp2VXQ0TEVOdjk5OUhnUjFpejVweDhTZ1hLYV9BQ3R1WjV2VFc2d2FUZmJXeGpRaGV3ZEp2ZUZSMXk4RGVPT0JoazMw?oc=5" TargetMode="External" Id="rId16"/><Relationship Type="http://schemas.openxmlformats.org/officeDocument/2006/relationships/hyperlink" Target="https://news.google.com/rss/articles/CBMiwwFBVV95cUxQTFdnbEJlcXY2UEExbmhLbjFmbmhualRQMjhIaWx6T2h1SElnMl9XYlowaG9PVEZtNi1VREVrZVhkQ3RnZklSWVRvRUJCc2RIZ2U3ZTB1VUpxRFVkSEN4djVGS0U0MDJDeUNxVmpkYks5VmoycFNxZUhWV2hyQmVjcUpzSG50RVdEbF9VRVQ4Tnhfd2xhUFZqSWh2Y2h4S3NZMmR5Vi1pMWJxUXdxLV9nT1JaWTdzaGtYakJRNmEwamItWFHSAcMBQVVfeXFMUExXZ2xCZXF2NlBBMW5oS24xZm5obmpUUDI4SGlsek9odUhJZzJfV2JaMGhvT1RGbTYtVURFa2VYZEN0Z2ZJUllUb0VCQnNkSGdlN2UwdVVKcURVZEhDeHY1RktFNDAyQ3lDcVZqZGJLOVZqMnBTcWVIVldockJlY3FKc0hudEVXRGxfVUVUOE54X3dsYVBWaklodmNoeEtzWTJkeVYtaTFicVF3cS1fZ09SWlk3c2hrWGpCUTZhMGpiLVhR?oc=5" TargetMode="External" Id="rId17"/><Relationship Type="http://schemas.openxmlformats.org/officeDocument/2006/relationships/hyperlink" Target="https://news.google.com/rss/articles/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oc=5" TargetMode="External" Id="rId18"/><Relationship Type="http://schemas.openxmlformats.org/officeDocument/2006/relationships/hyperlink" Target="https://news.google.com/rss/articles/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oc=5" TargetMode="External" Id="rId19"/><Relationship Type="http://schemas.openxmlformats.org/officeDocument/2006/relationships/hyperlink" Target="https://news.google.com/rss/articles/CBMiywFBVV95cUxQUTNPY2xYYnZyQWdURzRZd0VmaFRCNWJtcDhSc0Y3OEJmbm8tejZKUE5Cczg0ZnNkNkZ6YlZQM3l5a2k3WFRUaUFQbVh4U3dFczVtWlotVk5DeXhKOGFmTEM3NTk4N1RlcGhsUEQ5SFhTZ1ptUGQyaWdCZGVBZHNjM0pKWnQzdmJZNkJTZmt2S2EzSTloOTFlUW1kOW1jTVBzNUZPeDNTR3ZsN2lfUmpxN0x2RGprTlU0c0JLVnNsRXdQOG00RE55ZG9aTdIBywFBVV95cUxQUTNPY2xYYnZyQWdURzRZd0VmaFRCNWJtcDhSc0Y3OEJmbm8tejZKUE5Cczg0ZnNkNkZ6YlZQM3l5a2k3WFRUaUFQbVh4U3dFczVtWlotVk5DeXhKOGFmTEM3NTk4N1RlcGhsUEQ5SFhTZ1ptUGQyaWdCZGVBZHNjM0pKWnQzdmJZNkJTZmt2S2EzSTloOTFlUW1kOW1jTVBzNUZPeDNTR3ZsN2lfUmpxN0x2RGprTlU0c0JLVnNsRXdQOG00RE55ZG9aTQ?oc=5" TargetMode="External" Id="rId20"/><Relationship Type="http://schemas.openxmlformats.org/officeDocument/2006/relationships/hyperlink" Target="https://news.google.com/rss/articles/CBMiwAFBVV95cUxNYU5jQVhPUTRPb0I1MnBTNU45MzlqaXZ3UDdieFNyaGY1V3JHRHVHWjBka2FoNDZZb0dMZHhqbmx6YzU2dHVBZ0pab0RWSFhlRktwVW5QNno5b3Y3eXBvc3cyWExmSnJSQXhQeGFwTk84aWlaOGRDQTJ6eWJxc1BHU0tocVd4ZGNzRk9UVW5yN3BtQW9HR3d1NEtvTzBlWUI2SVc4Q2lhb3kyeVFCempBQUNXaF9GZXRSYVFENEJHemrSAc4BQVVfeXFMUDNRZ3VzeW9MdGRVdGI3MnNvbUljT1BubHZOWE0wVEZBajFPOFZubHdRc0U4YUo0S1NjSHRQUkFDbFdyYWtmZ0dELTdKMFFOa3dKUFdWUndtaDZKYUNrTFRWUnktQUFhOHRQXzJaV2hlSlFpcUR4MXctbnFFOTJpY3VoWGJGTkNQSVE0Q2hseFROX0VfVXZBdFByWXpId21yR09qWEsxVmVMWGlid29tenlBTU0tRkZkZG91Vl9kRmFBU3NITXNQUzdjV1k1NXc?oc=5" TargetMode="External" Id="rId21"/><Relationship Type="http://schemas.openxmlformats.org/officeDocument/2006/relationships/hyperlink" Target="https://news.google.com/rss/articles/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oc=5" TargetMode="External" Id="rId22"/><Relationship Type="http://schemas.openxmlformats.org/officeDocument/2006/relationships/hyperlink" Target="https://news.google.com/rss/articles/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oc=5" TargetMode="External" Id="rId23"/><Relationship Type="http://schemas.openxmlformats.org/officeDocument/2006/relationships/hyperlink" Target="https://news.google.com/rss/articles/CBMisAFBVV95cUxQQnJqYVVYNmM1RVNSX2J4UlVsY3p1aVpNUVpBQ0M0Rm01NFZTUm9naldKS21HakZTWE5IMjViSm1Td214X21OX1RxVUoxLWtHWU4zMWV5T2dTUFBaQzdfMlhrdXhTRV9hRWtVYzBLVnR4UThCeHBuaU5xeU82VUdYU2Q4SU5HdDJYTjVVOTlmT0VXclgzWVIxZ3ZueGtaQUplTHpISDk5WWJUYmJWa1dmeg?oc=5" TargetMode="External" Id="rId24"/><Relationship Type="http://schemas.openxmlformats.org/officeDocument/2006/relationships/hyperlink" Target="https://news.google.com/rss/articles/CBMirgFBVV95cUxPRi1hQnVVc1NraEx1a3VTbURRTk91cVFiVW9va2V3UzlPZHZfVF9OaUs4M0xjb0dhdFFNVExOeC1ndFJHb3FOSmpZVzN5dG9JYm44T0dCdk42Tkh6VVAwbTNEbGl6ZlRXYi1nOXlpZXBvNTdHNEdzZUxUanRNMjdzV2Mxb3pqY1ZsQ3E0b0lzWmVJM3dyQlMydm9ucmxGT3hJdEJWbXJwZFI2OE5KWHfSAbYBQVVfeXFMTVVJWEtlYWhEUU9jXzd3bXBlS08yYWU1TTNDUWpENkowNHFDLUU0bnlyNEtDdHFFbTlHaVB4X2dMQ1lCRFd6QThkNS1jS3NXek9QNGFZcW9yTlVIMC1QeUFaUHNKWTk1M2pUWURfVW9Mc09ZT1NHNmd6ZG5zZmdMY3l4QlpfYi1fOHRfMlh4bmx5WktRU1lBdE1BSDZJQ3JFNGZ0YTBPdGpVZzRzNGZnRkE5T2owc3c?oc=5" TargetMode="External" Id="rId25"/><Relationship Type="http://schemas.openxmlformats.org/officeDocument/2006/relationships/hyperlink" Target="https://news.google.com/rss/articles/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oc=5" TargetMode="External" Id="rId26"/><Relationship Type="http://schemas.openxmlformats.org/officeDocument/2006/relationships/hyperlink" Target="https://news.google.com/rss/articles/CBMirwFBVV95cUxPRGc3d3VfemdCVm9OMG8tZFo3MFpXMmtQR3paUW9yMWFia0txelBIS0w2M3RSeDdRdzV2WkR0WmU2ZFdNVkUyUWJMbWQ1YVA0M3d0Y3hRQkMxa3FlMDMtSXZ1OHF6UWNaTzRmTklWVnpSNHp2bzdRT0F3SlNvVzVFQ0trU21MeHlOMmU4R3U1c0NNTmw0dGtoT1lORzRBOGdTaUMyRjFtWFc4bXdsemFV?oc=5" TargetMode="External" Id="rId27"/><Relationship Type="http://schemas.openxmlformats.org/officeDocument/2006/relationships/hyperlink" Target="https://news.google.com/rss/articles/CBMi0AFBVV95cUxPQkQtNmxoYVlFemRfNUd0Qm9FS291cm95bEJMaUszTkpuYzV5eGRkNDRhQmNFUHpwZm9iLUlHSjBESTktZ2MyWFMyd2c0cmFqUG5ldERPTWM1VXA0c1dMMEp3TTBSVEh3R1J0eGhMbGZsd0otU1RhTV95cE1kVmo5cEZ6STRxYUowTldwR3JXZ29GZXoyNkFvTUNRbGNxbEYyalUtUGl2NmVuT2NhRDhlTkcxVDlDRC03TGxyRkZfUmlZcThJTHZ4OVg3c1lZdHp50gHXAUFVX3lxTE05SGdoSTZRaGw5cmhfSnJlMHkyOVF3eEdkVUk1YUplLVhhSlMxT0RkM1M4c1BJWVYwb1o0eThkY3ZyTHQwdU1fOUs5cW9BUk0wOHJ2ajM2cXhfOHB6M2FkY3ZzRmNKbk5wTWJfWnhjYk8wRUVvRGJqSW9HWXRjSllQMlg2bkhWdVRSaks4U2tSaFpxLTI1bDFpWld0WnF1a3BRSDdGLUZYa3p1Mkxoc1VPWGhXaGNVcHZNZ2h5NUI2WThSMVk2Zk0xQ1dwZWVJVG4xbDdobFdZ?oc=5" TargetMode="External" Id="rId28"/><Relationship Type="http://schemas.openxmlformats.org/officeDocument/2006/relationships/hyperlink" Target="https://news.google.com/rss/articles/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oc=5" TargetMode="External" Id="rId29"/><Relationship Type="http://schemas.openxmlformats.org/officeDocument/2006/relationships/hyperlink" Target="https://news.google.com/rss/articles/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oc=5" TargetMode="External" Id="rId30"/><Relationship Type="http://schemas.openxmlformats.org/officeDocument/2006/relationships/hyperlink" Target="https://news.google.com/rss/articles/CBMic0FVX3lxTFBfZUw0Z3FFMW5wMEh2Y3hDQWYzaXBDdjYwOTU0U0F5QUhQOUJrOVBwaklBamt2WlZRV3BpSVk2cllvR1h5OUZuZ1JIX0UzWVllUEJfRVhGM3dFZzdRenlJMXpwbVp6WmhsZ0ZfdVY5bEdyaVU?oc=5" TargetMode="External" Id="rId31"/><Relationship Type="http://schemas.openxmlformats.org/officeDocument/2006/relationships/hyperlink" Target="https://news.google.com/rss/articles/CBMiigFBVV95cUxQWXZJcDhpRDNTYkkwc0lBd0FsbFpsVnY3OWJrazA2eVBGa3JaemVpazFQRDIxZDhpWWI4NUE2TFdiSHBSc1dRVjc4eFFWYlpfdE5DaHc1S0wybGdJZjNRcDk1VW9tZ1hZZ0x6N2R1X0hOTjF2M2puaXVsajJaejBsZWVtelpYZHJLM1E?oc=5" TargetMode="External" Id="rId32"/><Relationship Type="http://schemas.openxmlformats.org/officeDocument/2006/relationships/hyperlink" Target="https://news.google.com/rss/articles/CBMi1wFBVV95cUxPb25QcE8tUEx1X1RFc1UxVHR5Q1NoVGF2VXpOUFRLMENjMEprQWF1WG16QWFyTllOX2d1ZTZHZEplNU1uSDZjSGc5S0lkN19OcVNrLTJLMm56ci1JbUl4ZXp6a3J3djdnTldlRVI4U0pBRk9LdTN1MTBudlJWdTREenFJQS1IVC05MVBsRHZBQTUyV1NydmdpQWlHRkxTelpMbUNfYlRBS2Y5bFRRenR3YnNzUlpZNTZiTnZwOFNwM28yY2tKVzBTTjNnVFJkUUc1WWZ4dHNhNA?oc=5" TargetMode="External" Id="rId33"/><Relationship Type="http://schemas.openxmlformats.org/officeDocument/2006/relationships/hyperlink" Target="https://news.google.com/rss/articles/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oc=5" TargetMode="External" Id="rId34"/><Relationship Type="http://schemas.openxmlformats.org/officeDocument/2006/relationships/hyperlink" Target="https://news.google.com/rss/articles/CBMixwFBVV95cUxObV9keUR4Ymh6a2xXajRZVWdRWk9HZ1NJSlM2Y3AyVTg3TGNXSzVRZ3VFNzVYc2k2Qi1HSXVQNHBQQVBnQ2pEX0NkYXVza01LRDJXRTl2ajRiT1FBRjFDT1JfS0FRQjNSbkptUUpPX29ScVVNNU4wbDF1c2d2MVVSRmc4cWRVNkJwM3B6eDV3S0trRFhzQjBGcXVSbzEtTWFJVG9icGdDQUdDYUxFSHRUUHMxOEJOQ0drZWplYmxTbVNjOVByeGVF?oc=5" TargetMode="External" Id="rId35"/><Relationship Type="http://schemas.openxmlformats.org/officeDocument/2006/relationships/hyperlink" Target="https://news.google.com/rss/articles/CBMitgFBVV95cUxPMmZUcHJrclM3Q3FCQS1RVGNJLWp3amY0dXFxc3p4eWtqT1owSks0YzBFSU5reGdmQmY2RmZRSjg0SWl6NEwwSm0tR1djbVYtaW1mODZzalEySUhURzd6WVNhaHl4YXFVVFA1Z1JwdkJLTzJoOTJQczU3OUx6RHFtd1liSnJ6NXNKNGpWLWtIcXlCS09kNkNCTXByUEtrbExsbzNkNXBtcjhEZkhpU1NWT1RfSEd5dw?oc=5" TargetMode="External" Id="rId36"/><Relationship Type="http://schemas.openxmlformats.org/officeDocument/2006/relationships/hyperlink" Target="https://news.google.com/rss/articles/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oc=5" TargetMode="External" Id="rId37"/><Relationship Type="http://schemas.openxmlformats.org/officeDocument/2006/relationships/hyperlink" Target="https://news.google.com/rss/articles/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oc=5" TargetMode="External" Id="rId38"/><Relationship Type="http://schemas.openxmlformats.org/officeDocument/2006/relationships/hyperlink" Target="https://news.google.com/rss/articles/CBMitAFBVV95cUxOczI2dWtrQXZnOWd0OGRKenBjWWZzZHNsSmFhV0FORmZENnZYM09yVVFCSlJaU0hxWFY5S0VoVkhaTXV2Rm5rcFpxMEo2QUh4Q0hxT1pUaUdURVZBMXBIX2JvZmdMLWVSMmExSUh0U3lSaFFINnBmN2dGbWdLMEFjTHFlM0dlalBDSUJ6THJTM25BT2J0VWZud0JCR1RpR0JYT1pZWnVhellBZVhNZG02UExOZlg?oc=5" TargetMode="External" Id="rId39"/><Relationship Type="http://schemas.openxmlformats.org/officeDocument/2006/relationships/hyperlink" Target="https://news.google.com/rss/articles/CBMi-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oc=5" TargetMode="External" Id="rId40"/><Relationship Type="http://schemas.openxmlformats.org/officeDocument/2006/relationships/hyperlink" Target="https://news.google.com/rss/articles/CBMivgFBVV95cUxOWnBzZWZjcHJib0NUcFVNWldhaFZxbVV3RVdKa184dkl5QlVKWDd3ZHBvYk9sSXhOX2hwOW80RG5wRy1McFVrRDhaREZDcndUb2dZSUJqMXBmel9pOS1fQzR1U2pna0lNREFLODY1U3dFaklCRzI3ZWtNT2FWQWlaLXBLeGVxZHc0dzhLa0JNZDR3WEJZa0NrX3BRbGhmTGpiNnpORFdFVmtYUllnc3VzMUZBVUg3cGVZVFlJb19B?oc=5" TargetMode="External" Id="rId41"/><Relationship Type="http://schemas.openxmlformats.org/officeDocument/2006/relationships/hyperlink" Target="https://news.google.com/rss/articles/CBMirwFBVV95cUxNTjF3c0hmRXdCZHN5ZFJoSTl5MU52bW8zS1dnNzFxNElUZDJWRUNxTTVGWkhJMVZsTjF1Um5GSW5wSGRGanZESGdsTVp3UnFYRE9Va2R3ZkxHSzBHeE5wY0MyMDRrZHl0N0hrb1RVYjEzVkY4VVc4dUthVHFTN3pTVEpHMl9tRDMxR29FWGFiRVJmNzhyTXdBaGJUYngzZmNIZmRBZFZzeU9JNmdOQWUw0gG8AUFVX3lxTE1UWExDYWdXd09FZ3V1cU9TQy1pcnFDb0xRSExWNkRhRWlKcDlBSzJrM2gwMUhwaWtOQTJHTFROcVpWd2FHajhVZGdhc3ZJNTYtZGdBTEQyN2lZejNMZ3RFT1FuQ2ZHTTZNQ1hjLWZuYnVNMzlURWxBRTNSQzJmVkZhWmlxT3JaWHJxUERxWU5vdkpKLTgwLWtkTEFjZ01LRnFfOWtoMmhHbnpqckZtVm1qMlJaa3RqLXQxSzR4?oc=5" TargetMode="External" Id="rId42"/><Relationship Type="http://schemas.openxmlformats.org/officeDocument/2006/relationships/hyperlink" Target="https://news.google.com/rss/articles/CBMi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dIB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Q?oc=5" TargetMode="External" Id="rId43"/><Relationship Type="http://schemas.openxmlformats.org/officeDocument/2006/relationships/hyperlink" Target="https://news.google.com/rss/articles/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oc=5" TargetMode="External" Id="rId44"/><Relationship Type="http://schemas.openxmlformats.org/officeDocument/2006/relationships/hyperlink" Target="https://news.google.com/rss/articles/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oc=5" TargetMode="External" Id="rId45"/><Relationship Type="http://schemas.openxmlformats.org/officeDocument/2006/relationships/hyperlink" Target="https://news.google.com/rss/articles/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oc=5" TargetMode="External" Id="rId46"/><Relationship Type="http://schemas.openxmlformats.org/officeDocument/2006/relationships/hyperlink" Target="https://news.google.com/rss/articles/CBMi8gFBVV95cUxOOXlBUU1vbHk1V0hRMjY3TkhVa2hVTEo1MkpwMHl3V3U2QlBFMGhEZUVkVVZQempQYi1wUGdpdXJudUdhR2NsbTluRHdZOVdFM0J0NFZNY21MaW1BaWFqb0lOU04wTnpOcW1qc2RmOTBKUmtVLXlPdEtzSDdlbmVrTVU0MmRIU25xWmZhSDM2SEthQ0NvWXNBVE9KZ3F5d0I2R2tSRkpSdExMRlVEUUE5ZVJ6RjdfVTB6bVpXRE1XQVF4aEVrZ0hEYlN2MGh3b0RNY3hmRHRaaXF1OTd1b2ttY0hjRDJ3NjdRZXhMN0JTVElLZ9IB9wFBVV95cUxOZTZlWkZqU1FlY3JSVmpDZDJCMnJzX1RmZ2dLYmdaUFJHQ3NsM3c4VzFIWHhhVkg0aG1ETkpISmlEQWlyYnh1Yi1ITDEteXZhOTI1TlBMYlVtMkNVMXZZN3NEeENzRU1uWGlzNFlpOWpibjhHYklJM3o4emI3VUp3WXc5aDE4MEt1LUx1Ym9OMXVYbUlWMm5fd1Ryd2pPeEZvSl9BVnh3OFFpNjJFcmxlUE84RDFiVWo3ZjMxRW1YMUFfQVY4VjkzSEJ2X3otandEZTQ1REpGZ2JGTVdGa011a2paU2lvVjRuU3BEV2xmTWhZWFU1Q21n?oc=5" TargetMode="External" Id="rId47"/><Relationship Type="http://schemas.openxmlformats.org/officeDocument/2006/relationships/hyperlink" Target="https://news.google.com/rss/articles/CBMiywFBVV95cUxOQ3RtVXlOVm5oVDN6UmhwMUlBaGZPQTNLUm9rc2FIXzBKOFBOSXBHZzhVSXNlbU9BXzUxcGNYN0RsTHJ4eENyN3VBVnN2SUNhU0lMN1JLZ3cxWFNuRGVFX0RJWWRzNE5tejA1NDlvcnRybzZTcnBKQ2VPeGJrRzE1TDZSZ3BycWFwTG9NUXhnYlFMcmZ2N3h4SUwxNmU4bHhURTdnaF9OcU5CWXB4MUY1Um01NkxYMDRJUUNxaTFwZ0VVUkl1UjNxUVMySdIBywFBVV95cUxOQ3RtVXlOVm5oVDN6UmhwMUlBaGZPQTNLUm9rc2FIXzBKOFBOSXBHZzhVSXNlbU9BXzUxcGNYN0RsTHJ4eENyN3VBVnN2SUNhU0lMN1JLZ3cxWFNuRGVFX0RJWWRzNE5tejA1NDlvcnRybzZTcnBKQ2VPeGJrRzE1TDZSZ3BycWFwTG9NUXhnYlFMcmZ2N3h4SUwxNmU4bHhURTdnaF9OcU5CWXB4MUY1Um01NkxYMDRJUUNxaTFwZ0VVUkl1UjNxUVMySQ?oc=5" TargetMode="External" Id="rId48"/><Relationship Type="http://schemas.openxmlformats.org/officeDocument/2006/relationships/hyperlink" Target="https://news.google.com/rss/articles/CBMi1wFBVV95cUxQWVhlcmc1NHJGNVpFNmc0YWxkS2J3YVdMMEhHa2NTTXE2Y2VNamk4Q3B1QkRNSWNndi01MnhabkdhbW1aU1FvTzIzVVpLRkhOTUlsbnZlSVhpMGJzZjN4cGdaRFRNX0hXX0FSdkF0OUkyQkRLVk9pVi1Oa24zbS1sVzJMU3NTNHZiMVJTT3d5RUp2N0laTDdiQWN3bmhrTFAyc2p4V1d0X0ZvNUQzajVmekVBSWI1ZGNRTW9Cd3BVSmhkbTg1UWxlWUxqQU5Eb3IzcE9UdWRqQQ?oc=5" TargetMode="External" Id="rId49"/><Relationship Type="http://schemas.openxmlformats.org/officeDocument/2006/relationships/hyperlink" Target="https://news.google.com/rss/articles/CBMixwFBVV95cUxOaHdtMmlBYlcxWV9oYlg2enVYa0dGWHN5QmZHTXFObDhzN3hFVFFGMjJaRmxSSW8tVXBwaUcxNk1PWEpiMENhQXZwMFI3TlVZLXZkV3VzcVpNYzU4MTFnTTI4d2ozOXJqdTdQX1pYa21BRHVCay05d1E2UXpPOExzX0FoUnVtU2NYR3JRb20tTF9paGxJRWJwaFY4TXdRV2NqVE1GdmlBNkFSOVNwR29fT1pWbFNLV2pkalFiRzBrQlhPYWZsbC1B?oc=5" TargetMode="External" Id="rId50"/><Relationship Type="http://schemas.openxmlformats.org/officeDocument/2006/relationships/hyperlink" Target="https://news.google.com/rss/articles/CBMiiAFBVV95cUxPNDBzTWZXYUdHWE1DYWFzdmx2QVJOeWZCUFFocF9zWDJiZEJCX01uN011SHNBVTA2SjJ5WGs1NTBnb0VLWHVpSUZQaTFvNTBFNEx3aUs0Rlo5d0VQZFo2U094bHQ3MnFXUklYWm1FdlpwWUpVdkFkVkxXNGFBSl9PYXpMVEJGVk5M?oc=5" TargetMode="External" Id="rId51"/><Relationship Type="http://schemas.openxmlformats.org/officeDocument/2006/relationships/hyperlink" Target="https://news.google.com/rss/articles/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oc=5" TargetMode="External" Id="rId52"/><Relationship Type="http://schemas.openxmlformats.org/officeDocument/2006/relationships/hyperlink" Target="https://news.google.com/rss/articles/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oc=5" TargetMode="External" Id="rId53"/><Relationship Type="http://schemas.openxmlformats.org/officeDocument/2006/relationships/hyperlink" Target="https://news.google.com/rss/articles/CBMivwFBVV95cUxPOEZ0d3B1TmtudmI5LTFlS1doNmJkNVB5QV9jM19nSjB0cnJFRWNvR2V5MHBUM3hrbW1Na3V3V3JjQm1SM21tY18tekVSUkZaMDItdjcyTldsX21VMVNZMDdZaTdsWkpyUTlUVjJkbVZkOFJ0RzItN1NHM0Zyd201SWNqWVYwZktRVi1Kd3RzUWFqNHFWOExzSWZjYjVodU1nRzJhV212c3BSRlFJRE1heTM3OEN0X2RWRFlmdEZuOA?oc=5" TargetMode="External" Id="rId54"/><Relationship Type="http://schemas.openxmlformats.org/officeDocument/2006/relationships/hyperlink" Target="https://news.google.com/rss/articles/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oc=5" TargetMode="External" Id="rId55"/><Relationship Type="http://schemas.openxmlformats.org/officeDocument/2006/relationships/hyperlink" Target="https://news.google.com/rss/articles/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oc=5" TargetMode="External" Id="rId56"/><Relationship Type="http://schemas.openxmlformats.org/officeDocument/2006/relationships/hyperlink" Target="https://news.google.com/rss/articles/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oc=5" TargetMode="External" Id="rId57"/><Relationship Type="http://schemas.openxmlformats.org/officeDocument/2006/relationships/hyperlink" Target="https://news.google.com/rss/articles/CBMi-AFBVV95cUxQWktrVDVkM1I1eTRZSlpMbnh0bkRuOFJ1bnpkRThmRDUxYVVvWXI2S3FET2FaOGRXWUZMbFJxWV9Zak1OSTFCV251R0NkX1VlV1NtemNiaEM3LUZBQkZ0YV9qc2s3dUduM1pLMDVLbFRoclZVWE4zSTlpRk5GRExxNGZ3QmdDMnFRMHh1alJ1ZG9DeTZTQzBMNWFrODVmNHFhSDRpcnpkYV94ZzNZbnREaVgwREZ5eW1SU2U1WGxTRXZMdXlYVXk3NGJVeWM4c2hzd1dwNkx6QldGS3B6RU9lbkNQZFZrcER5d2lFQ3hrSFhvVDJaeG9LWg?oc=5" TargetMode="External" Id="rId58"/><Relationship Type="http://schemas.openxmlformats.org/officeDocument/2006/relationships/hyperlink" Target="https://news.google.com/rss/articles/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oc=5" TargetMode="External" Id="rId59"/><Relationship Type="http://schemas.openxmlformats.org/officeDocument/2006/relationships/hyperlink" Target="https://news.google.com/rss/articles/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oc=5" TargetMode="External" Id="rId60"/><Relationship Type="http://schemas.openxmlformats.org/officeDocument/2006/relationships/hyperlink" Target="https://news.google.com/rss/articles/CBMi4gFBVV95cUxPLTU4TUNGOFRwN0cyN0hDTll6VEdsX21SSmlzUTBpTnVQRUhUTVVTWnVEMVVzazhTWno1RjJVT2x5Wk9ZelFuTDlJUDM3cU96TWUzd0lZcFB1TkY1M1c4alVqQXNzNkpHbWJWX3FUWERyUlBuai01QU9CLWVaQzl3dUNkeGtQTTdYRGJkTVdkMTVEcV8zbld3NE03NWNSN3Z5eHdFZTZOcFBIWmp1X2VGQjd4MS1pSGVzMkJyblRWZXVFZE4ySTRzMml5N1hhN2g1TDhpeGx3Q2ZlblhId255eFF3?oc=5" TargetMode="External" Id="rId61"/><Relationship Type="http://schemas.openxmlformats.org/officeDocument/2006/relationships/hyperlink" Target="https://news.google.com/rss/articles/CBMiwgFBVV95cUxQLXZBYm5NNUVmOVNNRHpFS3dlaGx4STZhQkMtX0FidWlMbTdRYjJNZGJYOFZwVjF1M2ctRDEzLV9LWGkzWDdjTld2dHJ5OXJibzVBVHNXRXV0b1dYNTFmSy1iQWw5LVk1dloxZGk0WHM4SmhaYzFYbjhYc3NiVHFTdWFCZU05eTRBd0J3eEx5SEV6ek1hUGs1MXhvemdRZTVoeFI5aTBQZFNIeGJpN2ZGMmhuMFhWV205OVlXczVDWS1UQQ?oc=5" TargetMode="External" Id="rId62"/><Relationship Type="http://schemas.openxmlformats.org/officeDocument/2006/relationships/hyperlink" Target="https://news.google.com/rss/articles/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oc=5" TargetMode="External" Id="rId63"/><Relationship Type="http://schemas.openxmlformats.org/officeDocument/2006/relationships/hyperlink" Target="https://news.google.com/rss/articles/CBMihAJBVV95cUxPQWVMMEhXd095Z3UxMlhGVy10S0lrRFJ6Wm5YREdvanh4bElfWVFLLWkyOGVyTF9Hb1lnZTRRcWV1aE5UUHhtWk15YVhXdm9ZNUpYZHc1MGhJYlVFeFV6RC1CN1RtOWpBTU1McUd3RFFqZ3BZekgtSWJzSjZqMjdzZmdpZ0VZbERENVFFYm54Y3QybkNkdkpzZUJkU0JLQVpNNVR0WVlUVTViLThZQmlUQmJaZTZ2bWdVaFFES2VLdkkxeXUxTUthREd1QjhWajFXMEZJSlNJOEd6dHZhNnRDaTkyZGkwN1Q4MEd6elNJZkZEUnpqTF9jcjZfdlludzNVSEhZNdIBigJBVV95cUxNVG91Wk0wNnVNNTdjNHJSSVludTZCbmRsbDZzbTcwUFBSWm16WkF4bENrUEVleWlYbkdVRXpIQUExMW54RUN3WTV2VUFWMFh0ajBZRktoVkxnaUl1bTc5N3hhOU5nRUk5RWlHcmVuTml2OUk2Y2U4Zi1vWExySS02T2c4Z3M2bVhtVnFCQ1NLcWZOUWFjVTFOZmM4NUxpTlZYNTQ3ckxvWVRFOWNjZUhCMmxUV1R3bGpSdWhpYXozNWtIcmtNU3dRanR0Wi1WSlNGLTFadHRVTm5waUc1Y2NWRWRvSzBTY3VETFJoYUJQNVFxdk0tU3Eya09sSWhjYTBlelBYRHhjYVBRdw?oc=5" TargetMode="External" Id="rId64"/><Relationship Type="http://schemas.openxmlformats.org/officeDocument/2006/relationships/hyperlink" Target="https://news.google.com/rss/articles/CBMi3AFBVV95cUxQSE5EbFFtT016ODBSVG1IaW1FR0MyOElmblhlUWw5QnppSHRkMEtUcnIwM1hMU2NuU2c1RzRZWS04NlZIa3N0ZDZrakVLX1pnMWI0Nl9iWHJ1M25pckRRODdfcVBOaVktMFlEYW9nRWZ0WEV6V3I4NThjel9KWGpLSWR1b1VPM05mdGF2MVl0MC0zV2RFRURaZUw3OVYyT1piQ1RVWTNBWE5FamZuSk1FN2FxMVdaR0J3RkJqOE9mT2lHUHRIcGlNRkQzbkFneU5KSFYzU3ZlZ05LLVpi0gHqAUFVX3lxTE5VbDhhdGk2bjVBYWRzRlFmc2hVRzVjQ1RZNzRFWVhvTzZvb2xSaXBnZjdoc1JQWVdjbGF0LUFNZWYwWWdoWHhOVzFKd3JGNGJRRkhLOGlpX0dLbjFNcUE2Um9UYkxXaXdTTzNMb3FTTWcyNXhWZ01MRXlXZ2Y0Q0JTQTFSOWVhRU1YdU9QNkRzSHJidjVwczl1b1loejZOekRXZUM0SWJNQWgyN25DZDFid3hreXBFUnhmbEUwNnJGcV9wLUlpbzhWcmJ5TEdPSV80N3hLV1k2STEwU3c0dWRaM1NkRkNXZnRTdw?oc=5" TargetMode="External" Id="rId65"/><Relationship Type="http://schemas.openxmlformats.org/officeDocument/2006/relationships/hyperlink" Target="https://news.google.com/rss/articles/CBMi0AFBVV95cUxPRmdFU2M4RThEY05Odm1kOFpLbU1oYWc2WHNaVmZzaU02Y09NOEdySDB5TEZxdndKbEM0RkhCVnlNZFlLYlBpMTgxdThpcmt0Zl95OG4wb3RWTXp3V2htOGhIOXFjanJEczFYam83X2pmNWcxamt4M1VUYTdGUnlCMjItRjVjdjhfWU50bFBCY2NRZjhGNEl4Rm9oSVNsVnNqT0lVZmgyR0JNY3JxeXo1eU5ISXdHcGhadWxwZHBYWThqTnphSTc5ZkZrOGpORFRD0gHTAUFVX3lxTE13TkpUcnEwbldvXzZTekhfc09aU0pYdE9SSWh1RG85S0lSZnpod0FCUFdSMjF5SXdPR2psUGh0RHg4OXRPSUhhWmtWWk80X3h0aFp1cVdYeG1lOG96bGVEbHFOQzZrSXAtZm1SQU5RT1NQaU1WLTF3TzlTYWctSnZYZmRsWkFHX1ZYck9wSExBcWlFMHBLM195VUY0d2t5ZlBBRnY2a1RObVJjOEdKNkwtcU1YZVFvaGhPVlFYWmYwU2kzeU9VcDd3NmRWUVY2SXkyWEU?oc=5" TargetMode="External" Id="rId66"/><Relationship Type="http://schemas.openxmlformats.org/officeDocument/2006/relationships/hyperlink" Target="https://news.google.com/rss/articles/CBMioAFBVV95cUxOZS1GWEJFV29qTHduMnpnTS10ZnNqaElCQ0NuNFJvQkxiX08wRW9TR3cyV3JNUy0tRC1hdTA0ZjNaTzdlbFg1a1oyUW5HZjJlV200UVZSRldVd014Z05xT05xdFNnam5CUWVSenJyZVFzN0Z4T2F1b0xOS3VwVW5GZHpmdjgyMDQ3T0h1cjZvSmtFWmtsM0l0RFpsM2c0S3Ja?oc=5" TargetMode="External" Id="rId67"/><Relationship Type="http://schemas.openxmlformats.org/officeDocument/2006/relationships/hyperlink" Target="https://news.google.com/rss/articles/CBMipAFBVV95cUxPWHVNQk5rbFFGZEtlam93TG5zOU1QYUJxc2V5NWpSSVVwc1VSbE9BSkZBQ0hXdF9EbHNYZzhncG0zMGxCenZrWXN1eVBjdkl1aEpwWi1RRXpJYU9zNlI2aDZpYVRrVWZ2RlZ2TEdUU1VGaWw5VW1KZ281elRsVTF0RjhUbGZuUkJ2QmYzUjFXWGpSckY1dzlzLWxxVzVRejc2YkdIZNIBqgFBVV95cUxNRGpoVUxreDZKZV9jZTNBUHhEQlZURmZ2b1VoMnVqbmREdDRRTGRERncwZWtVZDhQLU04STVuZHFfVUg3OEl3RmZHdXA0OUxlNWdEdzBpWnp1NTgyMlVqRWZtV3lYZk1JZHV3YmlOQkZfbDNaNVdncWJlVUM0TzR0dGZ5c1BKelk3ZWJ3OVRSVmYxT2dXUlV1YzYyRERoU2cwLUpzT3lOYk4tQQ?oc=5" TargetMode="External" Id="rId68"/><Relationship Type="http://schemas.openxmlformats.org/officeDocument/2006/relationships/hyperlink" Target="https://news.google.com/rss/articles/CBMi7gFBVV95cUxNWDdRSTJOV2JWV05LbHZnUFdRektvcmZLbXZHd01nVlFfV21nNzg1NWlxcUZMQzlZTF9DRGYyajNzYXRUbnJJMGh5RzFPT2RaOHVJUkJia0RRMU9YWmVuaEhjVVp0LTVjcTdYdVpaQTFWT2YxSGFCRU5SYm83RUkxX21tWGxoNkdEanpxa0Nna0Q2WEIwZUc2WTlUcl8wUHZGdENFS0dsWHZsdm1qWE1SZ1BZVVh1d2VuOVF5WFRtaGRmSTRsbTZHT21FODhuempPYWJBZTcwSE14bFpranhiWEtlZmJHMFdoSUJlUG53?oc=5" TargetMode="External" Id="rId69"/><Relationship Type="http://schemas.openxmlformats.org/officeDocument/2006/relationships/hyperlink" Target="https://news.google.com/rss/articles/CBMitgFBVV95cUxOM1M1LWdKOG5CZE1FX1NOWk1PcWRtajNKaXo2djkySS1oTV9QWlE3LVRTaFpWWGdueG9tLXc4a1ZCT0YyM2FtWmUwQ3J6dWlfRjc3S2REc1JLT0F4UnVNaklkZExaYkVyaklvNmJqM1E0aDRtYXZJY1IzUWxTbzdxb3BOZGJ0SHAtTHB2V1Y3X2NiczNud2ZiLTh4RGxfdXJyUF95TWk3MlhnM2xyMnNtT0w4N3M2dw?oc=5" TargetMode="External" Id="rId70"/><Relationship Type="http://schemas.openxmlformats.org/officeDocument/2006/relationships/hyperlink" Target="https://news.google.com/rss/articles/CBMiugFBVV95cUxPQzJiUG82SDYxWFNBak5vWjBReGlfbzFrWTRyTlk2eFZsT2FkYnQ2cGtJUUpRZFFDT0dseEFlRHkybzhFd2VMNU0tc3BYWWZkVHQ4YjFvc29GU3M5VDY3RzN2OGwtVUVmT1JUMFJGdlc2b2dxU3JoQlF5ZDRDWlA1OG56RTZMWDMzSk5wMmZoeFFFVWlZX2swVUpPM19hSms0a0Y5SDFZOEJUMEFYQVhKR0p5b2hDTFM0bUE?oc=5" TargetMode="External" Id="rId71"/><Relationship Type="http://schemas.openxmlformats.org/officeDocument/2006/relationships/hyperlink" Target="https://news.google.com/rss/articles/CBMia0FVX3lxTE9IenNIWk9nSmpoVEY0US1CYkZRcF9KWDVobkY5MHlRNlc5eHlNb1doVi1RMlFHY2d5NmstWER6NE8ybTR3TmFXd0ViUmpRMlZsNU8zT2FBdFg0UVhDaGpoeVl0SGpXU3VPMDln?oc=5" TargetMode="External" Id="rId72"/><Relationship Type="http://schemas.openxmlformats.org/officeDocument/2006/relationships/hyperlink" Target="https://news.google.com/rss/articles/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oc=5" TargetMode="External" Id="rId73"/><Relationship Type="http://schemas.openxmlformats.org/officeDocument/2006/relationships/hyperlink" Target="https://news.google.com/rss/articles/CBMigwFBVV95cUxOQXNPV281ZnNwaXYtVTZSNFdEcFlGVFU5YkRvT2JqQVJCRkU3QjZ1UXRLdm5YWGFEOG8yM3VaU196dlQ3MEctM1dWelVXaGtxNFkwNS1YdERRaXFkSERoTVJ1Z2lfb2ZRZXBIcWFlWjlQbVMyWTVkejRXREZOVHp5aUtJZw?oc=5" TargetMode="External" Id="rId74"/><Relationship Type="http://schemas.openxmlformats.org/officeDocument/2006/relationships/hyperlink" Target="https://news.google.com/rss/articles/CBMiwAFBVV95cUxOWThVcnJlSWpkU0QzNDF0WnY1Q0IybkhlSVRmdGpFMFE1dDFvZ2lxYnpXVnVoclVpbUFneTA5cDJ2Y3k1akphYkhYaEl6MU4tc3paVjZLQ25Xa2oyN3dadFJVemtDYmlHbzA1dVZfaU9iYnFDOHN0QklwRmdmWkpLTDVkcW8zZlpYZDNvVEE5amlIYlR3VnRkR0xFYWtsRW90MGN4dmxxa1p3U09ud1FLcGxsS25DQW1IVkNCbWxiX1jSAcgBQVVfeXFMUGtCLTkyQlZmNFhiNWYxY2dnUnVYOU15WGp3Zlp5RUJNLTNReU5uTWlXNHZ6Qk5XMVZXdzNFQWp6MkhHamFZRWVmay03bTV0RjlTdWIySUloSU16ckdtckt5SEI0Yk9HOG9BWnRoSG5EMTJKeENZaTRpZEZpMzJPZFFoLWtvb0lCVXllcFFaWlZlNTRRUE9obXdFSlNSNjF3QktiTjhJUTFENEk1VExSUUV3RmI2amxuVC02YW43VEd3UnVQemJrZHY?oc=5" TargetMode="External" Id="rId75"/><Relationship Type="http://schemas.openxmlformats.org/officeDocument/2006/relationships/hyperlink" Target="https://news.google.com/rss/articles/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oc=5" TargetMode="External" Id="rId76"/><Relationship Type="http://schemas.openxmlformats.org/officeDocument/2006/relationships/hyperlink" Target="https://news.google.com/rss/articles/CBMiiAFBVV95cUxQNGxTOExuMUFDS0lWOXFkeEJtX1FrY24wT0hJQVFNbjlvT2hiRTltb2Fad1VCWV8wZTBvNE56VDdqOEpRbzcwejNkQVYwTHFfMm1HY1FXN0NsNUJCczVqVEd6b3lhMzBpLThjZG1GV3dnc2MyVUFSY0JXeVdrV1QxZlp2OExZX2pB?oc=5" TargetMode="External" Id="rId77"/><Relationship Type="http://schemas.openxmlformats.org/officeDocument/2006/relationships/hyperlink" Target="https://news.google.com/rss/articles/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oc=5" TargetMode="External" Id="rId78"/><Relationship Type="http://schemas.openxmlformats.org/officeDocument/2006/relationships/hyperlink" Target="https://news.google.com/rss/articles/CBMizAFBVV95cUxPSnR3MGd6Rl9sSDBDNzE4Nkx2ajJ0bDNVVUtnQ24tZEIxQVB3Skg5NW41NkFWTUdFQ1hMTjhWd3JtS2o3MEZYSWNNV2p6ajNtaFdneWxaekZ0SzJNS21mU1RDSEZCVXBpenVsMllNaVlPM3YwcGhTekstTEFCcGtpZXFGLXlRanM2TkpZWDJVckRlOUVNUEZZQ0ZZVlRQZU1SMjdiUElXMXZlM3dEQmhyQlU1dnE4QVhDc1l2Z25laHdneVNicWd1aEdoS3HSAc8BQVVfeXFMTUx2Q1VvMThaMGpVcWwxdUtZeHYwN20yLVhIT01rRldiYkwzSC14NUVCaTNKbFlORHJrU1dINURIOWdoT3JxVThiU0ptME5kMTlKVkE1dHJTUXphcTdjWU1fVmdLUW5BTnBnQUs3YzdabkRTalg0ektoQjMyM05ON1RTSW56TDJKM0pqcVlvdDkzdGxzLWxObEVTaFNIMXA4NEpoNzZmTjZERnJJRGJpc3gxZDBwV21pZWVna2JsZTQ2RFQ0UjRGNFU5d21DWVh3?oc=5" TargetMode="External" Id="rId79"/><Relationship Type="http://schemas.openxmlformats.org/officeDocument/2006/relationships/hyperlink" Target="https://news.google.com/rss/articles/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oc=5" TargetMode="External" Id="rId80"/><Relationship Type="http://schemas.openxmlformats.org/officeDocument/2006/relationships/hyperlink" Target="https://news.google.com/rss/articles/CBMigAFBVV95cUxNX0ZxTVJ5UmMwMlRnYnNaLUdtc3BpYjBZOEY4MEdlTEt2V2FnNWpEOTJSRzdLZ2NxakhSU1ctRlVpZmNrS2lUbVoxVm9YNG0zOENucmcwWWl6NFJKM1c2d2VuQW03anhnU2ptQ2xjY3RCM3ZlN014VWRwZkFmeXoxaw?oc=5" TargetMode="External" Id="rId81"/><Relationship Type="http://schemas.openxmlformats.org/officeDocument/2006/relationships/hyperlink" Target="https://news.google.com/rss/articles/CBMifkFVX3lxTE9ScUtUMWZiMldaN2ZsUXNxWlN0WGZaU20yengtYV8xZWN2djBYdlZseVVDaldod3YtUUh1RlZZX29ZYUxPMWp5U1VGN3dlVXZVc2N1M2doMFFHTWlzZmFpMWhhRGUwZjdmaWxrVnNycGtBMmpjZDBfNHN3VklZZw?oc=5" TargetMode="External" Id="rId82"/><Relationship Type="http://schemas.openxmlformats.org/officeDocument/2006/relationships/hyperlink" Target="https://news.google.com/rss/articles/CBMiuwFBVV95cUxQRmJCSlF1UVlhWFA4QXI4YnA4NlVPMFBTb3loX0hGTEtoNG0td3FsZW9FX2Z2N19qTkRBOFZDOVR5Vzl4MXFTU3A3Y1dxQUVKcVVpNmRKZEpjaGlRdExrdzBiZ1BVTnJDa3hIdkNma1NuTENLZFljSVBWUFotZXJ2STRMTXduT2JFTEdUUkREazc5NHdpZmkzTG55dFJEODFEbG94ZjZpMDRiOXQwUVkzcDl6Q2thS3dTQ0Y00gHIAUFVX3lxTE9BZkNWN1gyVzhJSmlqZ3AyZ3B3amhfLWxLUkE1LUN4alpVYVpKMjUydzRYdlZySGRFelRaWjh4eE5GaXk4c2JfR0NyaURPUzRZLVRJcnUxWGlxRnA0QzVqdks1T1dDcnVxcHJ2SmRrVlluSTZlTW0yTzE4WU5VNUx1UVdPc0pGSWlCQjFrZXZFakI0TmZZczR3VTBnclpFT1NQSGJPendEcXdYU0xRZjhZdmdvWnBCbmo4bnVkbm05d25Wa0tCQ3N2?oc=5" TargetMode="External" Id="rId83"/><Relationship Type="http://schemas.openxmlformats.org/officeDocument/2006/relationships/hyperlink" Target="https://news.google.com/rss/articles/CBMixwFBVV95cUxQYXlXS3EwSzRVZ3puMU4xc0w5V0IzRWR0bkQ4UmtNQnVkLUVFSlk2N3Bma1hlMXYtUFAtcFppa1laeWFjT3I2WUpZRlQxUTlRZXVSMTVJX0M5aFIxVlpSUUZnZWpyYTQzTjFXRU5TQk9WdmdfV20xRHNFaTBGWGRKa0liNjhqeGs5SlFFTV8tR3daZHVZZjFaSmNGVExoVjl6eXhtbURYaHpKaE8xV2U4eWl2NkVRbklBZmxJd0lmcGNxaGlfWTln?oc=5" TargetMode="External" Id="rId84"/><Relationship Type="http://schemas.openxmlformats.org/officeDocument/2006/relationships/hyperlink" Target="https://news.google.com/rss/articles/CBMimwFBVV95cUxQZ1BOMU5hNW9FU2hKWE1POGtjZWg2RVZ4QnI1UGw2R2hhaEpVQVhrR1lwWnFSU09Za0UtWThyWHRKbl9KMlR1SFpNemFjcGhGanFUWWVfbGFYWWcxSExGS2VCdUV5QjJMeE1EcTduVUhxQlBseWpTcWhGbk5NVmhWUkdkZ1U2X2tnV2NfQWFWLS1FMVFFaEdNUmxIUQ?oc=5" TargetMode="External" Id="rId85"/><Relationship Type="http://schemas.openxmlformats.org/officeDocument/2006/relationships/hyperlink" Target="https://news.google.com/rss/articles/CBMi3wFBVV95cUxOU2tncDltd1k1R3NIWGV5S2FyS1BQR1JWckd6STAwUnRaQ3YzeENMUWIxb0d2UEp0U1ZTYXFObVROTEd5WVZWNmJVai13V3ZzTDhPdl9scU1xeXFaZmJtbEFQQnE4Y0t6eWpreV9OWVloZXBxTjREcnJ6RVlzYTZfSmtVbDJpUEJHZkJQZXcxUFNCNC1qanE1Yl9iQlFyYmM4aXRad0JZcDRpdktXMFY2ZGF1U01neUdQT1JZT2VQQUh4U2VMQnlGOVF0MlU5UVlMOUVSblh3MTdhOUtMWHdJ?oc=5" TargetMode="External" Id="rId86"/><Relationship Type="http://schemas.openxmlformats.org/officeDocument/2006/relationships/hyperlink" Target="https://news.google.com/rss/articles/CBMi0gFBVV95cUxPSWVIdTVWZFNIOXVDU2xZbElLZVBYZzFSa18xYzFQSEkwUl9YVkJPM1ZYRzdkMnlxenFHOVA5QU1LaHFrRUJFUWRjNGJHSnR1UnExcF9NaWdHcjJ3SFlPNnZoUjJ1Ulg0QndSWE1hUjVWRDRXUHhUNVItN2hkWkFNMnJ6RERrMlllSDZ1aTBnb3FvMVZ4cFhiRlp2TlFYdFhIcDJSOWFBS2Y1WlV0Ul9oWHR4Y3BibFl6dzRkREFHNExsNXNPV3VsU3AyV3dPWHl4bXfSAdcBQVVfeXFMTjlrRGZNd0pyTVkzbTd2WVVoUnh5aVhORzh4RXlUTWREZDA2SjU3eE5aU1FLWkpLT1A2RzVKVXVBN2VRTUZfeS1rVzAzY1FtT2NDZWdiUEZTc0ZTa1h1azVkMDNXX045WE5BWHRDYTNrUnpPdXBfRm81UUhXZG1NU253eS1LZjhKY0ZTcVN4b0piSkl4LTJLSFAwODJ6RmxYZXI2WnRGMThIVTV4N203anlzZHotNXlZZW14WlJkTTZFTGt5cXdUY2tIS05vb0w5NnpiS1NsYzA?oc=5" TargetMode="External" Id="rId87"/><Relationship Type="http://schemas.openxmlformats.org/officeDocument/2006/relationships/hyperlink" Target="https://news.google.com/rss/articles/CBMijwFBVV95cUxPdndmMFhWZ3pncW12S25NcDllS2NWRmFQWnRCZ0VVWHJ4b3FveTU2MzNzYkZwa0pXUzdVR1F1X09LanlDNjRGNUM3alRUMkVkUmkzN1g3UWxleVNWUGY3aF9DempIS0xreVh4QlhaNUdWUHczWE1Ub1Vzd0VuVDRlbVdCUUt5dzBhdi1DMDJRWQ?oc=5" TargetMode="External" Id="rId88"/><Relationship Type="http://schemas.openxmlformats.org/officeDocument/2006/relationships/hyperlink" Target="https://news.google.com/rss/articles/CBMi0wFBVV95cUxOcHljcnZVX3gtMFJDcHVmekZLVGpIbUczN3h2WHFPUUh1NUdEMVVHVmZkdDJCZmg0bUlxNHpwaU8wbjdGRTRzRjVJVklRWXZ2YXhIUlcwVFhDVGoyRHhxenNMcXdlQmNfMFY0dHVZZUhMN2NTM2JYNzRJLXlGV19lbzJ6VHVYSFNlRl9adGE1Q0d6NlhjY2c4cFlrYTRuMTlmdDhEZE5RU2pOSG1OZ3lJSXJHRnJDU21PX0daWGM4UmFYN0lyUV9xWFJOUnlWU0g5UXdN0gHYAUFVX3lxTFB0TVZiczh3R0ZSNE41TF81UW9tTmVxRWsyRWlXTVUtOUtMdmtBaEExMGFqbVVUb01IRmJJOVRfaHZIcWFxUGMxbTN6a3pOaktQYUMtM2tTMmJwWEFoOVJsVVFoWVpFLUwzaFNDLWpBaDNjMlEyRkc0UmJTM3Q4b013Y1JXSFl1ZktlTnN5WVBFcUZfd1V2SzQxck9KZFNEZTR6T0JNblpiZERkSkRiRkE1MHRaMG11NGR6WnNza3lFVmtsTlpLUjkwbjdQZnU0U19pdUZkZ2p1VQ?oc=5" TargetMode="External" Id="rId89"/><Relationship Type="http://schemas.openxmlformats.org/officeDocument/2006/relationships/hyperlink" Target="https://news.google.com/rss/articles/CBMi6AFBVV95cUxPSUU0bkZnd0JpRzFmazNqVEVWM3Y0X0VlVkdZcm5GTmFVSnZ4ckFDQzdUQ1c5NU5zYnBvcG1wcWpvTnNiMUhzTFhOS25YWkZlOHVoTGg2U0tqV1k2Tk1nQXBlN0lqbi0xZHNMeHEwUjNRdUdQOWN4QmZHMUJ2U29TOEdrSjR6cVZ2MVpsR19ZbktQQ0NEQURlcGluV3g0R3JsMFNLVm03d0s3UDNIZkpwenNOMnJ1U3B3SDBDcm9QLUVfYzRpS3dsUTB3RENvRzlUYVpsN01veVFJY0g4blRNSlVvNXY2ZWJF0gHuAUFVX3lxTE02TTRtYllVU2pqYkU3YjJYazUzV1RPYW5HRXhRbUY1dnNHcEFCaHY1UWdFVTZJMDFTSUM1bVJ3bFRBRmVJN24teWdUdURYZnlzZzUxMElJQU50OXJvSFdWWU5CSWFPa2V1WkFiZ0dkSWNnX2NVSEJ5OUZibWxjYmV4YlI3ZGlGTjc3Q3d3czVhRW5ZUF9uMy1VaGhHOHozMVVWNGtFX3gyc2lrWXlBeUdGSnY3SkUwcE9IeGJnVzRvSmktMzBDZDJMQmhTNWoxT3J5Wk5jX3hPLWR5YTJwNHNZNG1Ga00zT1RZbTk1MVE?oc=5" TargetMode="External" Id="rId90"/><Relationship Type="http://schemas.openxmlformats.org/officeDocument/2006/relationships/hyperlink" Target="https://news.google.com/rss/articles/CBMi8gFBVV95cUxPTk1JVWJXNWVJeUxkWUxMX0UyVFhBX2pYZkxkUmROLXlrU0Y3SVg4VGZvaWFGek41T0xxUld6czBpZW02amN5NzlHSTNqb3FzYWNiUElvRW5mOXFSQUJIbmpqclFlS3pzWXlnVlBidEZ3X2pyMnZPcjRXb0NnZ0dfQ2NLV20tYnlaTjdIQUtPRGZ5VUdIcUVzQzRsUGpreVZyQ2pqR3lnSksxb25ObUFBdXZELWo2cEVFaWZTZDA2eUk1eDM3MnVienVaR0x0ZmlRYTZQNVBDaldwNUkwTlNJQlRBODJpVnEtSHlWN0lTNktUd9IB9wFBVV95cUxONHRNNVFtWkdLWlM3blA3VjBtZElVMnE4NkxJd1hJRUpOSU5hWjJpckpNN0pucFdyUXNPNk40RHk0WHJEQzRHQ0VWd1o0STQxemFZb1ZFZFU1OHpzQTlYaHF0dHNQLUxkczFGNmt4RkotU3VLTTRaTUJXb00ybUg1N2VmcmR2c0RDX1o3Sk13WTJwWEw0VTI2Zi0xYzFxSWg3OGlOTkZpbGdMN19fdW9BY3hRX25tWndfUnVlRG55b3Y0U0JVeE53VnlCRXFUUTFsaHlIcEdXSDNLcWNBdTAwTW9tNUJrMHhndzhodzBqWHlHelRPQ1lZ?oc=5" TargetMode="External" Id="rId91"/><Relationship Type="http://schemas.openxmlformats.org/officeDocument/2006/relationships/hyperlink" Target="https://news.google.com/rss/articles/CBMiigJBVV95cUxNNUNtQk4xTENzdlgyS2dqZ2ZETkJUNzRWMFZyWjVaYXE1anFXZS1uYXhtcXBiWW9LMVJmTXliaHVLTjlKVjdsQVR0YjhmbEF5U3QyTkp3bHVKZ09KclhfVXQ5S01ZdnJGM3pHT3JXalNuV3k4S1ZzM3VFeHFqdGlFb1VCYlA5bFJYTFozazNVUGRlUG41aGlCdkpNRTVPRTFTWXdQMGR1MXN1RG9pSTdwQ1hQZFpHSFZkZlRnUHZUSXhhQkVGZk1OaTRiUG55d3VraVdyWmNTY01EcThnVG8wS1o3S3JTZWQ5TlRXd0RwQzJKcGx2UVh2VmdzVUFtSmk4UmRtSVF4OUl4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oc=5" TargetMode="External" Id="rId92"/><Relationship Type="http://schemas.openxmlformats.org/officeDocument/2006/relationships/hyperlink" Target="https://news.google.com/rss/articles/CBMisAFBVV95cUxOV3BrckgwbThRdzBkc2VLUHRmVmMwdG9Cem5IRGtwX1h2YXl1bTBWMlZjMXZOemt5OS05NHBXSVhZOUxqTFBSQllqTTJmZ0FvbVlCQjZ6QXJrLWw5VVN1M2kzWEJxam5DM0RzX01pZk9ZOHNTYkhhbVhfM1oxTUxpbnRPMXFEMVNvSm9GMlFkRkhXOUhCQWt2YzdodWtzOWp0Z0hQNURFcTBSX0tqMVJmVtIBuAFBVV95cUxQQUZSODQ1S3VROTh5a0FqSERpTEhuU2dLSzJiOXE3Zk1oaGt3UkI0MmFGWEdLRkVPYU04UjN0MUdyc3hmZ2JBUkVjLVpTbTJzQmFxOEg0WkQxNFBRcGFreGQ4SThJUTJuVUctU056bU5jUHZmRnNGOEk1aUo3ZHVWSDVZcE0tbWFoNlp6d2QydmI5bVNjSjc4Y3c3bThHZ1F0a3VCQUx0S3E0R1BYejA1VmlJaHpVVVpW?oc=5" TargetMode="External" Id="rId93"/><Relationship Type="http://schemas.openxmlformats.org/officeDocument/2006/relationships/hyperlink" Target="https://news.google.com/rss/articles/CBMi8AFBVV95cUxQTHpHTDdETHB2NjlFMGszUzl1UjdBQ195QXdIWGRpTnhJRlI3Z0xiR0syRmFuNzJ2VUhzSlZtek0td2RwTnVFekVDUUZqZ1BBUnItSjFqa2lUUUVoNzdCcTZVaE5pLUUyNXA0OUFYNllUZ2Uwa1hYbUhXemRtZjhMekhCVXlPbGtXakJfLXk5VEpuN2dHQURnODg1cnEwdjVfRF8wSmpORFVzSDRuN29weEZObzhCR1JJdzZqdnBNdF9DeUw1OUVvWjY0V1dFVlN2RDdPNTZRNXJTQ2JEQS13TndiMUNOWmZsTUJvZTdUaDPSAfYBQVVfeXFMUGxVT3dZX2RQU203ZXdSNjFZb3h2RHA2dnlOcEJ6OWp3Yl9NQkdLM3lyNUpFa0F5elZxa1otQ29uT0VzdEVRQzFpYzdvMlRFcEZaMkJPZlk5ZjR2LUREMXQ2cDl6STRTWDJ0NUgzLVlvdG9vZV9kSUpjNDl6X2FZOHZ4ajB2aUZmUDRjRGsyeVJZcmc0TmVCUEdqc0VyMHp6SC1QWTcwQXd4dlpfYkNVMGROMHB6cnZIUkFFVE5uNHlfU2Y4RGVJdlpPMmVIVlFIWUFzVGxEd25rT2VlMm1VVVYwNTNaYWFTM1F2TUs5c0JVZEpTNG93?oc=5" TargetMode="External" Id="rId94"/><Relationship Type="http://schemas.openxmlformats.org/officeDocument/2006/relationships/hyperlink" Target="https://news.google.com/rss/articles/CBMirAFBVV95cUxOUFdSdW1FbkhzY3J5Y04zU1VhQnN6MWpGazU1dXBDMU9md1Q3RjlLRUlwNEJHWW9rbzRXdGRqQ1FxQ24waTVZWEM0X0hmY0FySmVxNEpBQVJOamhEc2VNcmFvM3hTcUFVdzhGN1cycmt6Wk15U09iTk1uOFcybFVOcDVJUEVwMlFIMk5mUnlxdUhKR3ltY1czVkRUdU13dmxMUjNjWVVMRFgta2ZG?oc=5" TargetMode="External" Id="rId95"/><Relationship Type="http://schemas.openxmlformats.org/officeDocument/2006/relationships/hyperlink" Target="https://news.google.com/rss/articles/CBMiyAFBVV95cUxOT0R5YUpfUTZVQldYYWVSUGg5ai1nME56TTBXNXdyTEZCWHFvNVZ5cWhKNjRZMEJiaHEzSUpWcGpPQ09BejJFNlZhbXNoNU9HQm9BZnQ5OEVWY2dabzhYWU5xcUItMklhNjhSRzJNOWNTdC1YS3JKMHFqZmFSZUZtXzVPWG1YLTh2blB1RDBVdGJtR1NYVzBULUk3ckl0NUpjQmotdE5tazFsTE96VjhTMWs5cFZJRDRicXNZV2RzMG9tMjR1dUdxQg?oc=5" TargetMode="External" Id="rId96"/><Relationship Type="http://schemas.openxmlformats.org/officeDocument/2006/relationships/hyperlink" Target="https://news.google.com/rss/articles/CBMi8gFBVV95cUxORmdPaFREQ0lrNzg0b0NsbVktMmFTMjd5SG1PUGRuSFowajhYSzlxa0VZMnJKTjE4aGNjZDlPNmsxLTROQVA3ZndPLVRiU2xkUjZuNHk3QjNFaUh5R2VMZkR6YUZ4aFZZekoxX3RZV0t4aXI3d3NYSDZkWFp5X0Y3d2hmeG10dXR0TTl2QzNWTmV1VmpiOXIycTVER2ZfUms3ekxrOXhXRjdxNXMtZXpwUURaZUo3Tk5RUlh6V0cyUmhQUWwtWFFJWm9zRGp3NWJXcUZMMTNidjQ1QUN2S18tQ2t3NGhsQm9mNGp0dVExQjFFQdIB-gFBVV95cUxOTC1KMnFWYk40ZkpnbEpQOEduMUxtSmZYd1FJMkxWRTF0dGJFbjRwWmc1SWZQWVZwYlkxd2NGdUU4Zlo2NDR2ckNxZzNYdGdyN3lvemZCVVdMQTBRWHBwd2Q4MWdKTjhMQ1VZUWJFNmh5ZmVnTlBUWDhPekJTS2lrTmFoT0ktZWJPR2pRb1dTOTVTcFdueDZrdkdVZUdqeTktT2EweWMyQjFtd2RGU3dLdEJqTzJ1ZEdvUHBaMmdNTmdkdlpJZjI4cXhOMzdQUFM5WTdfeFUyT0NXZnBHLThYazZ4MEN0X2NwcWJYNkhwWHdENFk3UWJKX2Nn?oc=5" TargetMode="External" Id="rId97"/><Relationship Type="http://schemas.openxmlformats.org/officeDocument/2006/relationships/hyperlink" Target="https://news.google.com/rss/articles/CBMi2AFBVV95cUxPYlBPUkEwNHZxZjRMcmJaMnpmZEVUZmprSWNZWnE1MGxXS01zYkhPTUx0MnplVktkVFdMamN6Nlh2YWpBS1BwcWVSMHhTbFEySi1KX0VUREVuRE01WnBJTk9YbVE0M29WWFNQR3pEdkJBTHJIRjZPMmpGNnROQWhJYWs0RnV4RTQwYU1DWUFTYTAwczJsbGh0bDFfV1J1c25sMGFYTGQtdE9OOFRvYXEzRURnWm1jVEswTE5iOUphejZVOVFDcHozRFV4SjJ0ejJ1YnJUQTl0OUM?oc=5" TargetMode="External" Id="rId98"/><Relationship Type="http://schemas.openxmlformats.org/officeDocument/2006/relationships/hyperlink" Target="https://news.google.com/rss/articles/CBMiXkFVX3lxTE1EdEhaMjJGMk1DR0ZaZkZfOVJ6V1pNODA0VlBGQ2p2eEtSNHc3ZzZ6d01sZVAwWE1HUkctaHk1aUNBTUY5ZXMxbVUxYWVFeFZHdU9aQW93UjlKbXhCSUE?oc=5" TargetMode="External" Id="rId99"/><Relationship Type="http://schemas.openxmlformats.org/officeDocument/2006/relationships/hyperlink" Target="https://news.google.com/rss/articles/CBMitgFBVV95cUxQZzVzMk9uc3VSN080aktTMVlwZTAzcUJaak9BQVJaMlJtYVZ4Z25YdGYtSDJzQXlSc1BicEZiay13UHc5dS1kbFZMZG1fQ0E0UlFSV1ZfaGRsRFp5RGZIcXZYalB1OUlJZi1kcUZkLTh2STNFMXRCOEc1YjNJSlg5Z3ZWcUtVYmxCSVZJU1BQQlRIVjNZcEktZGZMUFNoWkNRcXlqTVhXTnpzSkxic2h2bHdaZVF2dw?oc=5" TargetMode="External" Id="rId100"/><Relationship Type="http://schemas.openxmlformats.org/officeDocument/2006/relationships/hyperlink" Target="https://news.google.com/rss/articles/CBMif0FVX3lxTFB4eE1jUG9mbl9oOVNybUE1Tld1ZDFxWDNzMk1nemwtbUUxaTFKZlhENndYYTQ5b296SFJMaktaSW00cTlwQzFybVdpWlB4Q2o0ZktBOFlIZ1ltLWxMdFl2VlpYWnY4UXgzM2NHQzVJbG5wbzU3TTZqQ3FTX2p6LXM?oc=5" TargetMode="External" Id="rId101"/><Relationship Type="http://schemas.openxmlformats.org/officeDocument/2006/relationships/hyperlink" Target="https://news.google.com/rss/articles/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oc=5" TargetMode="External" Id="rId102"/><Relationship Type="http://schemas.openxmlformats.org/officeDocument/2006/relationships/hyperlink" Target="https://news.google.com/rss/articles/CBMi4AFBVV95cUxOZXNrUFhhSmVLTllxbWc2NzB6SjFac1RrZDQ1ZnVWYWlVODN1Q0JMQzFlVHhaZk9mdzhxd200cE1EXzNEQzhQWVUtZTJobGVrd05lM1pnbzBCcmlJYmVvSlc0bGtCZS03UUNaM2I5TU5QbXpuYWNvaWd0YU9aZnFleXJJeUJiSE1VS2hsUHVYcTlNTE1BS3lFRGhoQmxnZ2tRTTNDY2FGYi1VU3Y0cTJ0Mk5mUEU5d19mS1BMNEdSRldvN3VUNU5yVUZoX0dkMXZvb1A4ODVCUGcxSWdKQVZUStIB5gFBVV95cUxOZ2dBbk9sbEt6bVdqdjhIcmtOSjREdUc0S1lPUlJiS25IM1VhNUplOXdXM3FRYjdFV2hrY2pfbDJUWkRJS3lUV3NJM1RYWDhhWGVxUnM5VGNIcGkybFM1bEVnejA1SldoeklhcGVjZ1RkbGpDU09uSW9pTFpKNTF3RmdFdzhHVXpsbS0xWEV4M3NGbGxBNDhrUEUwS0xDdndpZnZWLWFZUy13ci03QlpXdkx2WThtUmdtcGttRTNGeFBxNnhMS3VGUWcwT0ZEM3ZSNW9GVkRNRndnX2oxbGxtS0JkY3hyQQ?oc=5" TargetMode="External" Id="rId103"/><Relationship Type="http://schemas.openxmlformats.org/officeDocument/2006/relationships/hyperlink" Target="https://news.google.com/rss/articles/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oc=5" TargetMode="External" Id="rId104"/><Relationship Type="http://schemas.openxmlformats.org/officeDocument/2006/relationships/hyperlink" Target="https://news.google.com/rss/articles/CBMilAFBVV95cUxQZGxUMDA2QWVvRjlORjJPUTVkOVVneVh5UFIzTmM3blBpZUd3VUVjSE9PU19MdVZDbndrQ1VieHhacGpGb2NLVy04Zndqczl3QnJPS2lhREh0aERYZ01kdHBYSm1vMkxvYy00dl9QQnB5VnlMRWcyRkRtYUhPcEljeUwtQXZPQnFpMGU3WEZ1ekt5alAx?oc=5" TargetMode="External" Id="rId105"/><Relationship Type="http://schemas.openxmlformats.org/officeDocument/2006/relationships/hyperlink" Target="https://news.google.com/rss/articles/CBMihwFBVV95cUxQbmZGX3Fjei1iMFA4RGU4cDl2LU9UTUQyWW9DdUp5T1VjMDhVaVM5NFNZTThGaEVwelRJaFdqRDdxZURYdkZldDBJQXV0al9WOGhoTVZ2SXNlU0ExVjI0Zy01ZG5WczhUdjdmT0U0akJBTHo2aVdITVp4VkpCVGJPLTgyVjFDeTQ?oc=5" TargetMode="External" Id="rId106"/><Relationship Type="http://schemas.openxmlformats.org/officeDocument/2006/relationships/hyperlink" Target="https://news.google.com/rss/articles/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oc=5" TargetMode="External" Id="rId107"/><Relationship Type="http://schemas.openxmlformats.org/officeDocument/2006/relationships/hyperlink" Target="https://news.google.com/rss/articles/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oc=5" TargetMode="External" Id="rId108"/><Relationship Type="http://schemas.openxmlformats.org/officeDocument/2006/relationships/hyperlink" Target="https://news.google.com/rss/articles/CBMihwJBVV95cUxQUGRJM2YwcWlGNzgwM0s5dXo4WEljLTVqdlk5OEo0WHY3c2MyeC1IYnhUYlNyN2NETmZ4OEtlVGQ5engySzdHT3Bia1A3dFV4T0RWSjJVSlZTN0dRTnJCN05WT29NOXd4SzFlYWszWlgwN0hLR3pwTVNQOVhkdkw5Q2p0X2ZuUENnSVZaX05ULTBqa1RkTTRXYXc2S3hreHJpa3BNeUZxaHBCRlVyM1d3QlV0RU1FLVNhYnRQWi1ZZHh5Q09zZ1Z6bDJUV1F6UHJxVGg0dGFPTFVTNXpYTzV5SGh1enNTdlBkVmJGTHg1UkxFRzhySnVaNnZjYnJLcmoxRU43MmpiMNIBjAJBVV95cUxNMlBfRlFDRE92MGN3dnV5ZjBYaTVZWGp4WlN2MDc5VUlSVzh2X0RlWHY2eW5xQS1YUXRGT1RrWm5sdUhaSzV2VjdobEtMX1BncTVfWlhvX01IbE8zRGthSHZrTC1KVG45ekh1cWlJR19YS0JLem16NlZZZTJtRTdJbzZ0dVFvVkg3MTI5SURfOXBLajhZdmZlVFg2SmhpdEpSVXZhZ0NmWURYbnViX1l3M0VFbEtOX2lhVkJrblJMNlMwaVRBeFR0Vnl1bm15a1F1dGUtdVpxSnh1NWN3bkZKMnB3UU9ESzU5MEhDSW5OcjVPMXF4MExxYk5iOTBUek5GczBNTjlDZ25NZ3dP?oc=5" TargetMode="External" Id="rId109"/><Relationship Type="http://schemas.openxmlformats.org/officeDocument/2006/relationships/hyperlink" Target="https://news.google.com/rss/articles/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oc=5" TargetMode="External" Id="rId110"/><Relationship Type="http://schemas.openxmlformats.org/officeDocument/2006/relationships/hyperlink" Target="https://news.google.com/rss/articles/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oc=5" TargetMode="External" Id="rId111"/><Relationship Type="http://schemas.openxmlformats.org/officeDocument/2006/relationships/hyperlink" Target="https://news.google.com/rss/articles/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oc=5" TargetMode="External" Id="rId112"/><Relationship Type="http://schemas.openxmlformats.org/officeDocument/2006/relationships/hyperlink" Target="https://news.google.com/rss/articles/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oc=5" TargetMode="External" Id="rId113"/><Relationship Type="http://schemas.openxmlformats.org/officeDocument/2006/relationships/hyperlink" Target="https://news.google.com/rss/articles/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oc=5" TargetMode="External" Id="rId114"/><Relationship Type="http://schemas.openxmlformats.org/officeDocument/2006/relationships/hyperlink" Target="https://news.google.com/rss/articles/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oc=5" TargetMode="External" Id="rId115"/><Relationship Type="http://schemas.openxmlformats.org/officeDocument/2006/relationships/hyperlink" Target="https://news.google.com/rss/articles/CBMirgFBVV95cUxOMTN1ZnFndVJWS25ybjFfblNPT2JQUThIRUxKR096TWxlUDhlSVQ3U3Y2dmZQZ2wwRkt3Z0owaWRxWXFPNUZVcDNEQTl0UHJkT0dDdFhPd280OG04VFBpMmREUDM3N0xxZE5MNTRYRWlmMzY1X05mdkt5S1AtTEdLb1ZJd0pIZFVGeWZmcWlWaFJ2QmthcjhYRzBKazBpeFBucll4YlFLNl9ENGRCZXc?oc=5" TargetMode="External" Id="rId116"/><Relationship Type="http://schemas.openxmlformats.org/officeDocument/2006/relationships/hyperlink" Target="https://news.google.com/rss/articles/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oc=5" TargetMode="External" Id="rId117"/><Relationship Type="http://schemas.openxmlformats.org/officeDocument/2006/relationships/hyperlink" Target="https://news.google.com/rss/articles/CBMiuAFBVV95cUxNR2loRVl4VmFmUTQwUnNVdTJoMnFBZGFfU2M1UDRhUVpIUUpneGN3amZOeEtZZlpkVWl4U1hULUVjdEJWYVJlZDJJLWk4UHpFaUpHeF9wRG93Wno2aUN2amJXTGtZd2dfa3hNOTBJbmNYajNqVXNWOUZXV180blQ5SWtBMG5xR2tiWXlrUUdmRWdIX2dncU9ra3ZlTjhNZUpRNjh5aHRWRXJDdHg3ZU5UeVZqZld5WFRh?oc=5" TargetMode="External" Id="rId118"/><Relationship Type="http://schemas.openxmlformats.org/officeDocument/2006/relationships/hyperlink" Target="https://news.google.com/rss/articles/CBMiwgFBVV95cUxPWmhhOV9UbzdzUnl1d3d3UWJ0WHdUVTFnVy1CRDlOaEtJRURFeG9MdzYwemoxblZHVFEyU3ZsSUpfd2R1QUVmRFhDakRUbWJvYTg1MVByOEtJZzhuZndaRkdHaU1BdGQ5bWVIMzRudUxYU0lvRk82UkFqd2tId2JMSDNVT1oxUzVPRWRsamprWWo2a0QxRXdGUUxhME03RWNTMmwwSmMxUkNkQS1yRmI0WUJ4X09BZWlTY2JxNG00X0Mydw?oc=5" TargetMode="External" Id="rId119"/><Relationship Type="http://schemas.openxmlformats.org/officeDocument/2006/relationships/hyperlink" Target="https://news.google.com/rss/articles/CBMimgFBVV95cUxPVU94dFhyMVNPZFBOeklEbER6NHMwNzZpZDdzamhwdXpTYWZjWkh1cVN6WFhGV2UxZWlyVEZrOUlRak5NSFQ5UWstcjFjMHNzWFNuTzZaRUFVWXVhM0YzU0F6clJYMWp1VlBSOTV2SEdTYlVFbTZkYTJQMzYyNzRZWllNaWhDWFduSmhKcmxicm51d1JuMGVjR3R3?oc=5" TargetMode="External" Id="rId120"/><Relationship Type="http://schemas.openxmlformats.org/officeDocument/2006/relationships/hyperlink" Target="https://news.google.com/rss/articles/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oc=5" TargetMode="External" Id="rId121"/><Relationship Type="http://schemas.openxmlformats.org/officeDocument/2006/relationships/hyperlink" Target="https://news.google.com/rss/articles/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oc=5" TargetMode="External" Id="rId122"/><Relationship Type="http://schemas.openxmlformats.org/officeDocument/2006/relationships/hyperlink" Target="https://news.google.com/rss/articles/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oc=5" TargetMode="External" Id="rId123"/><Relationship Type="http://schemas.openxmlformats.org/officeDocument/2006/relationships/hyperlink" Target="https://news.google.com/rss/articles/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oc=5" TargetMode="External" Id="rId124"/><Relationship Type="http://schemas.openxmlformats.org/officeDocument/2006/relationships/hyperlink" Target="https://news.google.com/rss/articles/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oc=5" TargetMode="External" Id="rId125"/><Relationship Type="http://schemas.openxmlformats.org/officeDocument/2006/relationships/hyperlink" Target="https://news.google.com/rss/articles/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oc=5" TargetMode="External" Id="rId126"/><Relationship Type="http://schemas.openxmlformats.org/officeDocument/2006/relationships/hyperlink" Target="https://news.google.com/rss/articles/CBMiwgFBVV95cUxPVnZXMEtCQ2VsTnJuekwxaU9nbFhTN1prekljby1EMHNqc052QVRVM3Q5SWEzZzgxaEpjdmtSUlY0dXRRd0xXQXdQb3hYeXRYbm9MUURDR0dsclZVMmNwUG1RWm5tT21FU0tsdnl0OGM4TVZwdy1QSDc5cXl5aUkxbjhmR1lyV0pnU2tVZXh1cU1xREVYZVNfbXBNRHdCOUY4d1FlVVlCaFdmeVlzMmkxSUZZS05lbHkxYkIwdTBTajJVZw?oc=5" TargetMode="External" Id="rId127"/></Relationships>
</file>

<file path=xl/worksheets/sheet1.xml><?xml version="1.0" encoding="utf-8"?>
<worksheet xmlns="http://schemas.openxmlformats.org/spreadsheetml/2006/main">
  <sheetPr>
    <tabColor rgb="002F4BD8"/>
    <outlinePr summaryBelow="1" summaryRight="1"/>
    <pageSetUpPr fitToPage="1"/>
  </sheetPr>
  <dimension ref="A1:L30"/>
  <sheetViews>
    <sheetView showGridLines="0" workbookViewId="0">
      <pane ySplit="2" topLeftCell="A3" activePane="bottomLeft" state="frozen"/>
      <selection pane="bottomLeft"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0" customHeight="1">
      <c r="A1" s="1" t="inlineStr">
        <is>
          <t>SwingScope Momentum Batch 2026-09-28 — 21-Day Dashboard</t>
        </is>
      </c>
      <c r="B1" s="2" t="n"/>
      <c r="C1" s="2" t="n"/>
      <c r="D1" s="2" t="n"/>
      <c r="E1" s="2" t="n"/>
      <c r="F1" s="2" t="n"/>
      <c r="G1" s="2" t="n"/>
      <c r="H1" s="2" t="n"/>
      <c r="I1" s="2" t="n"/>
      <c r="J1" s="2" t="n"/>
      <c r="K1" s="2" t="n"/>
      <c r="L1" s="2" t="n"/>
    </row>
    <row r="2" ht="18" customHeight="1">
      <c r="A2" s="3" t="inlineStr">
        <is>
          <t>Signal 2026-09-28  •  Day 8 of 21  •  Holding  •  Exit ~2026-10-29  •  Updated 08-Oct-2026 12:35</t>
        </is>
      </c>
      <c r="B2" s="2" t="n"/>
      <c r="C2" s="2" t="n"/>
      <c r="D2" s="2" t="n"/>
      <c r="E2" s="2" t="n"/>
      <c r="F2" s="2" t="n"/>
      <c r="G2" s="2" t="n"/>
      <c r="H2" s="2" t="n"/>
      <c r="I2" s="2" t="n"/>
      <c r="J2" s="2" t="n"/>
      <c r="K2" s="2" t="n"/>
      <c r="L2" s="2" t="n"/>
    </row>
    <row r="4">
      <c r="B4" s="4" t="inlineStr">
        <is>
          <t>PROGRESS  Day 8/21</t>
        </is>
      </c>
    </row>
    <row r="5" ht="10" customHeight="1">
      <c r="B5" s="5" t="n"/>
      <c r="C5" s="5" t="n"/>
      <c r="D5" s="5" t="n"/>
      <c r="E5" s="5" t="n"/>
      <c r="F5" s="6" t="n"/>
      <c r="G5" s="6" t="n"/>
      <c r="H5" s="6" t="n"/>
      <c r="I5" s="6" t="n"/>
      <c r="J5" s="6" t="n"/>
      <c r="K5" s="6" t="n"/>
      <c r="L5" s="4" t="inlineStr">
        <is>
          <t>38%</t>
        </is>
      </c>
    </row>
    <row r="7">
      <c r="B7" s="7" t="inlineStr">
        <is>
          <t>CURRENT DAY</t>
        </is>
      </c>
      <c r="C7" s="8" t="n"/>
      <c r="E7" s="7" t="inlineStr">
        <is>
          <t>LAST SESSION</t>
        </is>
      </c>
      <c r="F7" s="8" t="n"/>
      <c r="H7" s="7" t="inlineStr">
        <is>
          <t>INVESTED</t>
        </is>
      </c>
      <c r="I7" s="8" t="n"/>
      <c r="K7" s="7" t="inlineStr">
        <is>
          <t>MARKET VALUE</t>
        </is>
      </c>
      <c r="L7" s="8" t="n"/>
    </row>
    <row r="8" ht="26" customHeight="1">
      <c r="B8" s="9" t="inlineStr">
        <is>
          <t>Day 8 / 21</t>
        </is>
      </c>
      <c r="C8" s="10" t="n"/>
      <c r="E8" s="9" t="inlineStr">
        <is>
          <t>2026-10-08</t>
        </is>
      </c>
      <c r="F8" s="10" t="n"/>
      <c r="H8" s="11">
        <f>'Daily Closes'!E16</f>
        <v/>
      </c>
      <c r="I8" s="10" t="n"/>
      <c r="K8" s="11">
        <f>'Daily Closes'!AB16</f>
        <v/>
      </c>
      <c r="L8" s="10" t="n"/>
    </row>
    <row r="9">
      <c r="B9" s="12" t="inlineStr">
        <is>
          <t>Holding</t>
        </is>
      </c>
      <c r="C9" s="10" t="n"/>
      <c r="E9" s="12" t="inlineStr">
        <is>
          <t>Exit ~2026-10-29</t>
        </is>
      </c>
      <c r="F9" s="10" t="n"/>
      <c r="H9" s="12" t="inlineStr">
        <is>
          <t>Qty × entry price</t>
        </is>
      </c>
      <c r="I9" s="10" t="n"/>
      <c r="K9" s="12" t="inlineStr">
        <is>
          <t>At latest close</t>
        </is>
      </c>
      <c r="L9" s="10" t="n"/>
    </row>
    <row r="11">
      <c r="B11" s="7" t="inlineStr">
        <is>
          <t>GROSS P&amp;L</t>
        </is>
      </c>
      <c r="C11" s="8" t="n"/>
      <c r="E11" s="7" t="inlineStr">
        <is>
          <t>GROSS RETURN</t>
        </is>
      </c>
      <c r="F11" s="8" t="n"/>
      <c r="H11" s="7" t="inlineStr">
        <is>
          <t>EST. COSTS</t>
        </is>
      </c>
      <c r="I11" s="8" t="n"/>
      <c r="K11" s="7" t="inlineStr">
        <is>
          <t>NET P&amp;L</t>
        </is>
      </c>
      <c r="L11" s="8" t="n"/>
    </row>
    <row r="12" ht="26" customHeight="1">
      <c r="B12" s="11">
        <f>'Daily Closes'!AD16</f>
        <v/>
      </c>
      <c r="C12" s="10" t="n"/>
      <c r="E12" s="13">
        <f>'Daily Closes'!AC16</f>
        <v/>
      </c>
      <c r="F12" s="10" t="n"/>
      <c r="H12" s="11">
        <f>'Daily Closes'!E16*0.006</f>
        <v/>
      </c>
      <c r="I12" s="10" t="n"/>
      <c r="K12" s="11">
        <f>B12-H12</f>
        <v/>
      </c>
      <c r="L12" s="10" t="n"/>
    </row>
    <row r="13">
      <c r="B13" s="12" t="inlineStr">
        <is>
          <t>Before costs</t>
        </is>
      </c>
      <c r="C13" s="10" t="n"/>
      <c r="E13" s="12" t="inlineStr">
        <is>
          <t>vs entry</t>
        </is>
      </c>
      <c r="F13" s="10" t="n"/>
      <c r="H13" s="12" t="inlineStr">
        <is>
          <t>0.6% round trip</t>
        </is>
      </c>
      <c r="I13" s="10" t="n"/>
      <c r="K13" s="12" t="inlineStr">
        <is>
          <t>After est. costs</t>
        </is>
      </c>
      <c r="L13" s="10" t="n"/>
    </row>
    <row r="15">
      <c r="B15" s="7" t="inlineStr">
        <is>
          <t>NIFTY 50</t>
        </is>
      </c>
      <c r="C15" s="8" t="n"/>
      <c r="E15" s="7" t="inlineStr">
        <is>
          <t>ALPHA vs NIFTY</t>
        </is>
      </c>
      <c r="F15" s="8" t="n"/>
      <c r="H15" s="7" t="inlineStr">
        <is>
          <t>WINNERS / LOSERS</t>
        </is>
      </c>
      <c r="I15" s="8" t="n"/>
      <c r="K15" s="7" t="inlineStr">
        <is>
          <t>MAX DRAWDOWN</t>
        </is>
      </c>
      <c r="L15" s="8" t="n"/>
    </row>
    <row r="16" ht="26" customHeight="1">
      <c r="B16" s="13" t="n">
        <v>-0.02407567959087376</v>
      </c>
      <c r="C16" s="10" t="n"/>
      <c r="E16" s="13" t="n">
        <v>0.06164131227079492</v>
      </c>
      <c r="F16" s="10" t="n"/>
      <c r="H16" s="9" t="inlineStr">
        <is>
          <t>6 / 4</t>
        </is>
      </c>
      <c r="I16" s="10" t="n"/>
      <c r="K16" s="13" t="n">
        <v>-0.02427412302288967</v>
      </c>
      <c r="L16" s="10" t="n"/>
    </row>
    <row r="17">
      <c r="B17" s="12" t="inlineStr">
        <is>
          <t>Same window</t>
        </is>
      </c>
      <c r="C17" s="10" t="n"/>
      <c r="E17" s="12" t="inlineStr">
        <is>
          <t>Gross return − Nifty</t>
        </is>
      </c>
      <c r="F17" s="10" t="n"/>
      <c r="H17" s="12" t="inlineStr">
        <is>
          <t>of 10 stocks</t>
        </is>
      </c>
      <c r="I17" s="10" t="n"/>
      <c r="K17" s="12" t="inlineStr">
        <is>
          <t>Peak-to-trough, portfolio</t>
        </is>
      </c>
      <c r="L17" s="10" t="n"/>
    </row>
    <row r="19">
      <c r="B19" s="14" t="inlineStr">
        <is>
          <t>STOCK LEAGUE TABLE (sorted by return)</t>
        </is>
      </c>
    </row>
    <row r="20">
      <c r="B20" s="15" t="inlineStr">
        <is>
          <t>Symbol</t>
        </is>
      </c>
      <c r="C20" s="15" t="inlineStr">
        <is>
          <t>Qty</t>
        </is>
      </c>
      <c r="D20" s="15" t="inlineStr">
        <is>
          <t>Entry ₹</t>
        </is>
      </c>
      <c r="E20" s="15" t="inlineStr">
        <is>
          <t>Last ₹</t>
        </is>
      </c>
      <c r="F20" s="15" t="inlineStr">
        <is>
          <t>Return %</t>
        </is>
      </c>
      <c r="G20" s="15" t="inlineStr">
        <is>
          <t>P&amp;L ₹</t>
        </is>
      </c>
      <c r="H20" s="15" t="inlineStr">
        <is>
          <t>Max gain %</t>
        </is>
      </c>
      <c r="I20" s="15" t="inlineStr">
        <is>
          <t>Max loss %</t>
        </is>
      </c>
      <c r="J20" s="15" t="inlineStr">
        <is>
          <t>Weight %</t>
        </is>
      </c>
      <c r="K20" s="15" t="inlineStr">
        <is>
          <t>Contrib %</t>
        </is>
      </c>
    </row>
    <row r="21">
      <c r="B21" s="16" t="inlineStr">
        <is>
          <t>E2E</t>
        </is>
      </c>
      <c r="C21" s="17" t="n">
        <v>23</v>
      </c>
      <c r="D21" s="18" t="n">
        <v>619.55</v>
      </c>
      <c r="E21" s="18" t="n">
        <v>714.15</v>
      </c>
      <c r="F21" s="19" t="n">
        <v>0.152691</v>
      </c>
      <c r="G21" s="20" t="n">
        <v>2175.8</v>
      </c>
      <c r="H21" s="19" t="n">
        <v>0.16746</v>
      </c>
      <c r="I21" s="19" t="n">
        <v>0.04592</v>
      </c>
      <c r="J21" s="21" t="n">
        <v>0.101816</v>
      </c>
      <c r="K21" s="19" t="n">
        <v>0.015546</v>
      </c>
    </row>
    <row r="22">
      <c r="B22" s="22" t="inlineStr">
        <is>
          <t>DIACABS</t>
        </is>
      </c>
      <c r="C22" s="23" t="n">
        <v>44</v>
      </c>
      <c r="D22" s="24" t="n">
        <v>336.9</v>
      </c>
      <c r="E22" s="24" t="n">
        <v>371.9</v>
      </c>
      <c r="F22" s="25" t="n">
        <v>0.103888</v>
      </c>
      <c r="G22" s="26" t="n">
        <v>1540</v>
      </c>
      <c r="H22" s="25" t="n">
        <v>0.103888</v>
      </c>
      <c r="I22" s="25" t="n">
        <v>0.024043</v>
      </c>
      <c r="J22" s="27" t="n">
        <v>0.105917</v>
      </c>
      <c r="K22" s="25" t="n">
        <v>0.011004</v>
      </c>
    </row>
    <row r="23">
      <c r="B23" s="16" t="inlineStr">
        <is>
          <t>TDPOWERSYS</t>
        </is>
      </c>
      <c r="C23" s="17" t="n">
        <v>20</v>
      </c>
      <c r="D23" s="18" t="n">
        <v>719</v>
      </c>
      <c r="E23" s="18" t="n">
        <v>793.5</v>
      </c>
      <c r="F23" s="19" t="n">
        <v>0.103616</v>
      </c>
      <c r="G23" s="20" t="n">
        <v>1490</v>
      </c>
      <c r="H23" s="19" t="n">
        <v>0.142003</v>
      </c>
      <c r="I23" s="19" t="n">
        <v>0.081154</v>
      </c>
      <c r="J23" s="21" t="n">
        <v>0.102747</v>
      </c>
      <c r="K23" s="19" t="n">
        <v>0.010646</v>
      </c>
    </row>
    <row r="24">
      <c r="B24" s="22" t="inlineStr">
        <is>
          <t>RRKABEL</t>
        </is>
      </c>
      <c r="C24" s="23" t="n">
        <v>6</v>
      </c>
      <c r="D24" s="24" t="n">
        <v>2459.8</v>
      </c>
      <c r="E24" s="24" t="n">
        <v>2696.4</v>
      </c>
      <c r="F24" s="25" t="n">
        <v>0.09618699999999999</v>
      </c>
      <c r="G24" s="26" t="n">
        <v>1419.6</v>
      </c>
      <c r="H24" s="25" t="n">
        <v>0.134117</v>
      </c>
      <c r="I24" s="25" t="n">
        <v>0.023742</v>
      </c>
      <c r="J24" s="27" t="n">
        <v>0.105454</v>
      </c>
      <c r="K24" s="25" t="n">
        <v>0.010143</v>
      </c>
    </row>
    <row r="25">
      <c r="B25" s="16" t="inlineStr">
        <is>
          <t>AEROFLEX</t>
        </is>
      </c>
      <c r="C25" s="17" t="n">
        <v>29</v>
      </c>
      <c r="D25" s="18" t="n">
        <v>511.3</v>
      </c>
      <c r="E25" s="18" t="n">
        <v>529</v>
      </c>
      <c r="F25" s="19" t="n">
        <v>0.034618</v>
      </c>
      <c r="G25" s="20" t="n">
        <v>513.3</v>
      </c>
      <c r="H25" s="19" t="n">
        <v>0.102777</v>
      </c>
      <c r="I25" s="19" t="n">
        <v>0.019656</v>
      </c>
      <c r="J25" s="21" t="n">
        <v>0.105946</v>
      </c>
      <c r="K25" s="19" t="n">
        <v>0.003668</v>
      </c>
    </row>
    <row r="26">
      <c r="B26" s="22" t="inlineStr">
        <is>
          <t>KIRLOSENG</t>
        </is>
      </c>
      <c r="C26" s="23" t="n">
        <v>7</v>
      </c>
      <c r="D26" s="24" t="n">
        <v>2141.2</v>
      </c>
      <c r="E26" s="24" t="n">
        <v>2163</v>
      </c>
      <c r="F26" s="25" t="n">
        <v>0.010181</v>
      </c>
      <c r="G26" s="26" t="n">
        <v>152.6</v>
      </c>
      <c r="H26" s="25" t="n">
        <v>0.121801</v>
      </c>
      <c r="I26" s="25" t="n">
        <v>0.010181</v>
      </c>
      <c r="J26" s="27" t="n">
        <v>0.107094</v>
      </c>
      <c r="K26" s="25" t="n">
        <v>0.00109</v>
      </c>
    </row>
    <row r="27">
      <c r="B27" s="16" t="inlineStr">
        <is>
          <t>LAURUSLABS</t>
        </is>
      </c>
      <c r="C27" s="17" t="n">
        <v>7</v>
      </c>
      <c r="D27" s="18" t="n">
        <v>2020.7</v>
      </c>
      <c r="E27" s="18" t="n">
        <v>1997.9</v>
      </c>
      <c r="F27" s="19" t="n">
        <v>-0.011283</v>
      </c>
      <c r="G27" s="20" t="n">
        <v>-159.6</v>
      </c>
      <c r="H27" s="19" t="n">
        <v>0.015886</v>
      </c>
      <c r="I27" s="19" t="n">
        <v>-0.024397</v>
      </c>
      <c r="J27" s="21" t="n">
        <v>0.101067</v>
      </c>
      <c r="K27" s="19" t="n">
        <v>-0.00114</v>
      </c>
    </row>
    <row r="28">
      <c r="B28" s="22" t="inlineStr">
        <is>
          <t>ATHERENERG</t>
        </is>
      </c>
      <c r="C28" s="23" t="n">
        <v>10</v>
      </c>
      <c r="D28" s="24" t="n">
        <v>1460.2</v>
      </c>
      <c r="E28" s="24" t="n">
        <v>1406</v>
      </c>
      <c r="F28" s="25" t="n">
        <v>-0.037118</v>
      </c>
      <c r="G28" s="26" t="n">
        <v>-542</v>
      </c>
      <c r="H28" s="25" t="n">
        <v>-0.003561</v>
      </c>
      <c r="I28" s="25" t="n">
        <v>-0.037118</v>
      </c>
      <c r="J28" s="27" t="n">
        <v>0.104333</v>
      </c>
      <c r="K28" s="25" t="n">
        <v>-0.003873</v>
      </c>
    </row>
    <row r="29">
      <c r="B29" s="16" t="inlineStr">
        <is>
          <t>THANGAMAYL</t>
        </is>
      </c>
      <c r="C29" s="17" t="n">
        <v>2</v>
      </c>
      <c r="D29" s="18" t="n">
        <v>5010</v>
      </c>
      <c r="E29" s="18" t="n">
        <v>4810.5</v>
      </c>
      <c r="F29" s="19" t="n">
        <v>-0.03982</v>
      </c>
      <c r="G29" s="20" t="n">
        <v>-399</v>
      </c>
      <c r="H29" s="19" t="n">
        <v>0.038822</v>
      </c>
      <c r="I29" s="19" t="n">
        <v>-0.052495</v>
      </c>
      <c r="J29" s="21" t="n">
        <v>0.071594</v>
      </c>
      <c r="K29" s="19" t="n">
        <v>-0.002851</v>
      </c>
    </row>
    <row r="30">
      <c r="B30" s="22" t="inlineStr">
        <is>
          <t>ACUTAAS</t>
        </is>
      </c>
      <c r="C30" s="23" t="n">
        <v>4</v>
      </c>
      <c r="D30" s="24" t="n">
        <v>3290</v>
      </c>
      <c r="E30" s="24" t="n">
        <v>3056.7</v>
      </c>
      <c r="F30" s="25" t="n">
        <v>-0.070912</v>
      </c>
      <c r="G30" s="26" t="n">
        <v>-933.2</v>
      </c>
      <c r="H30" s="25" t="n">
        <v>0.004286</v>
      </c>
      <c r="I30" s="25" t="n">
        <v>-0.070912</v>
      </c>
      <c r="J30" s="27" t="n">
        <v>0.09403</v>
      </c>
      <c r="K30" s="25" t="n">
        <v>-0.006668</v>
      </c>
    </row>
  </sheetData>
  <mergeCells count="38">
    <mergeCell ref="K16:L16"/>
    <mergeCell ref="E12:F12"/>
    <mergeCell ref="B16:C16"/>
    <mergeCell ref="B7:C7"/>
    <mergeCell ref="K15:L15"/>
    <mergeCell ref="K9:L9"/>
    <mergeCell ref="E17:F17"/>
    <mergeCell ref="H9:I9"/>
    <mergeCell ref="E8:F8"/>
    <mergeCell ref="B12:C12"/>
    <mergeCell ref="A2:L2"/>
    <mergeCell ref="K11:L11"/>
    <mergeCell ref="B11:C11"/>
    <mergeCell ref="E13:F13"/>
    <mergeCell ref="B17:C17"/>
    <mergeCell ref="E9:F9"/>
    <mergeCell ref="B8:C8"/>
    <mergeCell ref="H17:I17"/>
    <mergeCell ref="B13:C13"/>
    <mergeCell ref="H11:I11"/>
    <mergeCell ref="K12:L12"/>
    <mergeCell ref="E15:F15"/>
    <mergeCell ref="K8:L8"/>
    <mergeCell ref="H16:I16"/>
    <mergeCell ref="H7:I7"/>
    <mergeCell ref="E11:F11"/>
    <mergeCell ref="B9:C9"/>
    <mergeCell ref="H13:I13"/>
    <mergeCell ref="K17:L17"/>
    <mergeCell ref="K7:L7"/>
    <mergeCell ref="H12:I12"/>
    <mergeCell ref="B15:C15"/>
    <mergeCell ref="E16:F16"/>
    <mergeCell ref="E7:F7"/>
    <mergeCell ref="A1:L1"/>
    <mergeCell ref="H15:I15"/>
    <mergeCell ref="H8:I8"/>
    <mergeCell ref="K13:L13"/>
  </mergeCells>
  <conditionalFormatting sqref="B12">
    <cfRule type="cellIs" priority="1" operator="greaterThan" dxfId="0">
      <formula>0</formula>
    </cfRule>
    <cfRule type="cellIs" priority="2" operator="lessThan" dxfId="1">
      <formula>0</formula>
    </cfRule>
  </conditionalFormatting>
  <conditionalFormatting sqref="E12">
    <cfRule type="cellIs" priority="3" operator="greaterThan" dxfId="0">
      <formula>0</formula>
    </cfRule>
    <cfRule type="cellIs" priority="4" operator="lessThan" dxfId="1">
      <formula>0</formula>
    </cfRule>
  </conditionalFormatting>
  <conditionalFormatting sqref="K12">
    <cfRule type="cellIs" priority="5" operator="greaterThan" dxfId="0">
      <formula>0</formula>
    </cfRule>
    <cfRule type="cellIs" priority="6" operator="lessThan" dxfId="1">
      <formula>0</formula>
    </cfRule>
  </conditionalFormatting>
  <conditionalFormatting sqref="B16">
    <cfRule type="cellIs" priority="7" operator="greaterThan" dxfId="0">
      <formula>0</formula>
    </cfRule>
    <cfRule type="cellIs" priority="8" operator="lessThan" dxfId="1">
      <formula>0</formula>
    </cfRule>
  </conditionalFormatting>
  <conditionalFormatting sqref="E16">
    <cfRule type="cellIs" priority="9" operator="greaterThan" dxfId="0">
      <formula>0</formula>
    </cfRule>
    <cfRule type="cellIs" priority="10" operator="lessThan" dxfId="1">
      <formula>0</formula>
    </cfRule>
  </conditionalFormatting>
  <conditionalFormatting sqref="K16">
    <cfRule type="cellIs" priority="11" operator="greaterThan" dxfId="0">
      <formula>0</formula>
    </cfRule>
    <cfRule type="cellIs" priority="12" operator="lessThan" dxfId="1">
      <formula>0</formula>
    </cfRule>
  </conditionalFormatting>
  <conditionalFormatting sqref="F21:F30">
    <cfRule type="cellIs" priority="13" operator="greaterThan" dxfId="2">
      <formula>0</formula>
    </cfRule>
    <cfRule type="cellIs" priority="14" operator="lessThan" dxfId="3">
      <formula>0</formula>
    </cfRule>
  </conditionalFormatting>
  <conditionalFormatting sqref="G21:G30">
    <cfRule type="cellIs" priority="15" operator="greaterThan" dxfId="2">
      <formula>0</formula>
    </cfRule>
    <cfRule type="cellIs" priority="16" operator="lessThan" dxfId="3">
      <formula>0</formula>
    </cfRule>
    <cfRule type="dataBar" priority="23">
      <dataBar showValue="1">
        <cfvo type="min"/>
        <cfvo type="max"/>
        <color rgb="005B8DEF"/>
      </dataBar>
    </cfRule>
  </conditionalFormatting>
  <conditionalFormatting sqref="H21:H30">
    <cfRule type="cellIs" priority="17" operator="greaterThan" dxfId="2">
      <formula>0</formula>
    </cfRule>
    <cfRule type="cellIs" priority="18" operator="lessThan" dxfId="3">
      <formula>0</formula>
    </cfRule>
  </conditionalFormatting>
  <conditionalFormatting sqref="I21:I30">
    <cfRule type="cellIs" priority="19" operator="greaterThan" dxfId="2">
      <formula>0</formula>
    </cfRule>
    <cfRule type="cellIs" priority="20" operator="lessThan" dxfId="3">
      <formula>0</formula>
    </cfRule>
  </conditionalFormatting>
  <conditionalFormatting sqref="K21:K30">
    <cfRule type="cellIs" priority="21" operator="greaterThan" dxfId="2">
      <formula>0</formula>
    </cfRule>
    <cfRule type="cellIs" priority="22" operator="lessThan" dxfId="3">
      <formula>0</formula>
    </cfRule>
  </conditionalFormatting>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tabColor rgb="000E7C86"/>
    <outlinePr summaryBelow="1" summaryRight="1"/>
    <pageSetUpPr fitToPage="1"/>
  </sheetPr>
  <dimension ref="A1:AF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11" customWidth="1" min="28" max="28"/>
    <col width="10" customWidth="1" min="29" max="29"/>
    <col width="11" customWidth="1" min="30" max="30"/>
    <col width="10" customWidth="1" min="31" max="31"/>
    <col width="9" customWidth="1" min="32" max="32"/>
  </cols>
  <sheetData>
    <row r="1" ht="30" customHeight="1">
      <c r="A1" s="1" t="inlineStr">
        <is>
          <t>SwingScope Batch 2026-09-28 — Daily Close Tracker</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8" customHeight="1">
      <c r="A2" s="3" t="inlineStr">
        <is>
          <t>Signal 2026-09-28  •  Day 8 of 21  •  Holding  •  Exit ~2026-10-29  •  Updated 08-Oct-2026 12:35</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row>
    <row r="3">
      <c r="A3" s="28" t="inlineStr">
        <is>
          <t>Closes from Day 0 (signal) to Day 21 (exit). Highlighted column = latest session. Grey = future session (projected date).</t>
        </is>
      </c>
    </row>
    <row r="4" ht="20" customHeight="1">
      <c r="A4" s="15" t="inlineStr">
        <is>
          <t>#</t>
        </is>
      </c>
      <c r="B4" s="15" t="inlineStr">
        <is>
          <t>Symbol</t>
        </is>
      </c>
      <c r="C4" s="15" t="inlineStr">
        <is>
          <t>ISIN</t>
        </is>
      </c>
      <c r="D4" s="15" t="inlineStr">
        <is>
          <t>Qty</t>
        </is>
      </c>
      <c r="E4" s="15" t="inlineStr">
        <is>
          <t>Entry ₹</t>
        </is>
      </c>
      <c r="F4" s="29" t="inlineStr">
        <is>
          <t>Day 0</t>
        </is>
      </c>
      <c r="G4" s="29" t="inlineStr">
        <is>
          <t>Day 1</t>
        </is>
      </c>
      <c r="H4" s="15" t="inlineStr">
        <is>
          <t>Day 2</t>
        </is>
      </c>
      <c r="I4" s="15" t="inlineStr">
        <is>
          <t>Day 3</t>
        </is>
      </c>
      <c r="J4" s="15" t="inlineStr">
        <is>
          <t>Day 4</t>
        </is>
      </c>
      <c r="K4" s="15" t="inlineStr">
        <is>
          <t>Day 5</t>
        </is>
      </c>
      <c r="L4" s="15" t="inlineStr">
        <is>
          <t>Day 6</t>
        </is>
      </c>
      <c r="M4" s="15" t="inlineStr">
        <is>
          <t>Day 7</t>
        </is>
      </c>
      <c r="N4" s="30" t="inlineStr">
        <is>
          <t>Day 8</t>
        </is>
      </c>
      <c r="O4" s="15" t="inlineStr">
        <is>
          <t>Day 9</t>
        </is>
      </c>
      <c r="P4" s="15" t="inlineStr">
        <is>
          <t>Day 10</t>
        </is>
      </c>
      <c r="Q4" s="15" t="inlineStr">
        <is>
          <t>Day 11</t>
        </is>
      </c>
      <c r="R4" s="15" t="inlineStr">
        <is>
          <t>Day 12</t>
        </is>
      </c>
      <c r="S4" s="15" t="inlineStr">
        <is>
          <t>Day 13</t>
        </is>
      </c>
      <c r="T4" s="15" t="inlineStr">
        <is>
          <t>Day 14</t>
        </is>
      </c>
      <c r="U4" s="15" t="inlineStr">
        <is>
          <t>Day 15</t>
        </is>
      </c>
      <c r="V4" s="15" t="inlineStr">
        <is>
          <t>Day 16</t>
        </is>
      </c>
      <c r="W4" s="15" t="inlineStr">
        <is>
          <t>Day 17</t>
        </is>
      </c>
      <c r="X4" s="15" t="inlineStr">
        <is>
          <t>Day 18</t>
        </is>
      </c>
      <c r="Y4" s="15" t="inlineStr">
        <is>
          <t>Day 19</t>
        </is>
      </c>
      <c r="Z4" s="15" t="inlineStr">
        <is>
          <t>Day 20</t>
        </is>
      </c>
      <c r="AA4" s="29" t="inlineStr">
        <is>
          <t>Day 21</t>
        </is>
      </c>
      <c r="AB4" s="31" t="inlineStr">
        <is>
          <t>Last Close</t>
        </is>
      </c>
      <c r="AC4" s="31" t="inlineStr">
        <is>
          <t>Return %</t>
        </is>
      </c>
      <c r="AD4" s="31" t="inlineStr">
        <is>
          <t>P&amp;L ₹</t>
        </is>
      </c>
      <c r="AE4" s="31" t="inlineStr">
        <is>
          <t>Day Chg %</t>
        </is>
      </c>
      <c r="AF4" s="31" t="inlineStr">
        <is>
          <t>Trend</t>
        </is>
      </c>
    </row>
    <row r="5">
      <c r="A5" s="32" t="n"/>
      <c r="B5" s="32" t="n"/>
      <c r="C5" s="32" t="n"/>
      <c r="D5" s="32" t="n"/>
      <c r="E5" s="32" t="n"/>
      <c r="F5" s="33" t="inlineStr">
        <is>
          <t>28-Sep</t>
        </is>
      </c>
      <c r="G5" s="33" t="inlineStr">
        <is>
          <t>29-Sep</t>
        </is>
      </c>
      <c r="H5" s="33" t="inlineStr">
        <is>
          <t>30-Sep</t>
        </is>
      </c>
      <c r="I5" s="33" t="inlineStr">
        <is>
          <t>01-Oct</t>
        </is>
      </c>
      <c r="J5" s="33" t="inlineStr">
        <is>
          <t>02-Oct</t>
        </is>
      </c>
      <c r="K5" s="33" t="inlineStr">
        <is>
          <t>05-Oct</t>
        </is>
      </c>
      <c r="L5" s="33" t="inlineStr">
        <is>
          <t>06-Oct</t>
        </is>
      </c>
      <c r="M5" s="33" t="inlineStr">
        <is>
          <t>07-Oct</t>
        </is>
      </c>
      <c r="N5" s="33" t="inlineStr">
        <is>
          <t>08-Oct</t>
        </is>
      </c>
      <c r="O5" s="34" t="inlineStr">
        <is>
          <t>12-Oct (p)</t>
        </is>
      </c>
      <c r="P5" s="34" t="inlineStr">
        <is>
          <t>13-Oct (p)</t>
        </is>
      </c>
      <c r="Q5" s="34" t="inlineStr">
        <is>
          <t>14-Oct (p)</t>
        </is>
      </c>
      <c r="R5" s="34" t="inlineStr">
        <is>
          <t>15-Oct (p)</t>
        </is>
      </c>
      <c r="S5" s="34" t="inlineStr">
        <is>
          <t>16-Oct (p)</t>
        </is>
      </c>
      <c r="T5" s="34" t="inlineStr">
        <is>
          <t>19-Oct (p)</t>
        </is>
      </c>
      <c r="U5" s="34" t="inlineStr">
        <is>
          <t>21-Oct (p)</t>
        </is>
      </c>
      <c r="V5" s="34" t="inlineStr">
        <is>
          <t>22-Oct (p)</t>
        </is>
      </c>
      <c r="W5" s="34" t="inlineStr">
        <is>
          <t>23-Oct (p)</t>
        </is>
      </c>
      <c r="X5" s="34" t="inlineStr">
        <is>
          <t>26-Oct (p)</t>
        </is>
      </c>
      <c r="Y5" s="34" t="inlineStr">
        <is>
          <t>27-Oct (p)</t>
        </is>
      </c>
      <c r="Z5" s="34" t="inlineStr">
        <is>
          <t>28-Oct (p)</t>
        </is>
      </c>
      <c r="AA5" s="34" t="inlineStr">
        <is>
          <t>29-Oct (p)</t>
        </is>
      </c>
      <c r="AB5" s="32" t="n"/>
      <c r="AC5" s="32" t="n"/>
      <c r="AD5" s="32" t="n"/>
      <c r="AE5" s="32" t="n"/>
      <c r="AF5" s="32" t="n"/>
    </row>
    <row r="6">
      <c r="A6" s="35" t="n">
        <v>1</v>
      </c>
      <c r="B6" s="16" t="inlineStr">
        <is>
          <t>TDPOWERSYS</t>
        </is>
      </c>
      <c r="C6" s="36" t="inlineStr">
        <is>
          <t>INE419M01035</t>
        </is>
      </c>
      <c r="D6" s="17" t="n">
        <v>20</v>
      </c>
      <c r="E6" s="37" t="n">
        <v>719</v>
      </c>
      <c r="F6" s="18" t="n">
        <v>722</v>
      </c>
      <c r="G6" s="18" t="n">
        <v>777.35</v>
      </c>
      <c r="H6" s="18" t="n">
        <v>786.05</v>
      </c>
      <c r="I6" s="18" t="n">
        <v>792.15</v>
      </c>
      <c r="J6" s="18" t="n">
        <v>792.15</v>
      </c>
      <c r="K6" s="18" t="n">
        <v>812.9</v>
      </c>
      <c r="L6" s="18" t="n">
        <v>816</v>
      </c>
      <c r="M6" s="18" t="n">
        <v>821.1</v>
      </c>
      <c r="N6" s="38" t="n">
        <v>793.5</v>
      </c>
      <c r="O6" s="39" t="n"/>
      <c r="P6" s="39" t="n"/>
      <c r="Q6" s="39" t="n"/>
      <c r="R6" s="39" t="n"/>
      <c r="S6" s="39" t="n"/>
      <c r="T6" s="39" t="n"/>
      <c r="U6" s="39" t="n"/>
      <c r="V6" s="39" t="n"/>
      <c r="W6" s="39" t="n"/>
      <c r="X6" s="39" t="n"/>
      <c r="Y6" s="39" t="n"/>
      <c r="Z6" s="39" t="n"/>
      <c r="AA6" s="39" t="n"/>
      <c r="AB6" s="37">
        <f>LOOKUP(2,1/(F6:AA6&lt;&gt;""),F6:AA6)</f>
        <v/>
      </c>
      <c r="AC6" s="40">
        <f>AB6/E6-1</f>
        <v/>
      </c>
      <c r="AD6" s="41">
        <f>D6*(AB6-E6)</f>
        <v/>
      </c>
      <c r="AE6" s="19">
        <f>IFERROR(N6/M6-1,0)</f>
        <v/>
      </c>
      <c r="AF6" s="35">
        <f>IF(AC6&gt;0,"▲ Up",IF(AC6&lt;0,"▼ Down","■ Flat"))</f>
        <v/>
      </c>
    </row>
    <row r="7">
      <c r="A7" s="42" t="n">
        <v>2</v>
      </c>
      <c r="B7" s="22" t="inlineStr">
        <is>
          <t>AEROFLEX</t>
        </is>
      </c>
      <c r="C7" s="43" t="inlineStr">
        <is>
          <t>INE024001021</t>
        </is>
      </c>
      <c r="D7" s="23" t="n">
        <v>29</v>
      </c>
      <c r="E7" s="44" t="n">
        <v>511.3</v>
      </c>
      <c r="F7" s="24" t="n">
        <v>513.4</v>
      </c>
      <c r="G7" s="24" t="n">
        <v>539.6</v>
      </c>
      <c r="H7" s="24" t="n">
        <v>536.6</v>
      </c>
      <c r="I7" s="24" t="n">
        <v>521.35</v>
      </c>
      <c r="J7" s="24" t="n">
        <v>521.35</v>
      </c>
      <c r="K7" s="24" t="n">
        <v>544.35</v>
      </c>
      <c r="L7" s="24" t="n">
        <v>560.75</v>
      </c>
      <c r="M7" s="24" t="n">
        <v>563.85</v>
      </c>
      <c r="N7" s="38" t="n">
        <v>529</v>
      </c>
      <c r="O7" s="39" t="n"/>
      <c r="P7" s="39" t="n"/>
      <c r="Q7" s="39" t="n"/>
      <c r="R7" s="39" t="n"/>
      <c r="S7" s="39" t="n"/>
      <c r="T7" s="39" t="n"/>
      <c r="U7" s="39" t="n"/>
      <c r="V7" s="39" t="n"/>
      <c r="W7" s="39" t="n"/>
      <c r="X7" s="39" t="n"/>
      <c r="Y7" s="39" t="n"/>
      <c r="Z7" s="39" t="n"/>
      <c r="AA7" s="39" t="n"/>
      <c r="AB7" s="37">
        <f>LOOKUP(2,1/(F7:AA7&lt;&gt;""),F7:AA7)</f>
        <v/>
      </c>
      <c r="AC7" s="40">
        <f>AB7/E7-1</f>
        <v/>
      </c>
      <c r="AD7" s="41">
        <f>D7*(AB7-E7)</f>
        <v/>
      </c>
      <c r="AE7" s="19">
        <f>IFERROR(N7/M7-1,0)</f>
        <v/>
      </c>
      <c r="AF7" s="35">
        <f>IF(AC7&gt;0,"▲ Up",IF(AC7&lt;0,"▼ Down","■ Flat"))</f>
        <v/>
      </c>
    </row>
    <row r="8">
      <c r="A8" s="35" t="n">
        <v>3</v>
      </c>
      <c r="B8" s="16" t="inlineStr">
        <is>
          <t>ATHERENERG</t>
        </is>
      </c>
      <c r="C8" s="36" t="inlineStr">
        <is>
          <t>INE0LEZ01016</t>
        </is>
      </c>
      <c r="D8" s="17" t="n">
        <v>10</v>
      </c>
      <c r="E8" s="37" t="n">
        <v>1460.2</v>
      </c>
      <c r="F8" s="18" t="n">
        <v>1454.9</v>
      </c>
      <c r="G8" s="18" t="n">
        <v>1407</v>
      </c>
      <c r="H8" s="18" t="n">
        <v>1425</v>
      </c>
      <c r="I8" s="18" t="n">
        <v>1406.1</v>
      </c>
      <c r="J8" s="18" t="n">
        <v>1406.1</v>
      </c>
      <c r="K8" s="18" t="n">
        <v>1409.9</v>
      </c>
      <c r="L8" s="18" t="n">
        <v>1446</v>
      </c>
      <c r="M8" s="18" t="n">
        <v>1455</v>
      </c>
      <c r="N8" s="38" t="n">
        <v>1406</v>
      </c>
      <c r="O8" s="39" t="n"/>
      <c r="P8" s="39" t="n"/>
      <c r="Q8" s="39" t="n"/>
      <c r="R8" s="39" t="n"/>
      <c r="S8" s="39" t="n"/>
      <c r="T8" s="39" t="n"/>
      <c r="U8" s="39" t="n"/>
      <c r="V8" s="39" t="n"/>
      <c r="W8" s="39" t="n"/>
      <c r="X8" s="39" t="n"/>
      <c r="Y8" s="39" t="n"/>
      <c r="Z8" s="39" t="n"/>
      <c r="AA8" s="39" t="n"/>
      <c r="AB8" s="37">
        <f>LOOKUP(2,1/(F8:AA8&lt;&gt;""),F8:AA8)</f>
        <v/>
      </c>
      <c r="AC8" s="40">
        <f>AB8/E8-1</f>
        <v/>
      </c>
      <c r="AD8" s="41">
        <f>D8*(AB8-E8)</f>
        <v/>
      </c>
      <c r="AE8" s="19">
        <f>IFERROR(N8/M8-1,0)</f>
        <v/>
      </c>
      <c r="AF8" s="35">
        <f>IF(AC8&gt;0,"▲ Up",IF(AC8&lt;0,"▼ Down","■ Flat"))</f>
        <v/>
      </c>
    </row>
    <row r="9">
      <c r="A9" s="42" t="n">
        <v>4</v>
      </c>
      <c r="B9" s="22" t="inlineStr">
        <is>
          <t>THANGAMAYL</t>
        </is>
      </c>
      <c r="C9" s="43" t="inlineStr">
        <is>
          <t>INE085J01014</t>
        </is>
      </c>
      <c r="D9" s="23" t="n">
        <v>2</v>
      </c>
      <c r="E9" s="44" t="n">
        <v>5010</v>
      </c>
      <c r="F9" s="24" t="n">
        <v>5011.5</v>
      </c>
      <c r="G9" s="24" t="n">
        <v>5204.5</v>
      </c>
      <c r="H9" s="24" t="n">
        <v>5062</v>
      </c>
      <c r="I9" s="24" t="n">
        <v>4861</v>
      </c>
      <c r="J9" s="24" t="n">
        <v>4861</v>
      </c>
      <c r="K9" s="24" t="n">
        <v>4747</v>
      </c>
      <c r="L9" s="24" t="n">
        <v>4758.5</v>
      </c>
      <c r="M9" s="24" t="n">
        <v>4803</v>
      </c>
      <c r="N9" s="38" t="n">
        <v>4810.5</v>
      </c>
      <c r="O9" s="39" t="n"/>
      <c r="P9" s="39" t="n"/>
      <c r="Q9" s="39" t="n"/>
      <c r="R9" s="39" t="n"/>
      <c r="S9" s="39" t="n"/>
      <c r="T9" s="39" t="n"/>
      <c r="U9" s="39" t="n"/>
      <c r="V9" s="39" t="n"/>
      <c r="W9" s="39" t="n"/>
      <c r="X9" s="39" t="n"/>
      <c r="Y9" s="39" t="n"/>
      <c r="Z9" s="39" t="n"/>
      <c r="AA9" s="39" t="n"/>
      <c r="AB9" s="37">
        <f>LOOKUP(2,1/(F9:AA9&lt;&gt;""),F9:AA9)</f>
        <v/>
      </c>
      <c r="AC9" s="40">
        <f>AB9/E9-1</f>
        <v/>
      </c>
      <c r="AD9" s="41">
        <f>D9*(AB9-E9)</f>
        <v/>
      </c>
      <c r="AE9" s="19">
        <f>IFERROR(N9/M9-1,0)</f>
        <v/>
      </c>
      <c r="AF9" s="35">
        <f>IF(AC9&gt;0,"▲ Up",IF(AC9&lt;0,"▼ Down","■ Flat"))</f>
        <v/>
      </c>
    </row>
    <row r="10">
      <c r="A10" s="35" t="n">
        <v>5</v>
      </c>
      <c r="B10" s="16" t="inlineStr">
        <is>
          <t>RRKABEL</t>
        </is>
      </c>
      <c r="C10" s="36" t="inlineStr">
        <is>
          <t>INE777K01022</t>
        </is>
      </c>
      <c r="D10" s="17" t="n">
        <v>6</v>
      </c>
      <c r="E10" s="37" t="n">
        <v>2459.8</v>
      </c>
      <c r="F10" s="18" t="n">
        <v>2459.8</v>
      </c>
      <c r="G10" s="18" t="n">
        <v>2523.2</v>
      </c>
      <c r="H10" s="18" t="n">
        <v>2518.6</v>
      </c>
      <c r="I10" s="18" t="n">
        <v>2518.2</v>
      </c>
      <c r="J10" s="18" t="n">
        <v>2518.2</v>
      </c>
      <c r="K10" s="18" t="n">
        <v>2648</v>
      </c>
      <c r="L10" s="18" t="n">
        <v>2789.7</v>
      </c>
      <c r="M10" s="18" t="n">
        <v>2722.5</v>
      </c>
      <c r="N10" s="38" t="n">
        <v>2696.4</v>
      </c>
      <c r="O10" s="39" t="n"/>
      <c r="P10" s="39" t="n"/>
      <c r="Q10" s="39" t="n"/>
      <c r="R10" s="39" t="n"/>
      <c r="S10" s="39" t="n"/>
      <c r="T10" s="39" t="n"/>
      <c r="U10" s="39" t="n"/>
      <c r="V10" s="39" t="n"/>
      <c r="W10" s="39" t="n"/>
      <c r="X10" s="39" t="n"/>
      <c r="Y10" s="39" t="n"/>
      <c r="Z10" s="39" t="n"/>
      <c r="AA10" s="39" t="n"/>
      <c r="AB10" s="37">
        <f>LOOKUP(2,1/(F10:AA10&lt;&gt;""),F10:AA10)</f>
        <v/>
      </c>
      <c r="AC10" s="40">
        <f>AB10/E10-1</f>
        <v/>
      </c>
      <c r="AD10" s="41">
        <f>D10*(AB10-E10)</f>
        <v/>
      </c>
      <c r="AE10" s="19">
        <f>IFERROR(N10/M10-1,0)</f>
        <v/>
      </c>
      <c r="AF10" s="35">
        <f>IF(AC10&gt;0,"▲ Up",IF(AC10&lt;0,"▼ Down","■ Flat"))</f>
        <v/>
      </c>
    </row>
    <row r="11">
      <c r="A11" s="42" t="n">
        <v>6</v>
      </c>
      <c r="B11" s="22" t="inlineStr">
        <is>
          <t>ACUTAAS</t>
        </is>
      </c>
      <c r="C11" s="43" t="inlineStr">
        <is>
          <t>INE00FF01025</t>
        </is>
      </c>
      <c r="D11" s="23" t="n">
        <v>4</v>
      </c>
      <c r="E11" s="44" t="n">
        <v>3290</v>
      </c>
      <c r="F11" s="24" t="n">
        <v>3214.4</v>
      </c>
      <c r="G11" s="24" t="n">
        <v>3304.1</v>
      </c>
      <c r="H11" s="24" t="n">
        <v>3279.4</v>
      </c>
      <c r="I11" s="24" t="n">
        <v>3196.5</v>
      </c>
      <c r="J11" s="24" t="n">
        <v>3196.5</v>
      </c>
      <c r="K11" s="24" t="n">
        <v>3122.2</v>
      </c>
      <c r="L11" s="24" t="n">
        <v>3156.7</v>
      </c>
      <c r="M11" s="24" t="n">
        <v>3174.2</v>
      </c>
      <c r="N11" s="38" t="n">
        <v>3056.7</v>
      </c>
      <c r="O11" s="39" t="n"/>
      <c r="P11" s="39" t="n"/>
      <c r="Q11" s="39" t="n"/>
      <c r="R11" s="39" t="n"/>
      <c r="S11" s="39" t="n"/>
      <c r="T11" s="39" t="n"/>
      <c r="U11" s="39" t="n"/>
      <c r="V11" s="39" t="n"/>
      <c r="W11" s="39" t="n"/>
      <c r="X11" s="39" t="n"/>
      <c r="Y11" s="39" t="n"/>
      <c r="Z11" s="39" t="n"/>
      <c r="AA11" s="39" t="n"/>
      <c r="AB11" s="37">
        <f>LOOKUP(2,1/(F11:AA11&lt;&gt;""),F11:AA11)</f>
        <v/>
      </c>
      <c r="AC11" s="40">
        <f>AB11/E11-1</f>
        <v/>
      </c>
      <c r="AD11" s="41">
        <f>D11*(AB11-E11)</f>
        <v/>
      </c>
      <c r="AE11" s="19">
        <f>IFERROR(N11/M11-1,0)</f>
        <v/>
      </c>
      <c r="AF11" s="35">
        <f>IF(AC11&gt;0,"▲ Up",IF(AC11&lt;0,"▼ Down","■ Flat"))</f>
        <v/>
      </c>
    </row>
    <row r="12">
      <c r="A12" s="35" t="n">
        <v>7</v>
      </c>
      <c r="B12" s="16" t="inlineStr">
        <is>
          <t>DIACABS</t>
        </is>
      </c>
      <c r="C12" s="36" t="inlineStr">
        <is>
          <t>INE989C01038</t>
        </is>
      </c>
      <c r="D12" s="17" t="n">
        <v>44</v>
      </c>
      <c r="E12" s="37" t="n">
        <v>336.9</v>
      </c>
      <c r="F12" s="18" t="n">
        <v>339.25</v>
      </c>
      <c r="G12" s="18" t="n">
        <v>352.05</v>
      </c>
      <c r="H12" s="18" t="n">
        <v>354.2</v>
      </c>
      <c r="I12" s="18" t="n">
        <v>345</v>
      </c>
      <c r="J12" s="18" t="n">
        <v>345</v>
      </c>
      <c r="K12" s="18" t="n">
        <v>350.8</v>
      </c>
      <c r="L12" s="18" t="n">
        <v>368.3</v>
      </c>
      <c r="M12" s="18" t="n">
        <v>369.15</v>
      </c>
      <c r="N12" s="38" t="n">
        <v>371.9</v>
      </c>
      <c r="O12" s="39" t="n"/>
      <c r="P12" s="39" t="n"/>
      <c r="Q12" s="39" t="n"/>
      <c r="R12" s="39" t="n"/>
      <c r="S12" s="39" t="n"/>
      <c r="T12" s="39" t="n"/>
      <c r="U12" s="39" t="n"/>
      <c r="V12" s="39" t="n"/>
      <c r="W12" s="39" t="n"/>
      <c r="X12" s="39" t="n"/>
      <c r="Y12" s="39" t="n"/>
      <c r="Z12" s="39" t="n"/>
      <c r="AA12" s="39" t="n"/>
      <c r="AB12" s="37">
        <f>LOOKUP(2,1/(F12:AA12&lt;&gt;""),F12:AA12)</f>
        <v/>
      </c>
      <c r="AC12" s="40">
        <f>AB12/E12-1</f>
        <v/>
      </c>
      <c r="AD12" s="41">
        <f>D12*(AB12-E12)</f>
        <v/>
      </c>
      <c r="AE12" s="19">
        <f>IFERROR(N12/M12-1,0)</f>
        <v/>
      </c>
      <c r="AF12" s="35">
        <f>IF(AC12&gt;0,"▲ Up",IF(AC12&lt;0,"▼ Down","■ Flat"))</f>
        <v/>
      </c>
    </row>
    <row r="13">
      <c r="A13" s="42" t="n">
        <v>8</v>
      </c>
      <c r="B13" s="22" t="inlineStr">
        <is>
          <t>KIRLOSENG</t>
        </is>
      </c>
      <c r="C13" s="43" t="inlineStr">
        <is>
          <t>INE146L01010</t>
        </is>
      </c>
      <c r="D13" s="23" t="n">
        <v>7</v>
      </c>
      <c r="E13" s="44" t="n">
        <v>2141.2</v>
      </c>
      <c r="F13" s="24" t="n">
        <v>2141.2</v>
      </c>
      <c r="G13" s="24" t="n">
        <v>2402</v>
      </c>
      <c r="H13" s="24" t="n">
        <v>2304.2</v>
      </c>
      <c r="I13" s="24" t="n">
        <v>2242.7</v>
      </c>
      <c r="J13" s="24" t="n">
        <v>2242.7</v>
      </c>
      <c r="K13" s="24" t="n">
        <v>2243.7</v>
      </c>
      <c r="L13" s="24" t="n">
        <v>2266.1</v>
      </c>
      <c r="M13" s="24" t="n">
        <v>2230.8</v>
      </c>
      <c r="N13" s="38" t="n">
        <v>2163</v>
      </c>
      <c r="O13" s="39" t="n"/>
      <c r="P13" s="39" t="n"/>
      <c r="Q13" s="39" t="n"/>
      <c r="R13" s="39" t="n"/>
      <c r="S13" s="39" t="n"/>
      <c r="T13" s="39" t="n"/>
      <c r="U13" s="39" t="n"/>
      <c r="V13" s="39" t="n"/>
      <c r="W13" s="39" t="n"/>
      <c r="X13" s="39" t="n"/>
      <c r="Y13" s="39" t="n"/>
      <c r="Z13" s="39" t="n"/>
      <c r="AA13" s="39" t="n"/>
      <c r="AB13" s="37">
        <f>LOOKUP(2,1/(F13:AA13&lt;&gt;""),F13:AA13)</f>
        <v/>
      </c>
      <c r="AC13" s="40">
        <f>AB13/E13-1</f>
        <v/>
      </c>
      <c r="AD13" s="41">
        <f>D13*(AB13-E13)</f>
        <v/>
      </c>
      <c r="AE13" s="19">
        <f>IFERROR(N13/M13-1,0)</f>
        <v/>
      </c>
      <c r="AF13" s="35">
        <f>IF(AC13&gt;0,"▲ Up",IF(AC13&lt;0,"▼ Down","■ Flat"))</f>
        <v/>
      </c>
    </row>
    <row r="14">
      <c r="A14" s="35" t="n">
        <v>9</v>
      </c>
      <c r="B14" s="16" t="inlineStr">
        <is>
          <t>E2E</t>
        </is>
      </c>
      <c r="C14" s="36" t="inlineStr">
        <is>
          <t>INE255Z01027</t>
        </is>
      </c>
      <c r="D14" s="17" t="n">
        <v>23</v>
      </c>
      <c r="E14" s="37" t="n">
        <v>619.55</v>
      </c>
      <c r="F14" s="18" t="n">
        <v>625.9</v>
      </c>
      <c r="G14" s="18" t="n">
        <v>651.8</v>
      </c>
      <c r="H14" s="18" t="n">
        <v>650.5</v>
      </c>
      <c r="I14" s="18" t="n">
        <v>648</v>
      </c>
      <c r="J14" s="18" t="n">
        <v>648</v>
      </c>
      <c r="K14" s="18" t="n">
        <v>656.1</v>
      </c>
      <c r="L14" s="18" t="n">
        <v>688.9</v>
      </c>
      <c r="M14" s="18" t="n">
        <v>723.3</v>
      </c>
      <c r="N14" s="38" t="n">
        <v>714.15</v>
      </c>
      <c r="O14" s="39" t="n"/>
      <c r="P14" s="39" t="n"/>
      <c r="Q14" s="39" t="n"/>
      <c r="R14" s="39" t="n"/>
      <c r="S14" s="39" t="n"/>
      <c r="T14" s="39" t="n"/>
      <c r="U14" s="39" t="n"/>
      <c r="V14" s="39" t="n"/>
      <c r="W14" s="39" t="n"/>
      <c r="X14" s="39" t="n"/>
      <c r="Y14" s="39" t="n"/>
      <c r="Z14" s="39" t="n"/>
      <c r="AA14" s="39" t="n"/>
      <c r="AB14" s="37">
        <f>LOOKUP(2,1/(F14:AA14&lt;&gt;""),F14:AA14)</f>
        <v/>
      </c>
      <c r="AC14" s="40">
        <f>AB14/E14-1</f>
        <v/>
      </c>
      <c r="AD14" s="41">
        <f>D14*(AB14-E14)</f>
        <v/>
      </c>
      <c r="AE14" s="19">
        <f>IFERROR(N14/M14-1,0)</f>
        <v/>
      </c>
      <c r="AF14" s="35">
        <f>IF(AC14&gt;0,"▲ Up",IF(AC14&lt;0,"▼ Down","■ Flat"))</f>
        <v/>
      </c>
    </row>
    <row r="15">
      <c r="A15" s="42" t="n">
        <v>10</v>
      </c>
      <c r="B15" s="22" t="inlineStr">
        <is>
          <t>LAURUSLABS</t>
        </is>
      </c>
      <c r="C15" s="43" t="inlineStr">
        <is>
          <t>INE947Q01028</t>
        </is>
      </c>
      <c r="D15" s="23" t="n">
        <v>7</v>
      </c>
      <c r="E15" s="44" t="n">
        <v>2020.7</v>
      </c>
      <c r="F15" s="24" t="n">
        <v>2010.7</v>
      </c>
      <c r="G15" s="24" t="n">
        <v>1979</v>
      </c>
      <c r="H15" s="24" t="n">
        <v>1980</v>
      </c>
      <c r="I15" s="24" t="n">
        <v>1984</v>
      </c>
      <c r="J15" s="24" t="n">
        <v>1984</v>
      </c>
      <c r="K15" s="24" t="n">
        <v>1971.4</v>
      </c>
      <c r="L15" s="24" t="n">
        <v>2050</v>
      </c>
      <c r="M15" s="24" t="n">
        <v>2052.8</v>
      </c>
      <c r="N15" s="38" t="n">
        <v>1997.9</v>
      </c>
      <c r="O15" s="39" t="n"/>
      <c r="P15" s="39" t="n"/>
      <c r="Q15" s="39" t="n"/>
      <c r="R15" s="39" t="n"/>
      <c r="S15" s="39" t="n"/>
      <c r="T15" s="39" t="n"/>
      <c r="U15" s="39" t="n"/>
      <c r="V15" s="39" t="n"/>
      <c r="W15" s="39" t="n"/>
      <c r="X15" s="39" t="n"/>
      <c r="Y15" s="39" t="n"/>
      <c r="Z15" s="39" t="n"/>
      <c r="AA15" s="39" t="n"/>
      <c r="AB15" s="37">
        <f>LOOKUP(2,1/(F15:AA15&lt;&gt;""),F15:AA15)</f>
        <v/>
      </c>
      <c r="AC15" s="40">
        <f>AB15/E15-1</f>
        <v/>
      </c>
      <c r="AD15" s="41">
        <f>D15*(AB15-E15)</f>
        <v/>
      </c>
      <c r="AE15" s="19">
        <f>IFERROR(N15/M15-1,0)</f>
        <v/>
      </c>
      <c r="AF15" s="35">
        <f>IF(AC15&gt;0,"▲ Up",IF(AC15&lt;0,"▼ Down","■ Flat"))</f>
        <v/>
      </c>
    </row>
    <row r="16">
      <c r="A16" s="45" t="inlineStr"/>
      <c r="B16" s="46" t="inlineStr">
        <is>
          <t>PORTFOLIO</t>
        </is>
      </c>
      <c r="C16" s="45" t="inlineStr"/>
      <c r="D16" s="47">
        <f>SUM(D6:D15)</f>
        <v/>
      </c>
      <c r="E16" s="48">
        <f>SUMPRODUCT(D6:D15,E6:E15)</f>
        <v/>
      </c>
      <c r="F16" s="48">
        <f>IF(COUNT(F6:F15)=0,"",SUMPRODUCT($D$6:$D$15,F6:F15))</f>
        <v/>
      </c>
      <c r="G16" s="48">
        <f>IF(COUNT(G6:G15)=0,"",SUMPRODUCT($D$6:$D$15,G6:G15))</f>
        <v/>
      </c>
      <c r="H16" s="48">
        <f>IF(COUNT(H6:H15)=0,"",SUMPRODUCT($D$6:$D$15,H6:H15))</f>
        <v/>
      </c>
      <c r="I16" s="48">
        <f>IF(COUNT(I6:I15)=0,"",SUMPRODUCT($D$6:$D$15,I6:I15))</f>
        <v/>
      </c>
      <c r="J16" s="48">
        <f>IF(COUNT(J6:J15)=0,"",SUMPRODUCT($D$6:$D$15,J6:J15))</f>
        <v/>
      </c>
      <c r="K16" s="48">
        <f>IF(COUNT(K6:K15)=0,"",SUMPRODUCT($D$6:$D$15,K6:K15))</f>
        <v/>
      </c>
      <c r="L16" s="48">
        <f>IF(COUNT(L6:L15)=0,"",SUMPRODUCT($D$6:$D$15,L6:L15))</f>
        <v/>
      </c>
      <c r="M16" s="48">
        <f>IF(COUNT(M6:M15)=0,"",SUMPRODUCT($D$6:$D$15,M6:M15))</f>
        <v/>
      </c>
      <c r="N16" s="48">
        <f>IF(COUNT(N6:N15)=0,"",SUMPRODUCT($D$6:$D$15,N6:N15))</f>
        <v/>
      </c>
      <c r="O16" s="48">
        <f>IF(COUNT(O6:O15)=0,"",SUMPRODUCT($D$6:$D$15,O6:O15))</f>
        <v/>
      </c>
      <c r="P16" s="48">
        <f>IF(COUNT(P6:P15)=0,"",SUMPRODUCT($D$6:$D$15,P6:P15))</f>
        <v/>
      </c>
      <c r="Q16" s="48">
        <f>IF(COUNT(Q6:Q15)=0,"",SUMPRODUCT($D$6:$D$15,Q6:Q15))</f>
        <v/>
      </c>
      <c r="R16" s="48">
        <f>IF(COUNT(R6:R15)=0,"",SUMPRODUCT($D$6:$D$15,R6:R15))</f>
        <v/>
      </c>
      <c r="S16" s="48">
        <f>IF(COUNT(S6:S15)=0,"",SUMPRODUCT($D$6:$D$15,S6:S15))</f>
        <v/>
      </c>
      <c r="T16" s="48">
        <f>IF(COUNT(T6:T15)=0,"",SUMPRODUCT($D$6:$D$15,T6:T15))</f>
        <v/>
      </c>
      <c r="U16" s="48">
        <f>IF(COUNT(U6:U15)=0,"",SUMPRODUCT($D$6:$D$15,U6:U15))</f>
        <v/>
      </c>
      <c r="V16" s="48">
        <f>IF(COUNT(V6:V15)=0,"",SUMPRODUCT($D$6:$D$15,V6:V15))</f>
        <v/>
      </c>
      <c r="W16" s="48">
        <f>IF(COUNT(W6:W15)=0,"",SUMPRODUCT($D$6:$D$15,W6:W15))</f>
        <v/>
      </c>
      <c r="X16" s="48">
        <f>IF(COUNT(X6:X15)=0,"",SUMPRODUCT($D$6:$D$15,X6:X15))</f>
        <v/>
      </c>
      <c r="Y16" s="48">
        <f>IF(COUNT(Y6:Y15)=0,"",SUMPRODUCT($D$6:$D$15,Y6:Y15))</f>
        <v/>
      </c>
      <c r="Z16" s="48">
        <f>IF(COUNT(Z6:Z15)=0,"",SUMPRODUCT($D$6:$D$15,Z6:Z15))</f>
        <v/>
      </c>
      <c r="AA16" s="48">
        <f>IF(COUNT(AA6:AA15)=0,"",SUMPRODUCT($D$6:$D$15,AA6:AA15))</f>
        <v/>
      </c>
      <c r="AB16" s="48">
        <f>SUMPRODUCT(D6:D15,AB6:AB15)</f>
        <v/>
      </c>
      <c r="AC16" s="49">
        <f>AB16/E16-1</f>
        <v/>
      </c>
      <c r="AD16" s="48">
        <f>SUM(AD6:AD15)</f>
        <v/>
      </c>
      <c r="AE16" s="45" t="inlineStr"/>
      <c r="AF16" s="45" t="inlineStr"/>
    </row>
  </sheetData>
  <mergeCells count="12">
    <mergeCell ref="B4:B5"/>
    <mergeCell ref="A1:AF1"/>
    <mergeCell ref="A4:A5"/>
    <mergeCell ref="C4:C5"/>
    <mergeCell ref="D4:D5"/>
    <mergeCell ref="E4:E5"/>
    <mergeCell ref="AB4:AB5"/>
    <mergeCell ref="AE4:AE5"/>
    <mergeCell ref="AC4:AC5"/>
    <mergeCell ref="AF4:AF5"/>
    <mergeCell ref="AD4:AD5"/>
    <mergeCell ref="A2:AF2"/>
  </mergeCells>
  <conditionalFormatting sqref="AC6:AC16">
    <cfRule type="cellIs" priority="1" operator="greaterThan" dxfId="2">
      <formula>0</formula>
    </cfRule>
    <cfRule type="cellIs" priority="2" operator="lessThan" dxfId="3">
      <formula>0</formula>
    </cfRule>
  </conditionalFormatting>
  <conditionalFormatting sqref="AE6:AE16">
    <cfRule type="cellIs" priority="3" operator="greaterThan" dxfId="2">
      <formula>0</formula>
    </cfRule>
    <cfRule type="cellIs" priority="4" operator="lessThan" dxfId="3">
      <formula>0</formula>
    </cfRule>
  </conditionalFormatting>
  <conditionalFormatting sqref="AD6:AD15">
    <cfRule type="dataBar" priority="5">
      <dataBar showValue="1">
        <cfvo type="min"/>
        <cfvo type="max"/>
        <color rgb="005B8DEF"/>
      </dataBar>
    </cfRule>
  </conditionalFormatting>
  <pageMargins left="0.75" right="0.75" top="1" bottom="1" header="0.5" footer="0.5"/>
  <pageSetup orientation="landscape" fitToWidth="1"/>
</worksheet>
</file>

<file path=xl/worksheets/sheet3.xml><?xml version="1.0" encoding="utf-8"?>
<worksheet xmlns="http://schemas.openxmlformats.org/spreadsheetml/2006/main">
  <sheetPr>
    <tabColor rgb="001F9D63"/>
    <outlinePr summaryBelow="1" summaryRight="1"/>
    <pageSetUpPr fitToPage="1"/>
  </sheetPr>
  <dimension ref="A1:AA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s>
  <sheetData>
    <row r="1" ht="30" customHeight="1">
      <c r="A1" s="1" t="inlineStr">
        <is>
          <t>Cumulative Return vs Entry (%)</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Each cell = close ÷ entry − 1. Colour scale: red → white → green.</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28" t="inlineStr">
        <is>
          <t>Formulas link to 'Daily Closes' — edit a close there and this sheet updates.</t>
        </is>
      </c>
    </row>
    <row r="4">
      <c r="A4" s="15" t="inlineStr">
        <is>
          <t>#</t>
        </is>
      </c>
      <c r="B4" s="15" t="inlineStr">
        <is>
          <t>Symbol</t>
        </is>
      </c>
      <c r="C4" s="15" t="inlineStr">
        <is>
          <t>ISIN</t>
        </is>
      </c>
      <c r="D4" s="15" t="inlineStr">
        <is>
          <t>Qty</t>
        </is>
      </c>
      <c r="E4" s="15" t="inlineStr">
        <is>
          <t>Entry ₹</t>
        </is>
      </c>
      <c r="F4" s="15" t="inlineStr">
        <is>
          <t>Day 0</t>
        </is>
      </c>
      <c r="G4" s="15" t="inlineStr">
        <is>
          <t>Day 1</t>
        </is>
      </c>
      <c r="H4" s="15" t="inlineStr">
        <is>
          <t>Day 2</t>
        </is>
      </c>
      <c r="I4" s="15" t="inlineStr">
        <is>
          <t>Day 3</t>
        </is>
      </c>
      <c r="J4" s="15" t="inlineStr">
        <is>
          <t>Day 4</t>
        </is>
      </c>
      <c r="K4" s="15" t="inlineStr">
        <is>
          <t>Day 5</t>
        </is>
      </c>
      <c r="L4" s="15" t="inlineStr">
        <is>
          <t>Day 6</t>
        </is>
      </c>
      <c r="M4" s="15" t="inlineStr">
        <is>
          <t>Day 7</t>
        </is>
      </c>
      <c r="N4" s="30" t="inlineStr">
        <is>
          <t>Day 8</t>
        </is>
      </c>
      <c r="O4" s="15" t="inlineStr">
        <is>
          <t>Day 9</t>
        </is>
      </c>
      <c r="P4" s="15" t="inlineStr">
        <is>
          <t>Day 10</t>
        </is>
      </c>
      <c r="Q4" s="15" t="inlineStr">
        <is>
          <t>Day 11</t>
        </is>
      </c>
      <c r="R4" s="15" t="inlineStr">
        <is>
          <t>Day 12</t>
        </is>
      </c>
      <c r="S4" s="15" t="inlineStr">
        <is>
          <t>Day 13</t>
        </is>
      </c>
      <c r="T4" s="15" t="inlineStr">
        <is>
          <t>Day 14</t>
        </is>
      </c>
      <c r="U4" s="15" t="inlineStr">
        <is>
          <t>Day 15</t>
        </is>
      </c>
      <c r="V4" s="15" t="inlineStr">
        <is>
          <t>Day 16</t>
        </is>
      </c>
      <c r="W4" s="15" t="inlineStr">
        <is>
          <t>Day 17</t>
        </is>
      </c>
      <c r="X4" s="15" t="inlineStr">
        <is>
          <t>Day 18</t>
        </is>
      </c>
      <c r="Y4" s="15" t="inlineStr">
        <is>
          <t>Day 19</t>
        </is>
      </c>
      <c r="Z4" s="15" t="inlineStr">
        <is>
          <t>Day 20</t>
        </is>
      </c>
      <c r="AA4" s="15" t="inlineStr">
        <is>
          <t>Day 21</t>
        </is>
      </c>
    </row>
    <row r="5">
      <c r="F5" s="50">
        <f>'Daily Closes'!F5</f>
        <v/>
      </c>
      <c r="G5" s="50">
        <f>'Daily Closes'!G5</f>
        <v/>
      </c>
      <c r="H5" s="50">
        <f>'Daily Closes'!H5</f>
        <v/>
      </c>
      <c r="I5" s="50">
        <f>'Daily Closes'!I5</f>
        <v/>
      </c>
      <c r="J5" s="50">
        <f>'Daily Closes'!J5</f>
        <v/>
      </c>
      <c r="K5" s="50">
        <f>'Daily Closes'!K5</f>
        <v/>
      </c>
      <c r="L5" s="50">
        <f>'Daily Closes'!L5</f>
        <v/>
      </c>
      <c r="M5" s="50">
        <f>'Daily Closes'!M5</f>
        <v/>
      </c>
      <c r="N5" s="50">
        <f>'Daily Closes'!N5</f>
        <v/>
      </c>
      <c r="O5" s="50">
        <f>'Daily Closes'!O5</f>
        <v/>
      </c>
      <c r="P5" s="50">
        <f>'Daily Closes'!P5</f>
        <v/>
      </c>
      <c r="Q5" s="50">
        <f>'Daily Closes'!Q5</f>
        <v/>
      </c>
      <c r="R5" s="50">
        <f>'Daily Closes'!R5</f>
        <v/>
      </c>
      <c r="S5" s="50">
        <f>'Daily Closes'!S5</f>
        <v/>
      </c>
      <c r="T5" s="50">
        <f>'Daily Closes'!T5</f>
        <v/>
      </c>
      <c r="U5" s="50">
        <f>'Daily Closes'!U5</f>
        <v/>
      </c>
      <c r="V5" s="50">
        <f>'Daily Closes'!V5</f>
        <v/>
      </c>
      <c r="W5" s="50">
        <f>'Daily Closes'!W5</f>
        <v/>
      </c>
      <c r="X5" s="50">
        <f>'Daily Closes'!X5</f>
        <v/>
      </c>
      <c r="Y5" s="50">
        <f>'Daily Closes'!Y5</f>
        <v/>
      </c>
      <c r="Z5" s="50">
        <f>'Daily Closes'!Z5</f>
        <v/>
      </c>
      <c r="AA5" s="50">
        <f>'Daily Closes'!AA5</f>
        <v/>
      </c>
    </row>
    <row r="6">
      <c r="A6" s="51">
        <f>'Daily Closes'!A6</f>
        <v/>
      </c>
      <c r="B6" s="16">
        <f>'Daily Closes'!B6</f>
        <v/>
      </c>
      <c r="C6" s="52">
        <f>'Daily Closes'!C6</f>
        <v/>
      </c>
      <c r="D6" s="51">
        <f>'Daily Closes'!D6</f>
        <v/>
      </c>
      <c r="E6" s="18">
        <f>'Daily Closes'!E6</f>
        <v/>
      </c>
      <c r="F6" s="35" t="inlineStr">
        <is>
          <t>—</t>
        </is>
      </c>
      <c r="G6" s="19">
        <f>IF('Daily Closes'!G6="","",'Daily Closes'!G6/$E6-1)</f>
        <v/>
      </c>
      <c r="H6" s="19">
        <f>IF('Daily Closes'!H6="","",'Daily Closes'!H6/$E6-1)</f>
        <v/>
      </c>
      <c r="I6" s="19">
        <f>IF('Daily Closes'!I6="","",'Daily Closes'!I6/$E6-1)</f>
        <v/>
      </c>
      <c r="J6" s="19">
        <f>IF('Daily Closes'!J6="","",'Daily Closes'!J6/$E6-1)</f>
        <v/>
      </c>
      <c r="K6" s="19">
        <f>IF('Daily Closes'!K6="","",'Daily Closes'!K6/$E6-1)</f>
        <v/>
      </c>
      <c r="L6" s="19">
        <f>IF('Daily Closes'!L6="","",'Daily Closes'!L6/$E6-1)</f>
        <v/>
      </c>
      <c r="M6" s="19">
        <f>IF('Daily Closes'!M6="","",'Daily Closes'!M6/$E6-1)</f>
        <v/>
      </c>
      <c r="N6" s="19">
        <f>IF('Daily Closes'!N6="","",'Daily Closes'!N6/$E6-1)</f>
        <v/>
      </c>
      <c r="O6" s="19">
        <f>IF('Daily Closes'!O6="","",'Daily Closes'!O6/$E6-1)</f>
        <v/>
      </c>
      <c r="P6" s="19">
        <f>IF('Daily Closes'!P6="","",'Daily Closes'!P6/$E6-1)</f>
        <v/>
      </c>
      <c r="Q6" s="19">
        <f>IF('Daily Closes'!Q6="","",'Daily Closes'!Q6/$E6-1)</f>
        <v/>
      </c>
      <c r="R6" s="19">
        <f>IF('Daily Closes'!R6="","",'Daily Closes'!R6/$E6-1)</f>
        <v/>
      </c>
      <c r="S6" s="19">
        <f>IF('Daily Closes'!S6="","",'Daily Closes'!S6/$E6-1)</f>
        <v/>
      </c>
      <c r="T6" s="19">
        <f>IF('Daily Closes'!T6="","",'Daily Closes'!T6/$E6-1)</f>
        <v/>
      </c>
      <c r="U6" s="19">
        <f>IF('Daily Closes'!U6="","",'Daily Closes'!U6/$E6-1)</f>
        <v/>
      </c>
      <c r="V6" s="19">
        <f>IF('Daily Closes'!V6="","",'Daily Closes'!V6/$E6-1)</f>
        <v/>
      </c>
      <c r="W6" s="19">
        <f>IF('Daily Closes'!W6="","",'Daily Closes'!W6/$E6-1)</f>
        <v/>
      </c>
      <c r="X6" s="19">
        <f>IF('Daily Closes'!X6="","",'Daily Closes'!X6/$E6-1)</f>
        <v/>
      </c>
      <c r="Y6" s="19">
        <f>IF('Daily Closes'!Y6="","",'Daily Closes'!Y6/$E6-1)</f>
        <v/>
      </c>
      <c r="Z6" s="19">
        <f>IF('Daily Closes'!Z6="","",'Daily Closes'!Z6/$E6-1)</f>
        <v/>
      </c>
      <c r="AA6" s="19">
        <f>IF('Daily Closes'!AA6="","",'Daily Closes'!AA6/$E6-1)</f>
        <v/>
      </c>
    </row>
    <row r="7">
      <c r="A7" s="51">
        <f>'Daily Closes'!A7</f>
        <v/>
      </c>
      <c r="B7" s="16">
        <f>'Daily Closes'!B7</f>
        <v/>
      </c>
      <c r="C7" s="52">
        <f>'Daily Closes'!C7</f>
        <v/>
      </c>
      <c r="D7" s="51">
        <f>'Daily Closes'!D7</f>
        <v/>
      </c>
      <c r="E7" s="18">
        <f>'Daily Closes'!E7</f>
        <v/>
      </c>
      <c r="F7" s="35" t="inlineStr">
        <is>
          <t>—</t>
        </is>
      </c>
      <c r="G7" s="19">
        <f>IF('Daily Closes'!G7="","",'Daily Closes'!G7/$E7-1)</f>
        <v/>
      </c>
      <c r="H7" s="19">
        <f>IF('Daily Closes'!H7="","",'Daily Closes'!H7/$E7-1)</f>
        <v/>
      </c>
      <c r="I7" s="19">
        <f>IF('Daily Closes'!I7="","",'Daily Closes'!I7/$E7-1)</f>
        <v/>
      </c>
      <c r="J7" s="19">
        <f>IF('Daily Closes'!J7="","",'Daily Closes'!J7/$E7-1)</f>
        <v/>
      </c>
      <c r="K7" s="19">
        <f>IF('Daily Closes'!K7="","",'Daily Closes'!K7/$E7-1)</f>
        <v/>
      </c>
      <c r="L7" s="19">
        <f>IF('Daily Closes'!L7="","",'Daily Closes'!L7/$E7-1)</f>
        <v/>
      </c>
      <c r="M7" s="19">
        <f>IF('Daily Closes'!M7="","",'Daily Closes'!M7/$E7-1)</f>
        <v/>
      </c>
      <c r="N7" s="19">
        <f>IF('Daily Closes'!N7="","",'Daily Closes'!N7/$E7-1)</f>
        <v/>
      </c>
      <c r="O7" s="19">
        <f>IF('Daily Closes'!O7="","",'Daily Closes'!O7/$E7-1)</f>
        <v/>
      </c>
      <c r="P7" s="19">
        <f>IF('Daily Closes'!P7="","",'Daily Closes'!P7/$E7-1)</f>
        <v/>
      </c>
      <c r="Q7" s="19">
        <f>IF('Daily Closes'!Q7="","",'Daily Closes'!Q7/$E7-1)</f>
        <v/>
      </c>
      <c r="R7" s="19">
        <f>IF('Daily Closes'!R7="","",'Daily Closes'!R7/$E7-1)</f>
        <v/>
      </c>
      <c r="S7" s="19">
        <f>IF('Daily Closes'!S7="","",'Daily Closes'!S7/$E7-1)</f>
        <v/>
      </c>
      <c r="T7" s="19">
        <f>IF('Daily Closes'!T7="","",'Daily Closes'!T7/$E7-1)</f>
        <v/>
      </c>
      <c r="U7" s="19">
        <f>IF('Daily Closes'!U7="","",'Daily Closes'!U7/$E7-1)</f>
        <v/>
      </c>
      <c r="V7" s="19">
        <f>IF('Daily Closes'!V7="","",'Daily Closes'!V7/$E7-1)</f>
        <v/>
      </c>
      <c r="W7" s="19">
        <f>IF('Daily Closes'!W7="","",'Daily Closes'!W7/$E7-1)</f>
        <v/>
      </c>
      <c r="X7" s="19">
        <f>IF('Daily Closes'!X7="","",'Daily Closes'!X7/$E7-1)</f>
        <v/>
      </c>
      <c r="Y7" s="19">
        <f>IF('Daily Closes'!Y7="","",'Daily Closes'!Y7/$E7-1)</f>
        <v/>
      </c>
      <c r="Z7" s="19">
        <f>IF('Daily Closes'!Z7="","",'Daily Closes'!Z7/$E7-1)</f>
        <v/>
      </c>
      <c r="AA7" s="19">
        <f>IF('Daily Closes'!AA7="","",'Daily Closes'!AA7/$E7-1)</f>
        <v/>
      </c>
    </row>
    <row r="8">
      <c r="A8" s="51">
        <f>'Daily Closes'!A8</f>
        <v/>
      </c>
      <c r="B8" s="16">
        <f>'Daily Closes'!B8</f>
        <v/>
      </c>
      <c r="C8" s="52">
        <f>'Daily Closes'!C8</f>
        <v/>
      </c>
      <c r="D8" s="51">
        <f>'Daily Closes'!D8</f>
        <v/>
      </c>
      <c r="E8" s="18">
        <f>'Daily Closes'!E8</f>
        <v/>
      </c>
      <c r="F8" s="35" t="inlineStr">
        <is>
          <t>—</t>
        </is>
      </c>
      <c r="G8" s="19">
        <f>IF('Daily Closes'!G8="","",'Daily Closes'!G8/$E8-1)</f>
        <v/>
      </c>
      <c r="H8" s="19">
        <f>IF('Daily Closes'!H8="","",'Daily Closes'!H8/$E8-1)</f>
        <v/>
      </c>
      <c r="I8" s="19">
        <f>IF('Daily Closes'!I8="","",'Daily Closes'!I8/$E8-1)</f>
        <v/>
      </c>
      <c r="J8" s="19">
        <f>IF('Daily Closes'!J8="","",'Daily Closes'!J8/$E8-1)</f>
        <v/>
      </c>
      <c r="K8" s="19">
        <f>IF('Daily Closes'!K8="","",'Daily Closes'!K8/$E8-1)</f>
        <v/>
      </c>
      <c r="L8" s="19">
        <f>IF('Daily Closes'!L8="","",'Daily Closes'!L8/$E8-1)</f>
        <v/>
      </c>
      <c r="M8" s="19">
        <f>IF('Daily Closes'!M8="","",'Daily Closes'!M8/$E8-1)</f>
        <v/>
      </c>
      <c r="N8" s="19">
        <f>IF('Daily Closes'!N8="","",'Daily Closes'!N8/$E8-1)</f>
        <v/>
      </c>
      <c r="O8" s="19">
        <f>IF('Daily Closes'!O8="","",'Daily Closes'!O8/$E8-1)</f>
        <v/>
      </c>
      <c r="P8" s="19">
        <f>IF('Daily Closes'!P8="","",'Daily Closes'!P8/$E8-1)</f>
        <v/>
      </c>
      <c r="Q8" s="19">
        <f>IF('Daily Closes'!Q8="","",'Daily Closes'!Q8/$E8-1)</f>
        <v/>
      </c>
      <c r="R8" s="19">
        <f>IF('Daily Closes'!R8="","",'Daily Closes'!R8/$E8-1)</f>
        <v/>
      </c>
      <c r="S8" s="19">
        <f>IF('Daily Closes'!S8="","",'Daily Closes'!S8/$E8-1)</f>
        <v/>
      </c>
      <c r="T8" s="19">
        <f>IF('Daily Closes'!T8="","",'Daily Closes'!T8/$E8-1)</f>
        <v/>
      </c>
      <c r="U8" s="19">
        <f>IF('Daily Closes'!U8="","",'Daily Closes'!U8/$E8-1)</f>
        <v/>
      </c>
      <c r="V8" s="19">
        <f>IF('Daily Closes'!V8="","",'Daily Closes'!V8/$E8-1)</f>
        <v/>
      </c>
      <c r="W8" s="19">
        <f>IF('Daily Closes'!W8="","",'Daily Closes'!W8/$E8-1)</f>
        <v/>
      </c>
      <c r="X8" s="19">
        <f>IF('Daily Closes'!X8="","",'Daily Closes'!X8/$E8-1)</f>
        <v/>
      </c>
      <c r="Y8" s="19">
        <f>IF('Daily Closes'!Y8="","",'Daily Closes'!Y8/$E8-1)</f>
        <v/>
      </c>
      <c r="Z8" s="19">
        <f>IF('Daily Closes'!Z8="","",'Daily Closes'!Z8/$E8-1)</f>
        <v/>
      </c>
      <c r="AA8" s="19">
        <f>IF('Daily Closes'!AA8="","",'Daily Closes'!AA8/$E8-1)</f>
        <v/>
      </c>
    </row>
    <row r="9">
      <c r="A9" s="51">
        <f>'Daily Closes'!A9</f>
        <v/>
      </c>
      <c r="B9" s="16">
        <f>'Daily Closes'!B9</f>
        <v/>
      </c>
      <c r="C9" s="52">
        <f>'Daily Closes'!C9</f>
        <v/>
      </c>
      <c r="D9" s="51">
        <f>'Daily Closes'!D9</f>
        <v/>
      </c>
      <c r="E9" s="18">
        <f>'Daily Closes'!E9</f>
        <v/>
      </c>
      <c r="F9" s="35" t="inlineStr">
        <is>
          <t>—</t>
        </is>
      </c>
      <c r="G9" s="19">
        <f>IF('Daily Closes'!G9="","",'Daily Closes'!G9/$E9-1)</f>
        <v/>
      </c>
      <c r="H9" s="19">
        <f>IF('Daily Closes'!H9="","",'Daily Closes'!H9/$E9-1)</f>
        <v/>
      </c>
      <c r="I9" s="19">
        <f>IF('Daily Closes'!I9="","",'Daily Closes'!I9/$E9-1)</f>
        <v/>
      </c>
      <c r="J9" s="19">
        <f>IF('Daily Closes'!J9="","",'Daily Closes'!J9/$E9-1)</f>
        <v/>
      </c>
      <c r="K9" s="19">
        <f>IF('Daily Closes'!K9="","",'Daily Closes'!K9/$E9-1)</f>
        <v/>
      </c>
      <c r="L9" s="19">
        <f>IF('Daily Closes'!L9="","",'Daily Closes'!L9/$E9-1)</f>
        <v/>
      </c>
      <c r="M9" s="19">
        <f>IF('Daily Closes'!M9="","",'Daily Closes'!M9/$E9-1)</f>
        <v/>
      </c>
      <c r="N9" s="19">
        <f>IF('Daily Closes'!N9="","",'Daily Closes'!N9/$E9-1)</f>
        <v/>
      </c>
      <c r="O9" s="19">
        <f>IF('Daily Closes'!O9="","",'Daily Closes'!O9/$E9-1)</f>
        <v/>
      </c>
      <c r="P9" s="19">
        <f>IF('Daily Closes'!P9="","",'Daily Closes'!P9/$E9-1)</f>
        <v/>
      </c>
      <c r="Q9" s="19">
        <f>IF('Daily Closes'!Q9="","",'Daily Closes'!Q9/$E9-1)</f>
        <v/>
      </c>
      <c r="R9" s="19">
        <f>IF('Daily Closes'!R9="","",'Daily Closes'!R9/$E9-1)</f>
        <v/>
      </c>
      <c r="S9" s="19">
        <f>IF('Daily Closes'!S9="","",'Daily Closes'!S9/$E9-1)</f>
        <v/>
      </c>
      <c r="T9" s="19">
        <f>IF('Daily Closes'!T9="","",'Daily Closes'!T9/$E9-1)</f>
        <v/>
      </c>
      <c r="U9" s="19">
        <f>IF('Daily Closes'!U9="","",'Daily Closes'!U9/$E9-1)</f>
        <v/>
      </c>
      <c r="V9" s="19">
        <f>IF('Daily Closes'!V9="","",'Daily Closes'!V9/$E9-1)</f>
        <v/>
      </c>
      <c r="W9" s="19">
        <f>IF('Daily Closes'!W9="","",'Daily Closes'!W9/$E9-1)</f>
        <v/>
      </c>
      <c r="X9" s="19">
        <f>IF('Daily Closes'!X9="","",'Daily Closes'!X9/$E9-1)</f>
        <v/>
      </c>
      <c r="Y9" s="19">
        <f>IF('Daily Closes'!Y9="","",'Daily Closes'!Y9/$E9-1)</f>
        <v/>
      </c>
      <c r="Z9" s="19">
        <f>IF('Daily Closes'!Z9="","",'Daily Closes'!Z9/$E9-1)</f>
        <v/>
      </c>
      <c r="AA9" s="19">
        <f>IF('Daily Closes'!AA9="","",'Daily Closes'!AA9/$E9-1)</f>
        <v/>
      </c>
    </row>
    <row r="10">
      <c r="A10" s="51">
        <f>'Daily Closes'!A10</f>
        <v/>
      </c>
      <c r="B10" s="16">
        <f>'Daily Closes'!B10</f>
        <v/>
      </c>
      <c r="C10" s="52">
        <f>'Daily Closes'!C10</f>
        <v/>
      </c>
      <c r="D10" s="51">
        <f>'Daily Closes'!D10</f>
        <v/>
      </c>
      <c r="E10" s="18">
        <f>'Daily Closes'!E10</f>
        <v/>
      </c>
      <c r="F10" s="35" t="inlineStr">
        <is>
          <t>—</t>
        </is>
      </c>
      <c r="G10" s="19">
        <f>IF('Daily Closes'!G10="","",'Daily Closes'!G10/$E10-1)</f>
        <v/>
      </c>
      <c r="H10" s="19">
        <f>IF('Daily Closes'!H10="","",'Daily Closes'!H10/$E10-1)</f>
        <v/>
      </c>
      <c r="I10" s="19">
        <f>IF('Daily Closes'!I10="","",'Daily Closes'!I10/$E10-1)</f>
        <v/>
      </c>
      <c r="J10" s="19">
        <f>IF('Daily Closes'!J10="","",'Daily Closes'!J10/$E10-1)</f>
        <v/>
      </c>
      <c r="K10" s="19">
        <f>IF('Daily Closes'!K10="","",'Daily Closes'!K10/$E10-1)</f>
        <v/>
      </c>
      <c r="L10" s="19">
        <f>IF('Daily Closes'!L10="","",'Daily Closes'!L10/$E10-1)</f>
        <v/>
      </c>
      <c r="M10" s="19">
        <f>IF('Daily Closes'!M10="","",'Daily Closes'!M10/$E10-1)</f>
        <v/>
      </c>
      <c r="N10" s="19">
        <f>IF('Daily Closes'!N10="","",'Daily Closes'!N10/$E10-1)</f>
        <v/>
      </c>
      <c r="O10" s="19">
        <f>IF('Daily Closes'!O10="","",'Daily Closes'!O10/$E10-1)</f>
        <v/>
      </c>
      <c r="P10" s="19">
        <f>IF('Daily Closes'!P10="","",'Daily Closes'!P10/$E10-1)</f>
        <v/>
      </c>
      <c r="Q10" s="19">
        <f>IF('Daily Closes'!Q10="","",'Daily Closes'!Q10/$E10-1)</f>
        <v/>
      </c>
      <c r="R10" s="19">
        <f>IF('Daily Closes'!R10="","",'Daily Closes'!R10/$E10-1)</f>
        <v/>
      </c>
      <c r="S10" s="19">
        <f>IF('Daily Closes'!S10="","",'Daily Closes'!S10/$E10-1)</f>
        <v/>
      </c>
      <c r="T10" s="19">
        <f>IF('Daily Closes'!T10="","",'Daily Closes'!T10/$E10-1)</f>
        <v/>
      </c>
      <c r="U10" s="19">
        <f>IF('Daily Closes'!U10="","",'Daily Closes'!U10/$E10-1)</f>
        <v/>
      </c>
      <c r="V10" s="19">
        <f>IF('Daily Closes'!V10="","",'Daily Closes'!V10/$E10-1)</f>
        <v/>
      </c>
      <c r="W10" s="19">
        <f>IF('Daily Closes'!W10="","",'Daily Closes'!W10/$E10-1)</f>
        <v/>
      </c>
      <c r="X10" s="19">
        <f>IF('Daily Closes'!X10="","",'Daily Closes'!X10/$E10-1)</f>
        <v/>
      </c>
      <c r="Y10" s="19">
        <f>IF('Daily Closes'!Y10="","",'Daily Closes'!Y10/$E10-1)</f>
        <v/>
      </c>
      <c r="Z10" s="19">
        <f>IF('Daily Closes'!Z10="","",'Daily Closes'!Z10/$E10-1)</f>
        <v/>
      </c>
      <c r="AA10" s="19">
        <f>IF('Daily Closes'!AA10="","",'Daily Closes'!AA10/$E10-1)</f>
        <v/>
      </c>
    </row>
    <row r="11">
      <c r="A11" s="51">
        <f>'Daily Closes'!A11</f>
        <v/>
      </c>
      <c r="B11" s="16">
        <f>'Daily Closes'!B11</f>
        <v/>
      </c>
      <c r="C11" s="52">
        <f>'Daily Closes'!C11</f>
        <v/>
      </c>
      <c r="D11" s="51">
        <f>'Daily Closes'!D11</f>
        <v/>
      </c>
      <c r="E11" s="18">
        <f>'Daily Closes'!E11</f>
        <v/>
      </c>
      <c r="F11" s="35" t="inlineStr">
        <is>
          <t>—</t>
        </is>
      </c>
      <c r="G11" s="19">
        <f>IF('Daily Closes'!G11="","",'Daily Closes'!G11/$E11-1)</f>
        <v/>
      </c>
      <c r="H11" s="19">
        <f>IF('Daily Closes'!H11="","",'Daily Closes'!H11/$E11-1)</f>
        <v/>
      </c>
      <c r="I11" s="19">
        <f>IF('Daily Closes'!I11="","",'Daily Closes'!I11/$E11-1)</f>
        <v/>
      </c>
      <c r="J11" s="19">
        <f>IF('Daily Closes'!J11="","",'Daily Closes'!J11/$E11-1)</f>
        <v/>
      </c>
      <c r="K11" s="19">
        <f>IF('Daily Closes'!K11="","",'Daily Closes'!K11/$E11-1)</f>
        <v/>
      </c>
      <c r="L11" s="19">
        <f>IF('Daily Closes'!L11="","",'Daily Closes'!L11/$E11-1)</f>
        <v/>
      </c>
      <c r="M11" s="19">
        <f>IF('Daily Closes'!M11="","",'Daily Closes'!M11/$E11-1)</f>
        <v/>
      </c>
      <c r="N11" s="19">
        <f>IF('Daily Closes'!N11="","",'Daily Closes'!N11/$E11-1)</f>
        <v/>
      </c>
      <c r="O11" s="19">
        <f>IF('Daily Closes'!O11="","",'Daily Closes'!O11/$E11-1)</f>
        <v/>
      </c>
      <c r="P11" s="19">
        <f>IF('Daily Closes'!P11="","",'Daily Closes'!P11/$E11-1)</f>
        <v/>
      </c>
      <c r="Q11" s="19">
        <f>IF('Daily Closes'!Q11="","",'Daily Closes'!Q11/$E11-1)</f>
        <v/>
      </c>
      <c r="R11" s="19">
        <f>IF('Daily Closes'!R11="","",'Daily Closes'!R11/$E11-1)</f>
        <v/>
      </c>
      <c r="S11" s="19">
        <f>IF('Daily Closes'!S11="","",'Daily Closes'!S11/$E11-1)</f>
        <v/>
      </c>
      <c r="T11" s="19">
        <f>IF('Daily Closes'!T11="","",'Daily Closes'!T11/$E11-1)</f>
        <v/>
      </c>
      <c r="U11" s="19">
        <f>IF('Daily Closes'!U11="","",'Daily Closes'!U11/$E11-1)</f>
        <v/>
      </c>
      <c r="V11" s="19">
        <f>IF('Daily Closes'!V11="","",'Daily Closes'!V11/$E11-1)</f>
        <v/>
      </c>
      <c r="W11" s="19">
        <f>IF('Daily Closes'!W11="","",'Daily Closes'!W11/$E11-1)</f>
        <v/>
      </c>
      <c r="X11" s="19">
        <f>IF('Daily Closes'!X11="","",'Daily Closes'!X11/$E11-1)</f>
        <v/>
      </c>
      <c r="Y11" s="19">
        <f>IF('Daily Closes'!Y11="","",'Daily Closes'!Y11/$E11-1)</f>
        <v/>
      </c>
      <c r="Z11" s="19">
        <f>IF('Daily Closes'!Z11="","",'Daily Closes'!Z11/$E11-1)</f>
        <v/>
      </c>
      <c r="AA11" s="19">
        <f>IF('Daily Closes'!AA11="","",'Daily Closes'!AA11/$E11-1)</f>
        <v/>
      </c>
    </row>
    <row r="12">
      <c r="A12" s="51">
        <f>'Daily Closes'!A12</f>
        <v/>
      </c>
      <c r="B12" s="16">
        <f>'Daily Closes'!B12</f>
        <v/>
      </c>
      <c r="C12" s="52">
        <f>'Daily Closes'!C12</f>
        <v/>
      </c>
      <c r="D12" s="51">
        <f>'Daily Closes'!D12</f>
        <v/>
      </c>
      <c r="E12" s="18">
        <f>'Daily Closes'!E12</f>
        <v/>
      </c>
      <c r="F12" s="35" t="inlineStr">
        <is>
          <t>—</t>
        </is>
      </c>
      <c r="G12" s="19">
        <f>IF('Daily Closes'!G12="","",'Daily Closes'!G12/$E12-1)</f>
        <v/>
      </c>
      <c r="H12" s="19">
        <f>IF('Daily Closes'!H12="","",'Daily Closes'!H12/$E12-1)</f>
        <v/>
      </c>
      <c r="I12" s="19">
        <f>IF('Daily Closes'!I12="","",'Daily Closes'!I12/$E12-1)</f>
        <v/>
      </c>
      <c r="J12" s="19">
        <f>IF('Daily Closes'!J12="","",'Daily Closes'!J12/$E12-1)</f>
        <v/>
      </c>
      <c r="K12" s="19">
        <f>IF('Daily Closes'!K12="","",'Daily Closes'!K12/$E12-1)</f>
        <v/>
      </c>
      <c r="L12" s="19">
        <f>IF('Daily Closes'!L12="","",'Daily Closes'!L12/$E12-1)</f>
        <v/>
      </c>
      <c r="M12" s="19">
        <f>IF('Daily Closes'!M12="","",'Daily Closes'!M12/$E12-1)</f>
        <v/>
      </c>
      <c r="N12" s="19">
        <f>IF('Daily Closes'!N12="","",'Daily Closes'!N12/$E12-1)</f>
        <v/>
      </c>
      <c r="O12" s="19">
        <f>IF('Daily Closes'!O12="","",'Daily Closes'!O12/$E12-1)</f>
        <v/>
      </c>
      <c r="P12" s="19">
        <f>IF('Daily Closes'!P12="","",'Daily Closes'!P12/$E12-1)</f>
        <v/>
      </c>
      <c r="Q12" s="19">
        <f>IF('Daily Closes'!Q12="","",'Daily Closes'!Q12/$E12-1)</f>
        <v/>
      </c>
      <c r="R12" s="19">
        <f>IF('Daily Closes'!R12="","",'Daily Closes'!R12/$E12-1)</f>
        <v/>
      </c>
      <c r="S12" s="19">
        <f>IF('Daily Closes'!S12="","",'Daily Closes'!S12/$E12-1)</f>
        <v/>
      </c>
      <c r="T12" s="19">
        <f>IF('Daily Closes'!T12="","",'Daily Closes'!T12/$E12-1)</f>
        <v/>
      </c>
      <c r="U12" s="19">
        <f>IF('Daily Closes'!U12="","",'Daily Closes'!U12/$E12-1)</f>
        <v/>
      </c>
      <c r="V12" s="19">
        <f>IF('Daily Closes'!V12="","",'Daily Closes'!V12/$E12-1)</f>
        <v/>
      </c>
      <c r="W12" s="19">
        <f>IF('Daily Closes'!W12="","",'Daily Closes'!W12/$E12-1)</f>
        <v/>
      </c>
      <c r="X12" s="19">
        <f>IF('Daily Closes'!X12="","",'Daily Closes'!X12/$E12-1)</f>
        <v/>
      </c>
      <c r="Y12" s="19">
        <f>IF('Daily Closes'!Y12="","",'Daily Closes'!Y12/$E12-1)</f>
        <v/>
      </c>
      <c r="Z12" s="19">
        <f>IF('Daily Closes'!Z12="","",'Daily Closes'!Z12/$E12-1)</f>
        <v/>
      </c>
      <c r="AA12" s="19">
        <f>IF('Daily Closes'!AA12="","",'Daily Closes'!AA12/$E12-1)</f>
        <v/>
      </c>
    </row>
    <row r="13">
      <c r="A13" s="51">
        <f>'Daily Closes'!A13</f>
        <v/>
      </c>
      <c r="B13" s="16">
        <f>'Daily Closes'!B13</f>
        <v/>
      </c>
      <c r="C13" s="52">
        <f>'Daily Closes'!C13</f>
        <v/>
      </c>
      <c r="D13" s="51">
        <f>'Daily Closes'!D13</f>
        <v/>
      </c>
      <c r="E13" s="18">
        <f>'Daily Closes'!E13</f>
        <v/>
      </c>
      <c r="F13" s="35" t="inlineStr">
        <is>
          <t>—</t>
        </is>
      </c>
      <c r="G13" s="19">
        <f>IF('Daily Closes'!G13="","",'Daily Closes'!G13/$E13-1)</f>
        <v/>
      </c>
      <c r="H13" s="19">
        <f>IF('Daily Closes'!H13="","",'Daily Closes'!H13/$E13-1)</f>
        <v/>
      </c>
      <c r="I13" s="19">
        <f>IF('Daily Closes'!I13="","",'Daily Closes'!I13/$E13-1)</f>
        <v/>
      </c>
      <c r="J13" s="19">
        <f>IF('Daily Closes'!J13="","",'Daily Closes'!J13/$E13-1)</f>
        <v/>
      </c>
      <c r="K13" s="19">
        <f>IF('Daily Closes'!K13="","",'Daily Closes'!K13/$E13-1)</f>
        <v/>
      </c>
      <c r="L13" s="19">
        <f>IF('Daily Closes'!L13="","",'Daily Closes'!L13/$E13-1)</f>
        <v/>
      </c>
      <c r="M13" s="19">
        <f>IF('Daily Closes'!M13="","",'Daily Closes'!M13/$E13-1)</f>
        <v/>
      </c>
      <c r="N13" s="19">
        <f>IF('Daily Closes'!N13="","",'Daily Closes'!N13/$E13-1)</f>
        <v/>
      </c>
      <c r="O13" s="19">
        <f>IF('Daily Closes'!O13="","",'Daily Closes'!O13/$E13-1)</f>
        <v/>
      </c>
      <c r="P13" s="19">
        <f>IF('Daily Closes'!P13="","",'Daily Closes'!P13/$E13-1)</f>
        <v/>
      </c>
      <c r="Q13" s="19">
        <f>IF('Daily Closes'!Q13="","",'Daily Closes'!Q13/$E13-1)</f>
        <v/>
      </c>
      <c r="R13" s="19">
        <f>IF('Daily Closes'!R13="","",'Daily Closes'!R13/$E13-1)</f>
        <v/>
      </c>
      <c r="S13" s="19">
        <f>IF('Daily Closes'!S13="","",'Daily Closes'!S13/$E13-1)</f>
        <v/>
      </c>
      <c r="T13" s="19">
        <f>IF('Daily Closes'!T13="","",'Daily Closes'!T13/$E13-1)</f>
        <v/>
      </c>
      <c r="U13" s="19">
        <f>IF('Daily Closes'!U13="","",'Daily Closes'!U13/$E13-1)</f>
        <v/>
      </c>
      <c r="V13" s="19">
        <f>IF('Daily Closes'!V13="","",'Daily Closes'!V13/$E13-1)</f>
        <v/>
      </c>
      <c r="W13" s="19">
        <f>IF('Daily Closes'!W13="","",'Daily Closes'!W13/$E13-1)</f>
        <v/>
      </c>
      <c r="X13" s="19">
        <f>IF('Daily Closes'!X13="","",'Daily Closes'!X13/$E13-1)</f>
        <v/>
      </c>
      <c r="Y13" s="19">
        <f>IF('Daily Closes'!Y13="","",'Daily Closes'!Y13/$E13-1)</f>
        <v/>
      </c>
      <c r="Z13" s="19">
        <f>IF('Daily Closes'!Z13="","",'Daily Closes'!Z13/$E13-1)</f>
        <v/>
      </c>
      <c r="AA13" s="19">
        <f>IF('Daily Closes'!AA13="","",'Daily Closes'!AA13/$E13-1)</f>
        <v/>
      </c>
    </row>
    <row r="14">
      <c r="A14" s="51">
        <f>'Daily Closes'!A14</f>
        <v/>
      </c>
      <c r="B14" s="16">
        <f>'Daily Closes'!B14</f>
        <v/>
      </c>
      <c r="C14" s="52">
        <f>'Daily Closes'!C14</f>
        <v/>
      </c>
      <c r="D14" s="51">
        <f>'Daily Closes'!D14</f>
        <v/>
      </c>
      <c r="E14" s="18">
        <f>'Daily Closes'!E14</f>
        <v/>
      </c>
      <c r="F14" s="35" t="inlineStr">
        <is>
          <t>—</t>
        </is>
      </c>
      <c r="G14" s="19">
        <f>IF('Daily Closes'!G14="","",'Daily Closes'!G14/$E14-1)</f>
        <v/>
      </c>
      <c r="H14" s="19">
        <f>IF('Daily Closes'!H14="","",'Daily Closes'!H14/$E14-1)</f>
        <v/>
      </c>
      <c r="I14" s="19">
        <f>IF('Daily Closes'!I14="","",'Daily Closes'!I14/$E14-1)</f>
        <v/>
      </c>
      <c r="J14" s="19">
        <f>IF('Daily Closes'!J14="","",'Daily Closes'!J14/$E14-1)</f>
        <v/>
      </c>
      <c r="K14" s="19">
        <f>IF('Daily Closes'!K14="","",'Daily Closes'!K14/$E14-1)</f>
        <v/>
      </c>
      <c r="L14" s="19">
        <f>IF('Daily Closes'!L14="","",'Daily Closes'!L14/$E14-1)</f>
        <v/>
      </c>
      <c r="M14" s="19">
        <f>IF('Daily Closes'!M14="","",'Daily Closes'!M14/$E14-1)</f>
        <v/>
      </c>
      <c r="N14" s="19">
        <f>IF('Daily Closes'!N14="","",'Daily Closes'!N14/$E14-1)</f>
        <v/>
      </c>
      <c r="O14" s="19">
        <f>IF('Daily Closes'!O14="","",'Daily Closes'!O14/$E14-1)</f>
        <v/>
      </c>
      <c r="P14" s="19">
        <f>IF('Daily Closes'!P14="","",'Daily Closes'!P14/$E14-1)</f>
        <v/>
      </c>
      <c r="Q14" s="19">
        <f>IF('Daily Closes'!Q14="","",'Daily Closes'!Q14/$E14-1)</f>
        <v/>
      </c>
      <c r="R14" s="19">
        <f>IF('Daily Closes'!R14="","",'Daily Closes'!R14/$E14-1)</f>
        <v/>
      </c>
      <c r="S14" s="19">
        <f>IF('Daily Closes'!S14="","",'Daily Closes'!S14/$E14-1)</f>
        <v/>
      </c>
      <c r="T14" s="19">
        <f>IF('Daily Closes'!T14="","",'Daily Closes'!T14/$E14-1)</f>
        <v/>
      </c>
      <c r="U14" s="19">
        <f>IF('Daily Closes'!U14="","",'Daily Closes'!U14/$E14-1)</f>
        <v/>
      </c>
      <c r="V14" s="19">
        <f>IF('Daily Closes'!V14="","",'Daily Closes'!V14/$E14-1)</f>
        <v/>
      </c>
      <c r="W14" s="19">
        <f>IF('Daily Closes'!W14="","",'Daily Closes'!W14/$E14-1)</f>
        <v/>
      </c>
      <c r="X14" s="19">
        <f>IF('Daily Closes'!X14="","",'Daily Closes'!X14/$E14-1)</f>
        <v/>
      </c>
      <c r="Y14" s="19">
        <f>IF('Daily Closes'!Y14="","",'Daily Closes'!Y14/$E14-1)</f>
        <v/>
      </c>
      <c r="Z14" s="19">
        <f>IF('Daily Closes'!Z14="","",'Daily Closes'!Z14/$E14-1)</f>
        <v/>
      </c>
      <c r="AA14" s="19">
        <f>IF('Daily Closes'!AA14="","",'Daily Closes'!AA14/$E14-1)</f>
        <v/>
      </c>
    </row>
    <row r="15">
      <c r="A15" s="51">
        <f>'Daily Closes'!A15</f>
        <v/>
      </c>
      <c r="B15" s="16">
        <f>'Daily Closes'!B15</f>
        <v/>
      </c>
      <c r="C15" s="52">
        <f>'Daily Closes'!C15</f>
        <v/>
      </c>
      <c r="D15" s="51">
        <f>'Daily Closes'!D15</f>
        <v/>
      </c>
      <c r="E15" s="18">
        <f>'Daily Closes'!E15</f>
        <v/>
      </c>
      <c r="F15" s="35" t="inlineStr">
        <is>
          <t>—</t>
        </is>
      </c>
      <c r="G15" s="19">
        <f>IF('Daily Closes'!G15="","",'Daily Closes'!G15/$E15-1)</f>
        <v/>
      </c>
      <c r="H15" s="19">
        <f>IF('Daily Closes'!H15="","",'Daily Closes'!H15/$E15-1)</f>
        <v/>
      </c>
      <c r="I15" s="19">
        <f>IF('Daily Closes'!I15="","",'Daily Closes'!I15/$E15-1)</f>
        <v/>
      </c>
      <c r="J15" s="19">
        <f>IF('Daily Closes'!J15="","",'Daily Closes'!J15/$E15-1)</f>
        <v/>
      </c>
      <c r="K15" s="19">
        <f>IF('Daily Closes'!K15="","",'Daily Closes'!K15/$E15-1)</f>
        <v/>
      </c>
      <c r="L15" s="19">
        <f>IF('Daily Closes'!L15="","",'Daily Closes'!L15/$E15-1)</f>
        <v/>
      </c>
      <c r="M15" s="19">
        <f>IF('Daily Closes'!M15="","",'Daily Closes'!M15/$E15-1)</f>
        <v/>
      </c>
      <c r="N15" s="19">
        <f>IF('Daily Closes'!N15="","",'Daily Closes'!N15/$E15-1)</f>
        <v/>
      </c>
      <c r="O15" s="19">
        <f>IF('Daily Closes'!O15="","",'Daily Closes'!O15/$E15-1)</f>
        <v/>
      </c>
      <c r="P15" s="19">
        <f>IF('Daily Closes'!P15="","",'Daily Closes'!P15/$E15-1)</f>
        <v/>
      </c>
      <c r="Q15" s="19">
        <f>IF('Daily Closes'!Q15="","",'Daily Closes'!Q15/$E15-1)</f>
        <v/>
      </c>
      <c r="R15" s="19">
        <f>IF('Daily Closes'!R15="","",'Daily Closes'!R15/$E15-1)</f>
        <v/>
      </c>
      <c r="S15" s="19">
        <f>IF('Daily Closes'!S15="","",'Daily Closes'!S15/$E15-1)</f>
        <v/>
      </c>
      <c r="T15" s="19">
        <f>IF('Daily Closes'!T15="","",'Daily Closes'!T15/$E15-1)</f>
        <v/>
      </c>
      <c r="U15" s="19">
        <f>IF('Daily Closes'!U15="","",'Daily Closes'!U15/$E15-1)</f>
        <v/>
      </c>
      <c r="V15" s="19">
        <f>IF('Daily Closes'!V15="","",'Daily Closes'!V15/$E15-1)</f>
        <v/>
      </c>
      <c r="W15" s="19">
        <f>IF('Daily Closes'!W15="","",'Daily Closes'!W15/$E15-1)</f>
        <v/>
      </c>
      <c r="X15" s="19">
        <f>IF('Daily Closes'!X15="","",'Daily Closes'!X15/$E15-1)</f>
        <v/>
      </c>
      <c r="Y15" s="19">
        <f>IF('Daily Closes'!Y15="","",'Daily Closes'!Y15/$E15-1)</f>
        <v/>
      </c>
      <c r="Z15" s="19">
        <f>IF('Daily Closes'!Z15="","",'Daily Closes'!Z15/$E15-1)</f>
        <v/>
      </c>
      <c r="AA15" s="19">
        <f>IF('Daily Closes'!AA15="","",'Daily Closes'!AA15/$E15-1)</f>
        <v/>
      </c>
    </row>
    <row r="16">
      <c r="B16" s="16" t="inlineStr">
        <is>
          <t>PORTFOLIO</t>
        </is>
      </c>
      <c r="G16" s="49">
        <f>IF('Daily Closes'!G16="","",'Daily Closes'!G16/'Daily Closes'!$E$16-1)</f>
        <v/>
      </c>
      <c r="H16" s="49">
        <f>IF('Daily Closes'!H16="","",'Daily Closes'!H16/'Daily Closes'!$E$16-1)</f>
        <v/>
      </c>
      <c r="I16" s="49">
        <f>IF('Daily Closes'!I16="","",'Daily Closes'!I16/'Daily Closes'!$E$16-1)</f>
        <v/>
      </c>
      <c r="J16" s="49">
        <f>IF('Daily Closes'!J16="","",'Daily Closes'!J16/'Daily Closes'!$E$16-1)</f>
        <v/>
      </c>
      <c r="K16" s="49">
        <f>IF('Daily Closes'!K16="","",'Daily Closes'!K16/'Daily Closes'!$E$16-1)</f>
        <v/>
      </c>
      <c r="L16" s="49">
        <f>IF('Daily Closes'!L16="","",'Daily Closes'!L16/'Daily Closes'!$E$16-1)</f>
        <v/>
      </c>
      <c r="M16" s="49">
        <f>IF('Daily Closes'!M16="","",'Daily Closes'!M16/'Daily Closes'!$E$16-1)</f>
        <v/>
      </c>
      <c r="N16" s="49">
        <f>IF('Daily Closes'!N16="","",'Daily Closes'!N16/'Daily Closes'!$E$16-1)</f>
        <v/>
      </c>
      <c r="O16" s="49">
        <f>IF('Daily Closes'!O16="","",'Daily Closes'!O16/'Daily Closes'!$E$16-1)</f>
        <v/>
      </c>
      <c r="P16" s="49">
        <f>IF('Daily Closes'!P16="","",'Daily Closes'!P16/'Daily Closes'!$E$16-1)</f>
        <v/>
      </c>
      <c r="Q16" s="49">
        <f>IF('Daily Closes'!Q16="","",'Daily Closes'!Q16/'Daily Closes'!$E$16-1)</f>
        <v/>
      </c>
      <c r="R16" s="49">
        <f>IF('Daily Closes'!R16="","",'Daily Closes'!R16/'Daily Closes'!$E$16-1)</f>
        <v/>
      </c>
      <c r="S16" s="49">
        <f>IF('Daily Closes'!S16="","",'Daily Closes'!S16/'Daily Closes'!$E$16-1)</f>
        <v/>
      </c>
      <c r="T16" s="49">
        <f>IF('Daily Closes'!T16="","",'Daily Closes'!T16/'Daily Closes'!$E$16-1)</f>
        <v/>
      </c>
      <c r="U16" s="49">
        <f>IF('Daily Closes'!U16="","",'Daily Closes'!U16/'Daily Closes'!$E$16-1)</f>
        <v/>
      </c>
      <c r="V16" s="49">
        <f>IF('Daily Closes'!V16="","",'Daily Closes'!V16/'Daily Closes'!$E$16-1)</f>
        <v/>
      </c>
      <c r="W16" s="49">
        <f>IF('Daily Closes'!W16="","",'Daily Closes'!W16/'Daily Closes'!$E$16-1)</f>
        <v/>
      </c>
      <c r="X16" s="49">
        <f>IF('Daily Closes'!X16="","",'Daily Closes'!X16/'Daily Closes'!$E$16-1)</f>
        <v/>
      </c>
      <c r="Y16" s="49">
        <f>IF('Daily Closes'!Y16="","",'Daily Closes'!Y16/'Daily Closes'!$E$16-1)</f>
        <v/>
      </c>
      <c r="Z16" s="49">
        <f>IF('Daily Closes'!Z16="","",'Daily Closes'!Z16/'Daily Closes'!$E$16-1)</f>
        <v/>
      </c>
      <c r="AA16" s="49">
        <f>IF('Daily Closes'!AA16="","",'Daily Closes'!AA16/'Daily Closes'!$E$16-1)</f>
        <v/>
      </c>
    </row>
  </sheetData>
  <mergeCells count="2">
    <mergeCell ref="A1:AA1"/>
    <mergeCell ref="A2:AA2"/>
  </mergeCells>
  <conditionalFormatting sqref="G6:AA16">
    <cfRule type="colorScale" priority="1">
      <colorScale>
        <cfvo type="num" val="-0.15"/>
        <cfvo type="num" val="0"/>
        <cfvo type="num" val="0.15"/>
        <color rgb="00F8696B"/>
        <color rgb="00FFFFFF"/>
        <color rgb="0063BE7B"/>
      </colorScale>
    </cfRule>
  </conditionalFormatting>
  <pageMargins left="0.75" right="0.75" top="1" bottom="1" header="0.5" footer="0.5"/>
  <pageSetup orientation="landscape" fitToWidth="1"/>
</worksheet>
</file>

<file path=xl/worksheets/sheet4.xml><?xml version="1.0" encoding="utf-8"?>
<worksheet xmlns="http://schemas.openxmlformats.org/spreadsheetml/2006/main">
  <sheetPr>
    <tabColor rgb="00C9860A"/>
    <outlinePr summaryBelow="1" summaryRight="1"/>
    <pageSetUpPr fitToPage="1"/>
  </sheetPr>
  <dimension ref="A1:AA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s>
  <sheetData>
    <row r="1" ht="30" customHeight="1">
      <c r="A1" s="1" t="inlineStr">
        <is>
          <t>Mark-to-Market P&amp;L (₹)</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Qty × (close − entry). Gross of costs.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4">
      <c r="A4" s="15" t="inlineStr">
        <is>
          <t>#</t>
        </is>
      </c>
      <c r="B4" s="15" t="inlineStr">
        <is>
          <t>Symbol</t>
        </is>
      </c>
      <c r="C4" s="15" t="inlineStr">
        <is>
          <t>ISIN</t>
        </is>
      </c>
      <c r="D4" s="15" t="inlineStr">
        <is>
          <t>Qty</t>
        </is>
      </c>
      <c r="E4" s="15" t="inlineStr">
        <is>
          <t>Entry ₹</t>
        </is>
      </c>
      <c r="F4" s="15" t="inlineStr">
        <is>
          <t>Day 0</t>
        </is>
      </c>
      <c r="G4" s="15" t="inlineStr">
        <is>
          <t>Day 1</t>
        </is>
      </c>
      <c r="H4" s="15" t="inlineStr">
        <is>
          <t>Day 2</t>
        </is>
      </c>
      <c r="I4" s="15" t="inlineStr">
        <is>
          <t>Day 3</t>
        </is>
      </c>
      <c r="J4" s="15" t="inlineStr">
        <is>
          <t>Day 4</t>
        </is>
      </c>
      <c r="K4" s="15" t="inlineStr">
        <is>
          <t>Day 5</t>
        </is>
      </c>
      <c r="L4" s="15" t="inlineStr">
        <is>
          <t>Day 6</t>
        </is>
      </c>
      <c r="M4" s="15" t="inlineStr">
        <is>
          <t>Day 7</t>
        </is>
      </c>
      <c r="N4" s="30" t="inlineStr">
        <is>
          <t>Day 8</t>
        </is>
      </c>
      <c r="O4" s="15" t="inlineStr">
        <is>
          <t>Day 9</t>
        </is>
      </c>
      <c r="P4" s="15" t="inlineStr">
        <is>
          <t>Day 10</t>
        </is>
      </c>
      <c r="Q4" s="15" t="inlineStr">
        <is>
          <t>Day 11</t>
        </is>
      </c>
      <c r="R4" s="15" t="inlineStr">
        <is>
          <t>Day 12</t>
        </is>
      </c>
      <c r="S4" s="15" t="inlineStr">
        <is>
          <t>Day 13</t>
        </is>
      </c>
      <c r="T4" s="15" t="inlineStr">
        <is>
          <t>Day 14</t>
        </is>
      </c>
      <c r="U4" s="15" t="inlineStr">
        <is>
          <t>Day 15</t>
        </is>
      </c>
      <c r="V4" s="15" t="inlineStr">
        <is>
          <t>Day 16</t>
        </is>
      </c>
      <c r="W4" s="15" t="inlineStr">
        <is>
          <t>Day 17</t>
        </is>
      </c>
      <c r="X4" s="15" t="inlineStr">
        <is>
          <t>Day 18</t>
        </is>
      </c>
      <c r="Y4" s="15" t="inlineStr">
        <is>
          <t>Day 19</t>
        </is>
      </c>
      <c r="Z4" s="15" t="inlineStr">
        <is>
          <t>Day 20</t>
        </is>
      </c>
      <c r="AA4" s="15" t="inlineStr">
        <is>
          <t>Day 21</t>
        </is>
      </c>
    </row>
    <row r="6">
      <c r="A6" s="51">
        <f>'Daily Closes'!A6</f>
        <v/>
      </c>
      <c r="B6" s="16">
        <f>'Daily Closes'!B6</f>
        <v/>
      </c>
      <c r="C6" s="52">
        <f>'Daily Closes'!C6</f>
        <v/>
      </c>
      <c r="D6" s="51">
        <f>'Daily Closes'!D6</f>
        <v/>
      </c>
      <c r="E6" s="18">
        <f>'Daily Closes'!E6</f>
        <v/>
      </c>
      <c r="F6" s="35" t="inlineStr">
        <is>
          <t>—</t>
        </is>
      </c>
      <c r="G6" s="20">
        <f>IF('Daily Closes'!G6="","",$D6*('Daily Closes'!G6-$E6))</f>
        <v/>
      </c>
      <c r="H6" s="20">
        <f>IF('Daily Closes'!H6="","",$D6*('Daily Closes'!H6-$E6))</f>
        <v/>
      </c>
      <c r="I6" s="20">
        <f>IF('Daily Closes'!I6="","",$D6*('Daily Closes'!I6-$E6))</f>
        <v/>
      </c>
      <c r="J6" s="20">
        <f>IF('Daily Closes'!J6="","",$D6*('Daily Closes'!J6-$E6))</f>
        <v/>
      </c>
      <c r="K6" s="20">
        <f>IF('Daily Closes'!K6="","",$D6*('Daily Closes'!K6-$E6))</f>
        <v/>
      </c>
      <c r="L6" s="20">
        <f>IF('Daily Closes'!L6="","",$D6*('Daily Closes'!L6-$E6))</f>
        <v/>
      </c>
      <c r="M6" s="20">
        <f>IF('Daily Closes'!M6="","",$D6*('Daily Closes'!M6-$E6))</f>
        <v/>
      </c>
      <c r="N6" s="20">
        <f>IF('Daily Closes'!N6="","",$D6*('Daily Closes'!N6-$E6))</f>
        <v/>
      </c>
      <c r="O6" s="20">
        <f>IF('Daily Closes'!O6="","",$D6*('Daily Closes'!O6-$E6))</f>
        <v/>
      </c>
      <c r="P6" s="20">
        <f>IF('Daily Closes'!P6="","",$D6*('Daily Closes'!P6-$E6))</f>
        <v/>
      </c>
      <c r="Q6" s="20">
        <f>IF('Daily Closes'!Q6="","",$D6*('Daily Closes'!Q6-$E6))</f>
        <v/>
      </c>
      <c r="R6" s="20">
        <f>IF('Daily Closes'!R6="","",$D6*('Daily Closes'!R6-$E6))</f>
        <v/>
      </c>
      <c r="S6" s="20">
        <f>IF('Daily Closes'!S6="","",$D6*('Daily Closes'!S6-$E6))</f>
        <v/>
      </c>
      <c r="T6" s="20">
        <f>IF('Daily Closes'!T6="","",$D6*('Daily Closes'!T6-$E6))</f>
        <v/>
      </c>
      <c r="U6" s="20">
        <f>IF('Daily Closes'!U6="","",$D6*('Daily Closes'!U6-$E6))</f>
        <v/>
      </c>
      <c r="V6" s="20">
        <f>IF('Daily Closes'!V6="","",$D6*('Daily Closes'!V6-$E6))</f>
        <v/>
      </c>
      <c r="W6" s="20">
        <f>IF('Daily Closes'!W6="","",$D6*('Daily Closes'!W6-$E6))</f>
        <v/>
      </c>
      <c r="X6" s="20">
        <f>IF('Daily Closes'!X6="","",$D6*('Daily Closes'!X6-$E6))</f>
        <v/>
      </c>
      <c r="Y6" s="20">
        <f>IF('Daily Closes'!Y6="","",$D6*('Daily Closes'!Y6-$E6))</f>
        <v/>
      </c>
      <c r="Z6" s="20">
        <f>IF('Daily Closes'!Z6="","",$D6*('Daily Closes'!Z6-$E6))</f>
        <v/>
      </c>
      <c r="AA6" s="20">
        <f>IF('Daily Closes'!AA6="","",$D6*('Daily Closes'!AA6-$E6))</f>
        <v/>
      </c>
    </row>
    <row r="7">
      <c r="A7" s="51">
        <f>'Daily Closes'!A7</f>
        <v/>
      </c>
      <c r="B7" s="16">
        <f>'Daily Closes'!B7</f>
        <v/>
      </c>
      <c r="C7" s="52">
        <f>'Daily Closes'!C7</f>
        <v/>
      </c>
      <c r="D7" s="51">
        <f>'Daily Closes'!D7</f>
        <v/>
      </c>
      <c r="E7" s="18">
        <f>'Daily Closes'!E7</f>
        <v/>
      </c>
      <c r="F7" s="35" t="inlineStr">
        <is>
          <t>—</t>
        </is>
      </c>
      <c r="G7" s="20">
        <f>IF('Daily Closes'!G7="","",$D7*('Daily Closes'!G7-$E7))</f>
        <v/>
      </c>
      <c r="H7" s="20">
        <f>IF('Daily Closes'!H7="","",$D7*('Daily Closes'!H7-$E7))</f>
        <v/>
      </c>
      <c r="I7" s="20">
        <f>IF('Daily Closes'!I7="","",$D7*('Daily Closes'!I7-$E7))</f>
        <v/>
      </c>
      <c r="J7" s="20">
        <f>IF('Daily Closes'!J7="","",$D7*('Daily Closes'!J7-$E7))</f>
        <v/>
      </c>
      <c r="K7" s="20">
        <f>IF('Daily Closes'!K7="","",$D7*('Daily Closes'!K7-$E7))</f>
        <v/>
      </c>
      <c r="L7" s="20">
        <f>IF('Daily Closes'!L7="","",$D7*('Daily Closes'!L7-$E7))</f>
        <v/>
      </c>
      <c r="M7" s="20">
        <f>IF('Daily Closes'!M7="","",$D7*('Daily Closes'!M7-$E7))</f>
        <v/>
      </c>
      <c r="N7" s="20">
        <f>IF('Daily Closes'!N7="","",$D7*('Daily Closes'!N7-$E7))</f>
        <v/>
      </c>
      <c r="O7" s="20">
        <f>IF('Daily Closes'!O7="","",$D7*('Daily Closes'!O7-$E7))</f>
        <v/>
      </c>
      <c r="P7" s="20">
        <f>IF('Daily Closes'!P7="","",$D7*('Daily Closes'!P7-$E7))</f>
        <v/>
      </c>
      <c r="Q7" s="20">
        <f>IF('Daily Closes'!Q7="","",$D7*('Daily Closes'!Q7-$E7))</f>
        <v/>
      </c>
      <c r="R7" s="20">
        <f>IF('Daily Closes'!R7="","",$D7*('Daily Closes'!R7-$E7))</f>
        <v/>
      </c>
      <c r="S7" s="20">
        <f>IF('Daily Closes'!S7="","",$D7*('Daily Closes'!S7-$E7))</f>
        <v/>
      </c>
      <c r="T7" s="20">
        <f>IF('Daily Closes'!T7="","",$D7*('Daily Closes'!T7-$E7))</f>
        <v/>
      </c>
      <c r="U7" s="20">
        <f>IF('Daily Closes'!U7="","",$D7*('Daily Closes'!U7-$E7))</f>
        <v/>
      </c>
      <c r="V7" s="20">
        <f>IF('Daily Closes'!V7="","",$D7*('Daily Closes'!V7-$E7))</f>
        <v/>
      </c>
      <c r="W7" s="20">
        <f>IF('Daily Closes'!W7="","",$D7*('Daily Closes'!W7-$E7))</f>
        <v/>
      </c>
      <c r="X7" s="20">
        <f>IF('Daily Closes'!X7="","",$D7*('Daily Closes'!X7-$E7))</f>
        <v/>
      </c>
      <c r="Y7" s="20">
        <f>IF('Daily Closes'!Y7="","",$D7*('Daily Closes'!Y7-$E7))</f>
        <v/>
      </c>
      <c r="Z7" s="20">
        <f>IF('Daily Closes'!Z7="","",$D7*('Daily Closes'!Z7-$E7))</f>
        <v/>
      </c>
      <c r="AA7" s="20">
        <f>IF('Daily Closes'!AA7="","",$D7*('Daily Closes'!AA7-$E7))</f>
        <v/>
      </c>
    </row>
    <row r="8">
      <c r="A8" s="51">
        <f>'Daily Closes'!A8</f>
        <v/>
      </c>
      <c r="B8" s="16">
        <f>'Daily Closes'!B8</f>
        <v/>
      </c>
      <c r="C8" s="52">
        <f>'Daily Closes'!C8</f>
        <v/>
      </c>
      <c r="D8" s="51">
        <f>'Daily Closes'!D8</f>
        <v/>
      </c>
      <c r="E8" s="18">
        <f>'Daily Closes'!E8</f>
        <v/>
      </c>
      <c r="F8" s="35" t="inlineStr">
        <is>
          <t>—</t>
        </is>
      </c>
      <c r="G8" s="20">
        <f>IF('Daily Closes'!G8="","",$D8*('Daily Closes'!G8-$E8))</f>
        <v/>
      </c>
      <c r="H8" s="20">
        <f>IF('Daily Closes'!H8="","",$D8*('Daily Closes'!H8-$E8))</f>
        <v/>
      </c>
      <c r="I8" s="20">
        <f>IF('Daily Closes'!I8="","",$D8*('Daily Closes'!I8-$E8))</f>
        <v/>
      </c>
      <c r="J8" s="20">
        <f>IF('Daily Closes'!J8="","",$D8*('Daily Closes'!J8-$E8))</f>
        <v/>
      </c>
      <c r="K8" s="20">
        <f>IF('Daily Closes'!K8="","",$D8*('Daily Closes'!K8-$E8))</f>
        <v/>
      </c>
      <c r="L8" s="20">
        <f>IF('Daily Closes'!L8="","",$D8*('Daily Closes'!L8-$E8))</f>
        <v/>
      </c>
      <c r="M8" s="20">
        <f>IF('Daily Closes'!M8="","",$D8*('Daily Closes'!M8-$E8))</f>
        <v/>
      </c>
      <c r="N8" s="20">
        <f>IF('Daily Closes'!N8="","",$D8*('Daily Closes'!N8-$E8))</f>
        <v/>
      </c>
      <c r="O8" s="20">
        <f>IF('Daily Closes'!O8="","",$D8*('Daily Closes'!O8-$E8))</f>
        <v/>
      </c>
      <c r="P8" s="20">
        <f>IF('Daily Closes'!P8="","",$D8*('Daily Closes'!P8-$E8))</f>
        <v/>
      </c>
      <c r="Q8" s="20">
        <f>IF('Daily Closes'!Q8="","",$D8*('Daily Closes'!Q8-$E8))</f>
        <v/>
      </c>
      <c r="R8" s="20">
        <f>IF('Daily Closes'!R8="","",$D8*('Daily Closes'!R8-$E8))</f>
        <v/>
      </c>
      <c r="S8" s="20">
        <f>IF('Daily Closes'!S8="","",$D8*('Daily Closes'!S8-$E8))</f>
        <v/>
      </c>
      <c r="T8" s="20">
        <f>IF('Daily Closes'!T8="","",$D8*('Daily Closes'!T8-$E8))</f>
        <v/>
      </c>
      <c r="U8" s="20">
        <f>IF('Daily Closes'!U8="","",$D8*('Daily Closes'!U8-$E8))</f>
        <v/>
      </c>
      <c r="V8" s="20">
        <f>IF('Daily Closes'!V8="","",$D8*('Daily Closes'!V8-$E8))</f>
        <v/>
      </c>
      <c r="W8" s="20">
        <f>IF('Daily Closes'!W8="","",$D8*('Daily Closes'!W8-$E8))</f>
        <v/>
      </c>
      <c r="X8" s="20">
        <f>IF('Daily Closes'!X8="","",$D8*('Daily Closes'!X8-$E8))</f>
        <v/>
      </c>
      <c r="Y8" s="20">
        <f>IF('Daily Closes'!Y8="","",$D8*('Daily Closes'!Y8-$E8))</f>
        <v/>
      </c>
      <c r="Z8" s="20">
        <f>IF('Daily Closes'!Z8="","",$D8*('Daily Closes'!Z8-$E8))</f>
        <v/>
      </c>
      <c r="AA8" s="20">
        <f>IF('Daily Closes'!AA8="","",$D8*('Daily Closes'!AA8-$E8))</f>
        <v/>
      </c>
    </row>
    <row r="9">
      <c r="A9" s="51">
        <f>'Daily Closes'!A9</f>
        <v/>
      </c>
      <c r="B9" s="16">
        <f>'Daily Closes'!B9</f>
        <v/>
      </c>
      <c r="C9" s="52">
        <f>'Daily Closes'!C9</f>
        <v/>
      </c>
      <c r="D9" s="51">
        <f>'Daily Closes'!D9</f>
        <v/>
      </c>
      <c r="E9" s="18">
        <f>'Daily Closes'!E9</f>
        <v/>
      </c>
      <c r="F9" s="35" t="inlineStr">
        <is>
          <t>—</t>
        </is>
      </c>
      <c r="G9" s="20">
        <f>IF('Daily Closes'!G9="","",$D9*('Daily Closes'!G9-$E9))</f>
        <v/>
      </c>
      <c r="H9" s="20">
        <f>IF('Daily Closes'!H9="","",$D9*('Daily Closes'!H9-$E9))</f>
        <v/>
      </c>
      <c r="I9" s="20">
        <f>IF('Daily Closes'!I9="","",$D9*('Daily Closes'!I9-$E9))</f>
        <v/>
      </c>
      <c r="J9" s="20">
        <f>IF('Daily Closes'!J9="","",$D9*('Daily Closes'!J9-$E9))</f>
        <v/>
      </c>
      <c r="K9" s="20">
        <f>IF('Daily Closes'!K9="","",$D9*('Daily Closes'!K9-$E9))</f>
        <v/>
      </c>
      <c r="L9" s="20">
        <f>IF('Daily Closes'!L9="","",$D9*('Daily Closes'!L9-$E9))</f>
        <v/>
      </c>
      <c r="M9" s="20">
        <f>IF('Daily Closes'!M9="","",$D9*('Daily Closes'!M9-$E9))</f>
        <v/>
      </c>
      <c r="N9" s="20">
        <f>IF('Daily Closes'!N9="","",$D9*('Daily Closes'!N9-$E9))</f>
        <v/>
      </c>
      <c r="O9" s="20">
        <f>IF('Daily Closes'!O9="","",$D9*('Daily Closes'!O9-$E9))</f>
        <v/>
      </c>
      <c r="P9" s="20">
        <f>IF('Daily Closes'!P9="","",$D9*('Daily Closes'!P9-$E9))</f>
        <v/>
      </c>
      <c r="Q9" s="20">
        <f>IF('Daily Closes'!Q9="","",$D9*('Daily Closes'!Q9-$E9))</f>
        <v/>
      </c>
      <c r="R9" s="20">
        <f>IF('Daily Closes'!R9="","",$D9*('Daily Closes'!R9-$E9))</f>
        <v/>
      </c>
      <c r="S9" s="20">
        <f>IF('Daily Closes'!S9="","",$D9*('Daily Closes'!S9-$E9))</f>
        <v/>
      </c>
      <c r="T9" s="20">
        <f>IF('Daily Closes'!T9="","",$D9*('Daily Closes'!T9-$E9))</f>
        <v/>
      </c>
      <c r="U9" s="20">
        <f>IF('Daily Closes'!U9="","",$D9*('Daily Closes'!U9-$E9))</f>
        <v/>
      </c>
      <c r="V9" s="20">
        <f>IF('Daily Closes'!V9="","",$D9*('Daily Closes'!V9-$E9))</f>
        <v/>
      </c>
      <c r="W9" s="20">
        <f>IF('Daily Closes'!W9="","",$D9*('Daily Closes'!W9-$E9))</f>
        <v/>
      </c>
      <c r="X9" s="20">
        <f>IF('Daily Closes'!X9="","",$D9*('Daily Closes'!X9-$E9))</f>
        <v/>
      </c>
      <c r="Y9" s="20">
        <f>IF('Daily Closes'!Y9="","",$D9*('Daily Closes'!Y9-$E9))</f>
        <v/>
      </c>
      <c r="Z9" s="20">
        <f>IF('Daily Closes'!Z9="","",$D9*('Daily Closes'!Z9-$E9))</f>
        <v/>
      </c>
      <c r="AA9" s="20">
        <f>IF('Daily Closes'!AA9="","",$D9*('Daily Closes'!AA9-$E9))</f>
        <v/>
      </c>
    </row>
    <row r="10">
      <c r="A10" s="51">
        <f>'Daily Closes'!A10</f>
        <v/>
      </c>
      <c r="B10" s="16">
        <f>'Daily Closes'!B10</f>
        <v/>
      </c>
      <c r="C10" s="52">
        <f>'Daily Closes'!C10</f>
        <v/>
      </c>
      <c r="D10" s="51">
        <f>'Daily Closes'!D10</f>
        <v/>
      </c>
      <c r="E10" s="18">
        <f>'Daily Closes'!E10</f>
        <v/>
      </c>
      <c r="F10" s="35" t="inlineStr">
        <is>
          <t>—</t>
        </is>
      </c>
      <c r="G10" s="20">
        <f>IF('Daily Closes'!G10="","",$D10*('Daily Closes'!G10-$E10))</f>
        <v/>
      </c>
      <c r="H10" s="20">
        <f>IF('Daily Closes'!H10="","",$D10*('Daily Closes'!H10-$E10))</f>
        <v/>
      </c>
      <c r="I10" s="20">
        <f>IF('Daily Closes'!I10="","",$D10*('Daily Closes'!I10-$E10))</f>
        <v/>
      </c>
      <c r="J10" s="20">
        <f>IF('Daily Closes'!J10="","",$D10*('Daily Closes'!J10-$E10))</f>
        <v/>
      </c>
      <c r="K10" s="20">
        <f>IF('Daily Closes'!K10="","",$D10*('Daily Closes'!K10-$E10))</f>
        <v/>
      </c>
      <c r="L10" s="20">
        <f>IF('Daily Closes'!L10="","",$D10*('Daily Closes'!L10-$E10))</f>
        <v/>
      </c>
      <c r="M10" s="20">
        <f>IF('Daily Closes'!M10="","",$D10*('Daily Closes'!M10-$E10))</f>
        <v/>
      </c>
      <c r="N10" s="20">
        <f>IF('Daily Closes'!N10="","",$D10*('Daily Closes'!N10-$E10))</f>
        <v/>
      </c>
      <c r="O10" s="20">
        <f>IF('Daily Closes'!O10="","",$D10*('Daily Closes'!O10-$E10))</f>
        <v/>
      </c>
      <c r="P10" s="20">
        <f>IF('Daily Closes'!P10="","",$D10*('Daily Closes'!P10-$E10))</f>
        <v/>
      </c>
      <c r="Q10" s="20">
        <f>IF('Daily Closes'!Q10="","",$D10*('Daily Closes'!Q10-$E10))</f>
        <v/>
      </c>
      <c r="R10" s="20">
        <f>IF('Daily Closes'!R10="","",$D10*('Daily Closes'!R10-$E10))</f>
        <v/>
      </c>
      <c r="S10" s="20">
        <f>IF('Daily Closes'!S10="","",$D10*('Daily Closes'!S10-$E10))</f>
        <v/>
      </c>
      <c r="T10" s="20">
        <f>IF('Daily Closes'!T10="","",$D10*('Daily Closes'!T10-$E10))</f>
        <v/>
      </c>
      <c r="U10" s="20">
        <f>IF('Daily Closes'!U10="","",$D10*('Daily Closes'!U10-$E10))</f>
        <v/>
      </c>
      <c r="V10" s="20">
        <f>IF('Daily Closes'!V10="","",$D10*('Daily Closes'!V10-$E10))</f>
        <v/>
      </c>
      <c r="W10" s="20">
        <f>IF('Daily Closes'!W10="","",$D10*('Daily Closes'!W10-$E10))</f>
        <v/>
      </c>
      <c r="X10" s="20">
        <f>IF('Daily Closes'!X10="","",$D10*('Daily Closes'!X10-$E10))</f>
        <v/>
      </c>
      <c r="Y10" s="20">
        <f>IF('Daily Closes'!Y10="","",$D10*('Daily Closes'!Y10-$E10))</f>
        <v/>
      </c>
      <c r="Z10" s="20">
        <f>IF('Daily Closes'!Z10="","",$D10*('Daily Closes'!Z10-$E10))</f>
        <v/>
      </c>
      <c r="AA10" s="20">
        <f>IF('Daily Closes'!AA10="","",$D10*('Daily Closes'!AA10-$E10))</f>
        <v/>
      </c>
    </row>
    <row r="11">
      <c r="A11" s="51">
        <f>'Daily Closes'!A11</f>
        <v/>
      </c>
      <c r="B11" s="16">
        <f>'Daily Closes'!B11</f>
        <v/>
      </c>
      <c r="C11" s="52">
        <f>'Daily Closes'!C11</f>
        <v/>
      </c>
      <c r="D11" s="51">
        <f>'Daily Closes'!D11</f>
        <v/>
      </c>
      <c r="E11" s="18">
        <f>'Daily Closes'!E11</f>
        <v/>
      </c>
      <c r="F11" s="35" t="inlineStr">
        <is>
          <t>—</t>
        </is>
      </c>
      <c r="G11" s="20">
        <f>IF('Daily Closes'!G11="","",$D11*('Daily Closes'!G11-$E11))</f>
        <v/>
      </c>
      <c r="H11" s="20">
        <f>IF('Daily Closes'!H11="","",$D11*('Daily Closes'!H11-$E11))</f>
        <v/>
      </c>
      <c r="I11" s="20">
        <f>IF('Daily Closes'!I11="","",$D11*('Daily Closes'!I11-$E11))</f>
        <v/>
      </c>
      <c r="J11" s="20">
        <f>IF('Daily Closes'!J11="","",$D11*('Daily Closes'!J11-$E11))</f>
        <v/>
      </c>
      <c r="K11" s="20">
        <f>IF('Daily Closes'!K11="","",$D11*('Daily Closes'!K11-$E11))</f>
        <v/>
      </c>
      <c r="L11" s="20">
        <f>IF('Daily Closes'!L11="","",$D11*('Daily Closes'!L11-$E11))</f>
        <v/>
      </c>
      <c r="M11" s="20">
        <f>IF('Daily Closes'!M11="","",$D11*('Daily Closes'!M11-$E11))</f>
        <v/>
      </c>
      <c r="N11" s="20">
        <f>IF('Daily Closes'!N11="","",$D11*('Daily Closes'!N11-$E11))</f>
        <v/>
      </c>
      <c r="O11" s="20">
        <f>IF('Daily Closes'!O11="","",$D11*('Daily Closes'!O11-$E11))</f>
        <v/>
      </c>
      <c r="P11" s="20">
        <f>IF('Daily Closes'!P11="","",$D11*('Daily Closes'!P11-$E11))</f>
        <v/>
      </c>
      <c r="Q11" s="20">
        <f>IF('Daily Closes'!Q11="","",$D11*('Daily Closes'!Q11-$E11))</f>
        <v/>
      </c>
      <c r="R11" s="20">
        <f>IF('Daily Closes'!R11="","",$D11*('Daily Closes'!R11-$E11))</f>
        <v/>
      </c>
      <c r="S11" s="20">
        <f>IF('Daily Closes'!S11="","",$D11*('Daily Closes'!S11-$E11))</f>
        <v/>
      </c>
      <c r="T11" s="20">
        <f>IF('Daily Closes'!T11="","",$D11*('Daily Closes'!T11-$E11))</f>
        <v/>
      </c>
      <c r="U11" s="20">
        <f>IF('Daily Closes'!U11="","",$D11*('Daily Closes'!U11-$E11))</f>
        <v/>
      </c>
      <c r="V11" s="20">
        <f>IF('Daily Closes'!V11="","",$D11*('Daily Closes'!V11-$E11))</f>
        <v/>
      </c>
      <c r="W11" s="20">
        <f>IF('Daily Closes'!W11="","",$D11*('Daily Closes'!W11-$E11))</f>
        <v/>
      </c>
      <c r="X11" s="20">
        <f>IF('Daily Closes'!X11="","",$D11*('Daily Closes'!X11-$E11))</f>
        <v/>
      </c>
      <c r="Y11" s="20">
        <f>IF('Daily Closes'!Y11="","",$D11*('Daily Closes'!Y11-$E11))</f>
        <v/>
      </c>
      <c r="Z11" s="20">
        <f>IF('Daily Closes'!Z11="","",$D11*('Daily Closes'!Z11-$E11))</f>
        <v/>
      </c>
      <c r="AA11" s="20">
        <f>IF('Daily Closes'!AA11="","",$D11*('Daily Closes'!AA11-$E11))</f>
        <v/>
      </c>
    </row>
    <row r="12">
      <c r="A12" s="51">
        <f>'Daily Closes'!A12</f>
        <v/>
      </c>
      <c r="B12" s="16">
        <f>'Daily Closes'!B12</f>
        <v/>
      </c>
      <c r="C12" s="52">
        <f>'Daily Closes'!C12</f>
        <v/>
      </c>
      <c r="D12" s="51">
        <f>'Daily Closes'!D12</f>
        <v/>
      </c>
      <c r="E12" s="18">
        <f>'Daily Closes'!E12</f>
        <v/>
      </c>
      <c r="F12" s="35" t="inlineStr">
        <is>
          <t>—</t>
        </is>
      </c>
      <c r="G12" s="20">
        <f>IF('Daily Closes'!G12="","",$D12*('Daily Closes'!G12-$E12))</f>
        <v/>
      </c>
      <c r="H12" s="20">
        <f>IF('Daily Closes'!H12="","",$D12*('Daily Closes'!H12-$E12))</f>
        <v/>
      </c>
      <c r="I12" s="20">
        <f>IF('Daily Closes'!I12="","",$D12*('Daily Closes'!I12-$E12))</f>
        <v/>
      </c>
      <c r="J12" s="20">
        <f>IF('Daily Closes'!J12="","",$D12*('Daily Closes'!J12-$E12))</f>
        <v/>
      </c>
      <c r="K12" s="20">
        <f>IF('Daily Closes'!K12="","",$D12*('Daily Closes'!K12-$E12))</f>
        <v/>
      </c>
      <c r="L12" s="20">
        <f>IF('Daily Closes'!L12="","",$D12*('Daily Closes'!L12-$E12))</f>
        <v/>
      </c>
      <c r="M12" s="20">
        <f>IF('Daily Closes'!M12="","",$D12*('Daily Closes'!M12-$E12))</f>
        <v/>
      </c>
      <c r="N12" s="20">
        <f>IF('Daily Closes'!N12="","",$D12*('Daily Closes'!N12-$E12))</f>
        <v/>
      </c>
      <c r="O12" s="20">
        <f>IF('Daily Closes'!O12="","",$D12*('Daily Closes'!O12-$E12))</f>
        <v/>
      </c>
      <c r="P12" s="20">
        <f>IF('Daily Closes'!P12="","",$D12*('Daily Closes'!P12-$E12))</f>
        <v/>
      </c>
      <c r="Q12" s="20">
        <f>IF('Daily Closes'!Q12="","",$D12*('Daily Closes'!Q12-$E12))</f>
        <v/>
      </c>
      <c r="R12" s="20">
        <f>IF('Daily Closes'!R12="","",$D12*('Daily Closes'!R12-$E12))</f>
        <v/>
      </c>
      <c r="S12" s="20">
        <f>IF('Daily Closes'!S12="","",$D12*('Daily Closes'!S12-$E12))</f>
        <v/>
      </c>
      <c r="T12" s="20">
        <f>IF('Daily Closes'!T12="","",$D12*('Daily Closes'!T12-$E12))</f>
        <v/>
      </c>
      <c r="U12" s="20">
        <f>IF('Daily Closes'!U12="","",$D12*('Daily Closes'!U12-$E12))</f>
        <v/>
      </c>
      <c r="V12" s="20">
        <f>IF('Daily Closes'!V12="","",$D12*('Daily Closes'!V12-$E12))</f>
        <v/>
      </c>
      <c r="W12" s="20">
        <f>IF('Daily Closes'!W12="","",$D12*('Daily Closes'!W12-$E12))</f>
        <v/>
      </c>
      <c r="X12" s="20">
        <f>IF('Daily Closes'!X12="","",$D12*('Daily Closes'!X12-$E12))</f>
        <v/>
      </c>
      <c r="Y12" s="20">
        <f>IF('Daily Closes'!Y12="","",$D12*('Daily Closes'!Y12-$E12))</f>
        <v/>
      </c>
      <c r="Z12" s="20">
        <f>IF('Daily Closes'!Z12="","",$D12*('Daily Closes'!Z12-$E12))</f>
        <v/>
      </c>
      <c r="AA12" s="20">
        <f>IF('Daily Closes'!AA12="","",$D12*('Daily Closes'!AA12-$E12))</f>
        <v/>
      </c>
    </row>
    <row r="13">
      <c r="A13" s="51">
        <f>'Daily Closes'!A13</f>
        <v/>
      </c>
      <c r="B13" s="16">
        <f>'Daily Closes'!B13</f>
        <v/>
      </c>
      <c r="C13" s="52">
        <f>'Daily Closes'!C13</f>
        <v/>
      </c>
      <c r="D13" s="51">
        <f>'Daily Closes'!D13</f>
        <v/>
      </c>
      <c r="E13" s="18">
        <f>'Daily Closes'!E13</f>
        <v/>
      </c>
      <c r="F13" s="35" t="inlineStr">
        <is>
          <t>—</t>
        </is>
      </c>
      <c r="G13" s="20">
        <f>IF('Daily Closes'!G13="","",$D13*('Daily Closes'!G13-$E13))</f>
        <v/>
      </c>
      <c r="H13" s="20">
        <f>IF('Daily Closes'!H13="","",$D13*('Daily Closes'!H13-$E13))</f>
        <v/>
      </c>
      <c r="I13" s="20">
        <f>IF('Daily Closes'!I13="","",$D13*('Daily Closes'!I13-$E13))</f>
        <v/>
      </c>
      <c r="J13" s="20">
        <f>IF('Daily Closes'!J13="","",$D13*('Daily Closes'!J13-$E13))</f>
        <v/>
      </c>
      <c r="K13" s="20">
        <f>IF('Daily Closes'!K13="","",$D13*('Daily Closes'!K13-$E13))</f>
        <v/>
      </c>
      <c r="L13" s="20">
        <f>IF('Daily Closes'!L13="","",$D13*('Daily Closes'!L13-$E13))</f>
        <v/>
      </c>
      <c r="M13" s="20">
        <f>IF('Daily Closes'!M13="","",$D13*('Daily Closes'!M13-$E13))</f>
        <v/>
      </c>
      <c r="N13" s="20">
        <f>IF('Daily Closes'!N13="","",$D13*('Daily Closes'!N13-$E13))</f>
        <v/>
      </c>
      <c r="O13" s="20">
        <f>IF('Daily Closes'!O13="","",$D13*('Daily Closes'!O13-$E13))</f>
        <v/>
      </c>
      <c r="P13" s="20">
        <f>IF('Daily Closes'!P13="","",$D13*('Daily Closes'!P13-$E13))</f>
        <v/>
      </c>
      <c r="Q13" s="20">
        <f>IF('Daily Closes'!Q13="","",$D13*('Daily Closes'!Q13-$E13))</f>
        <v/>
      </c>
      <c r="R13" s="20">
        <f>IF('Daily Closes'!R13="","",$D13*('Daily Closes'!R13-$E13))</f>
        <v/>
      </c>
      <c r="S13" s="20">
        <f>IF('Daily Closes'!S13="","",$D13*('Daily Closes'!S13-$E13))</f>
        <v/>
      </c>
      <c r="T13" s="20">
        <f>IF('Daily Closes'!T13="","",$D13*('Daily Closes'!T13-$E13))</f>
        <v/>
      </c>
      <c r="U13" s="20">
        <f>IF('Daily Closes'!U13="","",$D13*('Daily Closes'!U13-$E13))</f>
        <v/>
      </c>
      <c r="V13" s="20">
        <f>IF('Daily Closes'!V13="","",$D13*('Daily Closes'!V13-$E13))</f>
        <v/>
      </c>
      <c r="W13" s="20">
        <f>IF('Daily Closes'!W13="","",$D13*('Daily Closes'!W13-$E13))</f>
        <v/>
      </c>
      <c r="X13" s="20">
        <f>IF('Daily Closes'!X13="","",$D13*('Daily Closes'!X13-$E13))</f>
        <v/>
      </c>
      <c r="Y13" s="20">
        <f>IF('Daily Closes'!Y13="","",$D13*('Daily Closes'!Y13-$E13))</f>
        <v/>
      </c>
      <c r="Z13" s="20">
        <f>IF('Daily Closes'!Z13="","",$D13*('Daily Closes'!Z13-$E13))</f>
        <v/>
      </c>
      <c r="AA13" s="20">
        <f>IF('Daily Closes'!AA13="","",$D13*('Daily Closes'!AA13-$E13))</f>
        <v/>
      </c>
    </row>
    <row r="14">
      <c r="A14" s="51">
        <f>'Daily Closes'!A14</f>
        <v/>
      </c>
      <c r="B14" s="16">
        <f>'Daily Closes'!B14</f>
        <v/>
      </c>
      <c r="C14" s="52">
        <f>'Daily Closes'!C14</f>
        <v/>
      </c>
      <c r="D14" s="51">
        <f>'Daily Closes'!D14</f>
        <v/>
      </c>
      <c r="E14" s="18">
        <f>'Daily Closes'!E14</f>
        <v/>
      </c>
      <c r="F14" s="35" t="inlineStr">
        <is>
          <t>—</t>
        </is>
      </c>
      <c r="G14" s="20">
        <f>IF('Daily Closes'!G14="","",$D14*('Daily Closes'!G14-$E14))</f>
        <v/>
      </c>
      <c r="H14" s="20">
        <f>IF('Daily Closes'!H14="","",$D14*('Daily Closes'!H14-$E14))</f>
        <v/>
      </c>
      <c r="I14" s="20">
        <f>IF('Daily Closes'!I14="","",$D14*('Daily Closes'!I14-$E14))</f>
        <v/>
      </c>
      <c r="J14" s="20">
        <f>IF('Daily Closes'!J14="","",$D14*('Daily Closes'!J14-$E14))</f>
        <v/>
      </c>
      <c r="K14" s="20">
        <f>IF('Daily Closes'!K14="","",$D14*('Daily Closes'!K14-$E14))</f>
        <v/>
      </c>
      <c r="L14" s="20">
        <f>IF('Daily Closes'!L14="","",$D14*('Daily Closes'!L14-$E14))</f>
        <v/>
      </c>
      <c r="M14" s="20">
        <f>IF('Daily Closes'!M14="","",$D14*('Daily Closes'!M14-$E14))</f>
        <v/>
      </c>
      <c r="N14" s="20">
        <f>IF('Daily Closes'!N14="","",$D14*('Daily Closes'!N14-$E14))</f>
        <v/>
      </c>
      <c r="O14" s="20">
        <f>IF('Daily Closes'!O14="","",$D14*('Daily Closes'!O14-$E14))</f>
        <v/>
      </c>
      <c r="P14" s="20">
        <f>IF('Daily Closes'!P14="","",$D14*('Daily Closes'!P14-$E14))</f>
        <v/>
      </c>
      <c r="Q14" s="20">
        <f>IF('Daily Closes'!Q14="","",$D14*('Daily Closes'!Q14-$E14))</f>
        <v/>
      </c>
      <c r="R14" s="20">
        <f>IF('Daily Closes'!R14="","",$D14*('Daily Closes'!R14-$E14))</f>
        <v/>
      </c>
      <c r="S14" s="20">
        <f>IF('Daily Closes'!S14="","",$D14*('Daily Closes'!S14-$E14))</f>
        <v/>
      </c>
      <c r="T14" s="20">
        <f>IF('Daily Closes'!T14="","",$D14*('Daily Closes'!T14-$E14))</f>
        <v/>
      </c>
      <c r="U14" s="20">
        <f>IF('Daily Closes'!U14="","",$D14*('Daily Closes'!U14-$E14))</f>
        <v/>
      </c>
      <c r="V14" s="20">
        <f>IF('Daily Closes'!V14="","",$D14*('Daily Closes'!V14-$E14))</f>
        <v/>
      </c>
      <c r="W14" s="20">
        <f>IF('Daily Closes'!W14="","",$D14*('Daily Closes'!W14-$E14))</f>
        <v/>
      </c>
      <c r="X14" s="20">
        <f>IF('Daily Closes'!X14="","",$D14*('Daily Closes'!X14-$E14))</f>
        <v/>
      </c>
      <c r="Y14" s="20">
        <f>IF('Daily Closes'!Y14="","",$D14*('Daily Closes'!Y14-$E14))</f>
        <v/>
      </c>
      <c r="Z14" s="20">
        <f>IF('Daily Closes'!Z14="","",$D14*('Daily Closes'!Z14-$E14))</f>
        <v/>
      </c>
      <c r="AA14" s="20">
        <f>IF('Daily Closes'!AA14="","",$D14*('Daily Closes'!AA14-$E14))</f>
        <v/>
      </c>
    </row>
    <row r="15">
      <c r="A15" s="51">
        <f>'Daily Closes'!A15</f>
        <v/>
      </c>
      <c r="B15" s="16">
        <f>'Daily Closes'!B15</f>
        <v/>
      </c>
      <c r="C15" s="52">
        <f>'Daily Closes'!C15</f>
        <v/>
      </c>
      <c r="D15" s="51">
        <f>'Daily Closes'!D15</f>
        <v/>
      </c>
      <c r="E15" s="18">
        <f>'Daily Closes'!E15</f>
        <v/>
      </c>
      <c r="F15" s="35" t="inlineStr">
        <is>
          <t>—</t>
        </is>
      </c>
      <c r="G15" s="20">
        <f>IF('Daily Closes'!G15="","",$D15*('Daily Closes'!G15-$E15))</f>
        <v/>
      </c>
      <c r="H15" s="20">
        <f>IF('Daily Closes'!H15="","",$D15*('Daily Closes'!H15-$E15))</f>
        <v/>
      </c>
      <c r="I15" s="20">
        <f>IF('Daily Closes'!I15="","",$D15*('Daily Closes'!I15-$E15))</f>
        <v/>
      </c>
      <c r="J15" s="20">
        <f>IF('Daily Closes'!J15="","",$D15*('Daily Closes'!J15-$E15))</f>
        <v/>
      </c>
      <c r="K15" s="20">
        <f>IF('Daily Closes'!K15="","",$D15*('Daily Closes'!K15-$E15))</f>
        <v/>
      </c>
      <c r="L15" s="20">
        <f>IF('Daily Closes'!L15="","",$D15*('Daily Closes'!L15-$E15))</f>
        <v/>
      </c>
      <c r="M15" s="20">
        <f>IF('Daily Closes'!M15="","",$D15*('Daily Closes'!M15-$E15))</f>
        <v/>
      </c>
      <c r="N15" s="20">
        <f>IF('Daily Closes'!N15="","",$D15*('Daily Closes'!N15-$E15))</f>
        <v/>
      </c>
      <c r="O15" s="20">
        <f>IF('Daily Closes'!O15="","",$D15*('Daily Closes'!O15-$E15))</f>
        <v/>
      </c>
      <c r="P15" s="20">
        <f>IF('Daily Closes'!P15="","",$D15*('Daily Closes'!P15-$E15))</f>
        <v/>
      </c>
      <c r="Q15" s="20">
        <f>IF('Daily Closes'!Q15="","",$D15*('Daily Closes'!Q15-$E15))</f>
        <v/>
      </c>
      <c r="R15" s="20">
        <f>IF('Daily Closes'!R15="","",$D15*('Daily Closes'!R15-$E15))</f>
        <v/>
      </c>
      <c r="S15" s="20">
        <f>IF('Daily Closes'!S15="","",$D15*('Daily Closes'!S15-$E15))</f>
        <v/>
      </c>
      <c r="T15" s="20">
        <f>IF('Daily Closes'!T15="","",$D15*('Daily Closes'!T15-$E15))</f>
        <v/>
      </c>
      <c r="U15" s="20">
        <f>IF('Daily Closes'!U15="","",$D15*('Daily Closes'!U15-$E15))</f>
        <v/>
      </c>
      <c r="V15" s="20">
        <f>IF('Daily Closes'!V15="","",$D15*('Daily Closes'!V15-$E15))</f>
        <v/>
      </c>
      <c r="W15" s="20">
        <f>IF('Daily Closes'!W15="","",$D15*('Daily Closes'!W15-$E15))</f>
        <v/>
      </c>
      <c r="X15" s="20">
        <f>IF('Daily Closes'!X15="","",$D15*('Daily Closes'!X15-$E15))</f>
        <v/>
      </c>
      <c r="Y15" s="20">
        <f>IF('Daily Closes'!Y15="","",$D15*('Daily Closes'!Y15-$E15))</f>
        <v/>
      </c>
      <c r="Z15" s="20">
        <f>IF('Daily Closes'!Z15="","",$D15*('Daily Closes'!Z15-$E15))</f>
        <v/>
      </c>
      <c r="AA15" s="20">
        <f>IF('Daily Closes'!AA15="","",$D15*('Daily Closes'!AA15-$E15))</f>
        <v/>
      </c>
    </row>
    <row r="16">
      <c r="B16" s="16" t="inlineStr">
        <is>
          <t>TOTAL</t>
        </is>
      </c>
      <c r="G16" s="48">
        <f>IF(COUNT(G6:G15)=0,"",SUM(G6:G15))</f>
        <v/>
      </c>
      <c r="H16" s="48">
        <f>IF(COUNT(H6:H15)=0,"",SUM(H6:H15))</f>
        <v/>
      </c>
      <c r="I16" s="48">
        <f>IF(COUNT(I6:I15)=0,"",SUM(I6:I15))</f>
        <v/>
      </c>
      <c r="J16" s="48">
        <f>IF(COUNT(J6:J15)=0,"",SUM(J6:J15))</f>
        <v/>
      </c>
      <c r="K16" s="48">
        <f>IF(COUNT(K6:K15)=0,"",SUM(K6:K15))</f>
        <v/>
      </c>
      <c r="L16" s="48">
        <f>IF(COUNT(L6:L15)=0,"",SUM(L6:L15))</f>
        <v/>
      </c>
      <c r="M16" s="48">
        <f>IF(COUNT(M6:M15)=0,"",SUM(M6:M15))</f>
        <v/>
      </c>
      <c r="N16" s="48">
        <f>IF(COUNT(N6:N15)=0,"",SUM(N6:N15))</f>
        <v/>
      </c>
      <c r="O16" s="48">
        <f>IF(COUNT(O6:O15)=0,"",SUM(O6:O15))</f>
        <v/>
      </c>
      <c r="P16" s="48">
        <f>IF(COUNT(P6:P15)=0,"",SUM(P6:P15))</f>
        <v/>
      </c>
      <c r="Q16" s="48">
        <f>IF(COUNT(Q6:Q15)=0,"",SUM(Q6:Q15))</f>
        <v/>
      </c>
      <c r="R16" s="48">
        <f>IF(COUNT(R6:R15)=0,"",SUM(R6:R15))</f>
        <v/>
      </c>
      <c r="S16" s="48">
        <f>IF(COUNT(S6:S15)=0,"",SUM(S6:S15))</f>
        <v/>
      </c>
      <c r="T16" s="48">
        <f>IF(COUNT(T6:T15)=0,"",SUM(T6:T15))</f>
        <v/>
      </c>
      <c r="U16" s="48">
        <f>IF(COUNT(U6:U15)=0,"",SUM(U6:U15))</f>
        <v/>
      </c>
      <c r="V16" s="48">
        <f>IF(COUNT(V6:V15)=0,"",SUM(V6:V15))</f>
        <v/>
      </c>
      <c r="W16" s="48">
        <f>IF(COUNT(W6:W15)=0,"",SUM(W6:W15))</f>
        <v/>
      </c>
      <c r="X16" s="48">
        <f>IF(COUNT(X6:X15)=0,"",SUM(X6:X15))</f>
        <v/>
      </c>
      <c r="Y16" s="48">
        <f>IF(COUNT(Y6:Y15)=0,"",SUM(Y6:Y15))</f>
        <v/>
      </c>
      <c r="Z16" s="48">
        <f>IF(COUNT(Z6:Z15)=0,"",SUM(Z6:Z15))</f>
        <v/>
      </c>
      <c r="AA16" s="48">
        <f>IF(COUNT(AA6:AA15)=0,"",SUM(AA6:AA15))</f>
        <v/>
      </c>
    </row>
  </sheetData>
  <mergeCells count="2">
    <mergeCell ref="A1:AA1"/>
    <mergeCell ref="A2:AA2"/>
  </mergeCells>
  <conditionalFormatting sqref="G6:AA16">
    <cfRule type="cellIs" priority="1" operator="greaterThan" dxfId="4">
      <formula>0</formula>
    </cfRule>
    <cfRule type="cellIs" priority="2" operator="lessThan" dxfId="5">
      <formula>0</formula>
    </cfRule>
  </conditionalFormatting>
  <pageMargins left="0.75" right="0.75" top="1" bottom="1" header="0.5" footer="0.5"/>
  <pageSetup orientation="landscape" fitToWidth="1"/>
</worksheet>
</file>

<file path=xl/worksheets/sheet5.xml><?xml version="1.0" encoding="utf-8"?>
<worksheet xmlns="http://schemas.openxmlformats.org/spreadsheetml/2006/main">
  <sheetPr>
    <tabColor rgb="000B1F3A"/>
    <outlinePr summaryBelow="1" summaryRight="1"/>
    <pageSetUpPr fitToPage="1"/>
  </sheetPr>
  <dimension ref="A1:I26"/>
  <sheetViews>
    <sheetView showGridLines="0" workbookViewId="0">
      <pane ySplit="4" topLeftCell="A5" activePane="bottomLeft" state="frozen"/>
      <selection pane="bottomLeft" activeCell="A1" sqref="A1"/>
    </sheetView>
  </sheetViews>
  <sheetFormatPr baseColWidth="8" defaultRowHeight="15"/>
  <cols>
    <col width="6" customWidth="1" min="1" max="1"/>
    <col width="12" customWidth="1" min="2" max="2"/>
    <col width="20" customWidth="1" min="3" max="3"/>
    <col width="18" customWidth="1" min="4" max="4"/>
    <col width="14" customWidth="1" min="5" max="5"/>
    <col width="11" customWidth="1" min="6" max="6"/>
    <col width="10" customWidth="1" min="7" max="7"/>
    <col width="12" customWidth="1" min="8" max="8"/>
    <col width="12" customWidth="1" min="9" max="9"/>
  </cols>
  <sheetData>
    <row r="1" ht="30" customHeight="1">
      <c r="A1" s="1" t="inlineStr">
        <is>
          <t>Portfolio Path — Day by Day</t>
        </is>
      </c>
      <c r="B1" s="2" t="n"/>
      <c r="C1" s="2" t="n"/>
      <c r="D1" s="2" t="n"/>
      <c r="E1" s="2" t="n"/>
      <c r="F1" s="2" t="n"/>
      <c r="G1" s="2" t="n"/>
      <c r="H1" s="2" t="n"/>
      <c r="I1" s="2" t="n"/>
    </row>
    <row r="2" ht="18" customHeight="1">
      <c r="A2" s="3" t="inlineStr">
        <is>
          <t>Value, P&amp;L, return, drawdown and Nifty 50 comparison</t>
        </is>
      </c>
      <c r="B2" s="2" t="n"/>
      <c r="C2" s="2" t="n"/>
      <c r="D2" s="2" t="n"/>
      <c r="E2" s="2" t="n"/>
      <c r="F2" s="2" t="n"/>
      <c r="G2" s="2" t="n"/>
      <c r="H2" s="2" t="n"/>
      <c r="I2" s="2" t="n"/>
    </row>
    <row r="4">
      <c r="A4" s="15" t="inlineStr">
        <is>
          <t>Day</t>
        </is>
      </c>
      <c r="B4" s="15" t="inlineStr">
        <is>
          <t>Date</t>
        </is>
      </c>
      <c r="C4" s="15" t="inlineStr">
        <is>
          <t>Status</t>
        </is>
      </c>
      <c r="D4" s="15" t="inlineStr">
        <is>
          <t>Portfolio Value ₹</t>
        </is>
      </c>
      <c r="E4" s="15" t="inlineStr">
        <is>
          <t>P&amp;L ₹</t>
        </is>
      </c>
      <c r="F4" s="15" t="inlineStr">
        <is>
          <t>Return %</t>
        </is>
      </c>
      <c r="G4" s="15" t="inlineStr">
        <is>
          <t>Daily %</t>
        </is>
      </c>
      <c r="H4" s="15" t="inlineStr">
        <is>
          <t>Drawdown %</t>
        </is>
      </c>
      <c r="I4" s="15" t="inlineStr">
        <is>
          <t>Nifty 50 %</t>
        </is>
      </c>
    </row>
    <row r="5">
      <c r="A5" s="53" t="n">
        <v>0</v>
      </c>
      <c r="B5" s="35" t="inlineStr">
        <is>
          <t>2026-09-28</t>
        </is>
      </c>
      <c r="C5" s="52" t="inlineStr">
        <is>
          <t>Signal</t>
        </is>
      </c>
      <c r="D5" s="20" t="n">
        <v>139903</v>
      </c>
      <c r="E5" s="20" t="n">
        <v>0</v>
      </c>
      <c r="F5" s="19" t="n">
        <v>0</v>
      </c>
      <c r="G5" s="19" t="n"/>
      <c r="H5" s="19" t="n"/>
      <c r="I5" s="19" t="n">
        <v>0</v>
      </c>
    </row>
    <row r="6">
      <c r="A6" s="53" t="n">
        <v>1</v>
      </c>
      <c r="B6" s="35" t="inlineStr">
        <is>
          <t>2026-09-29</t>
        </is>
      </c>
      <c r="C6" s="52" t="inlineStr">
        <is>
          <t>Entry</t>
        </is>
      </c>
      <c r="D6" s="20" t="n">
        <v>145178.6</v>
      </c>
      <c r="E6" s="20" t="n">
        <v>5223.55</v>
      </c>
      <c r="F6" s="19" t="n">
        <v>0.037323</v>
      </c>
      <c r="G6" s="19" t="n"/>
      <c r="H6" s="19" t="n">
        <v>0</v>
      </c>
      <c r="I6" s="19" t="n">
        <v>-0.002812</v>
      </c>
    </row>
    <row r="7">
      <c r="A7" s="53" t="n">
        <v>2</v>
      </c>
      <c r="B7" s="35" t="inlineStr">
        <is>
          <t>2026-09-30</t>
        </is>
      </c>
      <c r="C7" s="52" t="inlineStr">
        <is>
          <t>Hold</t>
        </is>
      </c>
      <c r="D7" s="20" t="n">
        <v>144421.3</v>
      </c>
      <c r="E7" s="20" t="n">
        <v>4466.25</v>
      </c>
      <c r="F7" s="19" t="n">
        <v>0.031912</v>
      </c>
      <c r="G7" s="19" t="n">
        <v>-0.005216</v>
      </c>
      <c r="H7" s="19" t="n">
        <v>-0.005216</v>
      </c>
      <c r="I7" s="19" t="n">
        <v>-0.007015</v>
      </c>
    </row>
    <row r="8">
      <c r="A8" s="53" t="n">
        <v>3</v>
      </c>
      <c r="B8" s="35" t="inlineStr">
        <is>
          <t>2026-10-01</t>
        </is>
      </c>
      <c r="C8" s="52" t="inlineStr">
        <is>
          <t>Hold</t>
        </is>
      </c>
      <c r="D8" s="20" t="n">
        <v>142311.25</v>
      </c>
      <c r="E8" s="20" t="n">
        <v>2356.2</v>
      </c>
      <c r="F8" s="19" t="n">
        <v>0.016835</v>
      </c>
      <c r="G8" s="19" t="n">
        <v>-0.01461</v>
      </c>
      <c r="H8" s="19" t="n">
        <v>-0.019751</v>
      </c>
      <c r="I8" s="19" t="n">
        <v>-0.015729</v>
      </c>
    </row>
    <row r="9">
      <c r="A9" s="53" t="n">
        <v>4</v>
      </c>
      <c r="B9" s="35" t="inlineStr">
        <is>
          <t>2026-10-02</t>
        </is>
      </c>
      <c r="C9" s="52" t="inlineStr">
        <is>
          <t>Hold</t>
        </is>
      </c>
      <c r="D9" s="20" t="n">
        <v>142311.25</v>
      </c>
      <c r="E9" s="20" t="n">
        <v>2356.2</v>
      </c>
      <c r="F9" s="19" t="n">
        <v>0.016835</v>
      </c>
      <c r="G9" s="19" t="n">
        <v>0</v>
      </c>
      <c r="H9" s="19" t="n">
        <v>-0.019751</v>
      </c>
      <c r="I9" s="19" t="n">
        <v>-0.015729</v>
      </c>
    </row>
    <row r="10">
      <c r="A10" s="53" t="n">
        <v>5</v>
      </c>
      <c r="B10" s="35" t="inlineStr">
        <is>
          <t>2026-10-05</t>
        </is>
      </c>
      <c r="C10" s="52" t="inlineStr">
        <is>
          <t>Hold</t>
        </is>
      </c>
      <c r="D10" s="20" t="n">
        <v>144045.15</v>
      </c>
      <c r="E10" s="20" t="n">
        <v>4090.1</v>
      </c>
      <c r="F10" s="19" t="n">
        <v>0.029224</v>
      </c>
      <c r="G10" s="19" t="n">
        <v>0.012184</v>
      </c>
      <c r="H10" s="19" t="n">
        <v>-0.007807</v>
      </c>
      <c r="I10" s="19" t="n">
        <v>-0.009854999999999999</v>
      </c>
    </row>
    <row r="11">
      <c r="A11" s="53" t="n">
        <v>6</v>
      </c>
      <c r="B11" s="35" t="inlineStr">
        <is>
          <t>2026-10-06</t>
        </is>
      </c>
      <c r="C11" s="52" t="inlineStr">
        <is>
          <t>Hold</t>
        </is>
      </c>
      <c r="D11" s="20" t="n">
        <v>148186.35</v>
      </c>
      <c r="E11" s="20" t="n">
        <v>8231.299999999999</v>
      </c>
      <c r="F11" s="19" t="n">
        <v>0.058814</v>
      </c>
      <c r="G11" s="19" t="n">
        <v>0.028749</v>
      </c>
      <c r="H11" s="19" t="n">
        <v>0</v>
      </c>
      <c r="I11" s="19" t="n">
        <v>-0.000182</v>
      </c>
    </row>
    <row r="12">
      <c r="A12" s="53" t="n">
        <v>7</v>
      </c>
      <c r="B12" s="35" t="inlineStr">
        <is>
          <t>2026-10-07</t>
        </is>
      </c>
      <c r="C12" s="52" t="inlineStr">
        <is>
          <t>Hold</t>
        </is>
      </c>
      <c r="D12" s="20" t="n">
        <v>148825.15</v>
      </c>
      <c r="E12" s="20" t="n">
        <v>8870.1</v>
      </c>
      <c r="F12" s="19" t="n">
        <v>0.063378</v>
      </c>
      <c r="G12" s="19" t="n">
        <v>0.004311</v>
      </c>
      <c r="H12" s="19" t="n">
        <v>0</v>
      </c>
      <c r="I12" s="19" t="n">
        <v>-0.007779</v>
      </c>
    </row>
    <row r="13">
      <c r="A13" s="54" t="n">
        <v>8</v>
      </c>
      <c r="B13" s="55" t="inlineStr">
        <is>
          <t>2026-10-08</t>
        </is>
      </c>
      <c r="C13" s="56" t="inlineStr">
        <is>
          <t>Hold</t>
        </is>
      </c>
      <c r="D13" s="57" t="n">
        <v>145212.55</v>
      </c>
      <c r="E13" s="57" t="n">
        <v>5257.5</v>
      </c>
      <c r="F13" s="58" t="n">
        <v>0.037566</v>
      </c>
      <c r="G13" s="58" t="n">
        <v>-0.024274</v>
      </c>
      <c r="H13" s="58" t="n">
        <v>-0.024274</v>
      </c>
      <c r="I13" s="58" t="n">
        <v>-0.024076</v>
      </c>
    </row>
    <row r="14">
      <c r="A14" s="59" t="n">
        <v>9</v>
      </c>
      <c r="B14" s="60" t="inlineStr">
        <is>
          <t>2026-10-12</t>
        </is>
      </c>
      <c r="C14" s="61" t="inlineStr">
        <is>
          <t>Hold (upcoming)</t>
        </is>
      </c>
      <c r="D14" s="62" t="n"/>
      <c r="E14" s="62" t="n"/>
      <c r="F14" s="63" t="n"/>
      <c r="G14" s="63" t="n"/>
      <c r="H14" s="63" t="n"/>
      <c r="I14" s="63" t="n"/>
    </row>
    <row r="15">
      <c r="A15" s="59" t="n">
        <v>10</v>
      </c>
      <c r="B15" s="60" t="inlineStr">
        <is>
          <t>2026-10-13</t>
        </is>
      </c>
      <c r="C15" s="61" t="inlineStr">
        <is>
          <t>Hold (upcoming)</t>
        </is>
      </c>
      <c r="D15" s="62" t="n"/>
      <c r="E15" s="62" t="n"/>
      <c r="F15" s="63" t="n"/>
      <c r="G15" s="63" t="n"/>
      <c r="H15" s="63" t="n"/>
      <c r="I15" s="63" t="n"/>
    </row>
    <row r="16">
      <c r="A16" s="59" t="n">
        <v>11</v>
      </c>
      <c r="B16" s="60" t="inlineStr">
        <is>
          <t>2026-10-14</t>
        </is>
      </c>
      <c r="C16" s="61" t="inlineStr">
        <is>
          <t>Hold (upcoming)</t>
        </is>
      </c>
      <c r="D16" s="62" t="n"/>
      <c r="E16" s="62" t="n"/>
      <c r="F16" s="63" t="n"/>
      <c r="G16" s="63" t="n"/>
      <c r="H16" s="63" t="n"/>
      <c r="I16" s="63" t="n"/>
    </row>
    <row r="17">
      <c r="A17" s="59" t="n">
        <v>12</v>
      </c>
      <c r="B17" s="60" t="inlineStr">
        <is>
          <t>2026-10-15</t>
        </is>
      </c>
      <c r="C17" s="61" t="inlineStr">
        <is>
          <t>Hold (upcoming)</t>
        </is>
      </c>
      <c r="D17" s="62" t="n"/>
      <c r="E17" s="62" t="n"/>
      <c r="F17" s="63" t="n"/>
      <c r="G17" s="63" t="n"/>
      <c r="H17" s="63" t="n"/>
      <c r="I17" s="63" t="n"/>
    </row>
    <row r="18">
      <c r="A18" s="59" t="n">
        <v>13</v>
      </c>
      <c r="B18" s="60" t="inlineStr">
        <is>
          <t>2026-10-16</t>
        </is>
      </c>
      <c r="C18" s="61" t="inlineStr">
        <is>
          <t>Hold (upcoming)</t>
        </is>
      </c>
      <c r="D18" s="62" t="n"/>
      <c r="E18" s="62" t="n"/>
      <c r="F18" s="63" t="n"/>
      <c r="G18" s="63" t="n"/>
      <c r="H18" s="63" t="n"/>
      <c r="I18" s="63" t="n"/>
    </row>
    <row r="19">
      <c r="A19" s="59" t="n">
        <v>14</v>
      </c>
      <c r="B19" s="60" t="inlineStr">
        <is>
          <t>2026-10-19</t>
        </is>
      </c>
      <c r="C19" s="61" t="inlineStr">
        <is>
          <t>Hold (upcoming)</t>
        </is>
      </c>
      <c r="D19" s="62" t="n"/>
      <c r="E19" s="62" t="n"/>
      <c r="F19" s="63" t="n"/>
      <c r="G19" s="63" t="n"/>
      <c r="H19" s="63" t="n"/>
      <c r="I19" s="63" t="n"/>
    </row>
    <row r="20">
      <c r="A20" s="59" t="n">
        <v>15</v>
      </c>
      <c r="B20" s="60" t="inlineStr">
        <is>
          <t>2026-10-21</t>
        </is>
      </c>
      <c r="C20" s="61" t="inlineStr">
        <is>
          <t>Hold (upcoming)</t>
        </is>
      </c>
      <c r="D20" s="62" t="n"/>
      <c r="E20" s="62" t="n"/>
      <c r="F20" s="63" t="n"/>
      <c r="G20" s="63" t="n"/>
      <c r="H20" s="63" t="n"/>
      <c r="I20" s="63" t="n"/>
    </row>
    <row r="21">
      <c r="A21" s="59" t="n">
        <v>16</v>
      </c>
      <c r="B21" s="60" t="inlineStr">
        <is>
          <t>2026-10-22</t>
        </is>
      </c>
      <c r="C21" s="61" t="inlineStr">
        <is>
          <t>Hold (upcoming)</t>
        </is>
      </c>
      <c r="D21" s="62" t="n"/>
      <c r="E21" s="62" t="n"/>
      <c r="F21" s="63" t="n"/>
      <c r="G21" s="63" t="n"/>
      <c r="H21" s="63" t="n"/>
      <c r="I21" s="63" t="n"/>
    </row>
    <row r="22">
      <c r="A22" s="59" t="n">
        <v>17</v>
      </c>
      <c r="B22" s="60" t="inlineStr">
        <is>
          <t>2026-10-23</t>
        </is>
      </c>
      <c r="C22" s="61" t="inlineStr">
        <is>
          <t>Hold (upcoming)</t>
        </is>
      </c>
      <c r="D22" s="62" t="n"/>
      <c r="E22" s="62" t="n"/>
      <c r="F22" s="63" t="n"/>
      <c r="G22" s="63" t="n"/>
      <c r="H22" s="63" t="n"/>
      <c r="I22" s="63" t="n"/>
    </row>
    <row r="23">
      <c r="A23" s="59" t="n">
        <v>18</v>
      </c>
      <c r="B23" s="60" t="inlineStr">
        <is>
          <t>2026-10-26</t>
        </is>
      </c>
      <c r="C23" s="61" t="inlineStr">
        <is>
          <t>Hold (upcoming)</t>
        </is>
      </c>
      <c r="D23" s="62" t="n"/>
      <c r="E23" s="62" t="n"/>
      <c r="F23" s="63" t="n"/>
      <c r="G23" s="63" t="n"/>
      <c r="H23" s="63" t="n"/>
      <c r="I23" s="63" t="n"/>
    </row>
    <row r="24">
      <c r="A24" s="59" t="n">
        <v>19</v>
      </c>
      <c r="B24" s="60" t="inlineStr">
        <is>
          <t>2026-10-27</t>
        </is>
      </c>
      <c r="C24" s="61" t="inlineStr">
        <is>
          <t>Hold (upcoming)</t>
        </is>
      </c>
      <c r="D24" s="62" t="n"/>
      <c r="E24" s="62" t="n"/>
      <c r="F24" s="63" t="n"/>
      <c r="G24" s="63" t="n"/>
      <c r="H24" s="63" t="n"/>
      <c r="I24" s="63" t="n"/>
    </row>
    <row r="25">
      <c r="A25" s="59" t="n">
        <v>20</v>
      </c>
      <c r="B25" s="60" t="inlineStr">
        <is>
          <t>2026-10-28</t>
        </is>
      </c>
      <c r="C25" s="61" t="inlineStr">
        <is>
          <t>Exit reminder (upcoming)</t>
        </is>
      </c>
      <c r="D25" s="62" t="n"/>
      <c r="E25" s="62" t="n"/>
      <c r="F25" s="63" t="n"/>
      <c r="G25" s="63" t="n"/>
      <c r="H25" s="63" t="n"/>
      <c r="I25" s="63" t="n"/>
    </row>
    <row r="26">
      <c r="A26" s="59" t="n">
        <v>21</v>
      </c>
      <c r="B26" s="60" t="inlineStr">
        <is>
          <t>2026-10-29</t>
        </is>
      </c>
      <c r="C26" s="61" t="inlineStr">
        <is>
          <t>Exit (upcoming)</t>
        </is>
      </c>
      <c r="D26" s="62" t="n"/>
      <c r="E26" s="62" t="n"/>
      <c r="F26" s="63" t="n"/>
      <c r="G26" s="63" t="n"/>
      <c r="H26" s="63" t="n"/>
      <c r="I26" s="63" t="n"/>
    </row>
  </sheetData>
  <mergeCells count="2">
    <mergeCell ref="A1:I1"/>
    <mergeCell ref="A2:I2"/>
  </mergeCells>
  <conditionalFormatting sqref="E5:I26">
    <cfRule type="cellIs" priority="1" operator="greaterThan" dxfId="4">
      <formula>0</formula>
    </cfRule>
    <cfRule type="cellIs" priority="2" operator="lessThan" dxfId="5">
      <formula>0</formula>
    </cfRule>
  </conditionalFormatting>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tabColor rgb="0094A3B8"/>
    <outlinePr summaryBelow="1" summaryRight="1"/>
    <pageSetUpPr fitToPage="1"/>
  </sheetPr>
  <dimension ref="A1:P35"/>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ht="30" customHeight="1">
      <c r="A1" s="1" t="inlineStr">
        <is>
          <t>Batch Details (from SwingScope HTML)</t>
        </is>
      </c>
      <c r="B1" s="2" t="n"/>
      <c r="C1" s="2" t="n"/>
      <c r="D1" s="2" t="n"/>
      <c r="E1" s="2" t="n"/>
      <c r="F1" s="2" t="n"/>
      <c r="G1" s="2" t="n"/>
      <c r="H1" s="2" t="n"/>
    </row>
    <row r="2" ht="18" customHeight="1">
      <c r="A2" s="3" t="inlineStr">
        <is>
          <t>SwingScope batch 2026-09-28</t>
        </is>
      </c>
      <c r="B2" s="2" t="n"/>
      <c r="C2" s="2" t="n"/>
      <c r="D2" s="2" t="n"/>
      <c r="E2" s="2" t="n"/>
      <c r="F2" s="2" t="n"/>
      <c r="G2" s="2" t="n"/>
      <c r="H2" s="2" t="n"/>
    </row>
    <row r="4">
      <c r="B4" s="22" t="inlineStr">
        <is>
          <t>Batch ID</t>
        </is>
      </c>
      <c r="C4" s="52" t="inlineStr">
        <is>
          <t>2026-09-28</t>
        </is>
      </c>
      <c r="D4" s="64" t="n"/>
      <c r="E4" s="64" t="n"/>
      <c r="F4" s="64" t="n"/>
      <c r="G4" s="64" t="n"/>
      <c r="H4" s="65" t="n"/>
    </row>
    <row r="5">
      <c r="B5" s="22" t="inlineStr">
        <is>
          <t>Signal date (Day 0)</t>
        </is>
      </c>
      <c r="C5" s="52" t="inlineStr">
        <is>
          <t>2026-09-28</t>
        </is>
      </c>
      <c r="D5" s="64" t="n"/>
      <c r="E5" s="64" t="n"/>
      <c r="F5" s="64" t="n"/>
      <c r="G5" s="64" t="n"/>
      <c r="H5" s="65" t="n"/>
    </row>
    <row r="6">
      <c r="B6" s="22" t="inlineStr">
        <is>
          <t>Exit (HTML estimate)</t>
        </is>
      </c>
      <c r="C6" s="52" t="inlineStr">
        <is>
          <t>2026-10-27</t>
        </is>
      </c>
      <c r="D6" s="64" t="n"/>
      <c r="E6" s="64" t="n"/>
      <c r="F6" s="64" t="n"/>
      <c r="G6" s="64" t="n"/>
      <c r="H6" s="65" t="n"/>
    </row>
    <row r="7">
      <c r="B7" s="22" t="inlineStr">
        <is>
          <t>Exit (projected, NSE calendar)</t>
        </is>
      </c>
      <c r="C7" s="52" t="inlineStr">
        <is>
          <t>2026-10-29</t>
        </is>
      </c>
      <c r="D7" s="64" t="n"/>
      <c r="E7" s="64" t="n"/>
      <c r="F7" s="64" t="n"/>
      <c r="G7" s="64" t="n"/>
      <c r="H7" s="65" t="n"/>
    </row>
    <row r="8">
      <c r="B8" s="22" t="inlineStr">
        <is>
          <t>Hold</t>
        </is>
      </c>
      <c r="C8" s="52" t="inlineStr">
        <is>
          <t>21 sessions — no stop, no target</t>
        </is>
      </c>
      <c r="D8" s="64" t="n"/>
      <c r="E8" s="64" t="n"/>
      <c r="F8" s="64" t="n"/>
      <c r="G8" s="64" t="n"/>
      <c r="H8" s="65" t="n"/>
    </row>
    <row r="9">
      <c r="B9" s="22" t="inlineStr">
        <is>
          <t>Universe</t>
        </is>
      </c>
      <c r="C9" s="52" t="inlineStr">
        <is>
          <t>liquidity top 400 of all NSE stocks</t>
        </is>
      </c>
      <c r="D9" s="64" t="n"/>
      <c r="E9" s="64" t="n"/>
      <c r="F9" s="64" t="n"/>
      <c r="G9" s="64" t="n"/>
      <c r="H9" s="65" t="n"/>
    </row>
    <row r="10">
      <c r="B10" s="22" t="inlineStr">
        <is>
          <t>Capital committed (at signal close)</t>
        </is>
      </c>
      <c r="C10" s="66" t="n">
        <v>139903</v>
      </c>
      <c r="D10" s="64" t="n"/>
      <c r="E10" s="64" t="n"/>
      <c r="F10" s="64" t="n"/>
      <c r="G10" s="64" t="n"/>
      <c r="H10" s="65" t="n"/>
    </row>
    <row r="11">
      <c r="B11" s="22" t="inlineStr">
        <is>
          <t>Estimated costs</t>
        </is>
      </c>
      <c r="C11" s="66" t="n">
        <v>859</v>
      </c>
      <c r="D11" s="64" t="n"/>
      <c r="E11" s="64" t="n"/>
      <c r="F11" s="64" t="n"/>
      <c r="G11" s="64" t="n"/>
      <c r="H11" s="65" t="n"/>
    </row>
    <row r="12">
      <c r="B12" s="22" t="inlineStr">
        <is>
          <t>Cost %</t>
        </is>
      </c>
      <c r="C12" s="52" t="inlineStr">
        <is>
          <t>0.6%</t>
        </is>
      </c>
      <c r="D12" s="64" t="n"/>
      <c r="E12" s="64" t="n"/>
      <c r="F12" s="64" t="n"/>
      <c r="G12" s="64" t="n"/>
      <c r="H12" s="65" t="n"/>
    </row>
    <row r="13">
      <c r="B13" s="22" t="inlineStr">
        <is>
          <t>Market regime</t>
        </is>
      </c>
      <c r="C13" s="52" t="inlineStr">
        <is>
          <t>Down — the signal's weakest regime historically</t>
        </is>
      </c>
      <c r="D13" s="64" t="n"/>
      <c r="E13" s="64" t="n"/>
      <c r="F13" s="64" t="n"/>
      <c r="G13" s="64" t="n"/>
      <c r="H13" s="65" t="n"/>
    </row>
    <row r="14">
      <c r="B14" s="22" t="inlineStr">
        <is>
          <t>Stocks with a warning</t>
        </is>
      </c>
      <c r="C14" s="52" t="inlineStr">
        <is>
          <t>0 of 10</t>
        </is>
      </c>
      <c r="D14" s="64" t="n"/>
      <c r="E14" s="64" t="n"/>
      <c r="F14" s="64" t="n"/>
      <c r="G14" s="64" t="n"/>
      <c r="H14" s="65" t="n"/>
    </row>
    <row r="17">
      <c r="B17" s="15" t="inlineStr">
        <is>
          <t>#</t>
        </is>
      </c>
      <c r="C17" s="15" t="inlineStr">
        <is>
          <t>Symbol</t>
        </is>
      </c>
      <c r="D17" s="15" t="inlineStr">
        <is>
          <t>ISIN</t>
        </is>
      </c>
      <c r="E17" s="15" t="inlineStr">
        <is>
          <t>Qty</t>
        </is>
      </c>
      <c r="F17" s="15" t="inlineStr">
        <is>
          <t>Signal close</t>
        </is>
      </c>
      <c r="G17" s="15" t="inlineStr">
        <is>
          <t>Amount</t>
        </is>
      </c>
      <c r="H17" s="15" t="inlineStr">
        <is>
          <t>12-1 %</t>
        </is>
      </c>
      <c r="I17" s="15" t="inlineStr">
        <is>
          <t>6-1 %</t>
        </is>
      </c>
      <c r="J17" s="15" t="inlineStr">
        <is>
          <t>3-1 %</t>
        </is>
      </c>
      <c r="K17" s="15" t="inlineStr">
        <is>
          <t>Vol %</t>
        </is>
      </c>
      <c r="L17" s="15" t="inlineStr">
        <is>
          <t>Traded daily (cr)</t>
        </is>
      </c>
      <c r="M17" s="15" t="inlineStr">
        <is>
          <t>From 12m high %</t>
        </is>
      </c>
      <c r="N17" s="15" t="inlineStr">
        <is>
          <t>Signal rank</t>
        </is>
      </c>
      <c r="O17" s="15" t="inlineStr">
        <is>
          <t>Data quality</t>
        </is>
      </c>
      <c r="P17" s="15" t="inlineStr">
        <is>
          <t>Watch</t>
        </is>
      </c>
    </row>
    <row r="18">
      <c r="B18" s="51" t="n">
        <v>1</v>
      </c>
      <c r="C18" s="52" t="inlineStr">
        <is>
          <t>TDPOWERSYS</t>
        </is>
      </c>
      <c r="D18" s="52" t="inlineStr">
        <is>
          <t>INE419M01035</t>
        </is>
      </c>
      <c r="E18" s="51" t="n">
        <v>20</v>
      </c>
      <c r="F18" s="18" t="n">
        <v>722</v>
      </c>
      <c r="G18" s="18" t="n">
        <v>14440</v>
      </c>
      <c r="H18" s="51" t="n">
        <v>177</v>
      </c>
      <c r="I18" s="51" t="n">
        <v>72.2</v>
      </c>
      <c r="J18" s="51" t="n">
        <v>19.6</v>
      </c>
      <c r="K18" s="51" t="n">
        <v>60.1</v>
      </c>
      <c r="L18" s="51" t="n">
        <v>128</v>
      </c>
      <c r="M18" s="51" t="n">
        <v>-10.3</v>
      </c>
      <c r="N18" s="51" t="n">
        <v>6</v>
      </c>
      <c r="O18" s="52" t="inlineStr">
        <is>
          <t>Green</t>
        </is>
      </c>
      <c r="P18" s="52" t="inlineStr">
        <is>
          <t>Nothing flagged</t>
        </is>
      </c>
    </row>
    <row r="19">
      <c r="B19" s="51" t="n">
        <v>2</v>
      </c>
      <c r="C19" s="52" t="inlineStr">
        <is>
          <t>AEROFLEX</t>
        </is>
      </c>
      <c r="D19" s="52" t="inlineStr">
        <is>
          <t>INE024001021</t>
        </is>
      </c>
      <c r="E19" s="51" t="n">
        <v>29</v>
      </c>
      <c r="F19" s="18" t="n">
        <v>513.4</v>
      </c>
      <c r="G19" s="18" t="n">
        <v>14889</v>
      </c>
      <c r="H19" s="51" t="n">
        <v>175</v>
      </c>
      <c r="I19" s="51" t="n">
        <v>107</v>
      </c>
      <c r="J19" s="51" t="n">
        <v>10.7</v>
      </c>
      <c r="K19" s="51" t="n">
        <v>67.3</v>
      </c>
      <c r="L19" s="51" t="n">
        <v>53</v>
      </c>
      <c r="M19" s="51" t="n">
        <v>-10.5</v>
      </c>
      <c r="N19" s="51" t="n">
        <v>7</v>
      </c>
      <c r="O19" s="52" t="inlineStr">
        <is>
          <t>Green</t>
        </is>
      </c>
      <c r="P19" s="52" t="inlineStr">
        <is>
          <t>Nothing flagged</t>
        </is>
      </c>
    </row>
    <row r="20">
      <c r="B20" s="51" t="n">
        <v>3</v>
      </c>
      <c r="C20" s="52" t="inlineStr">
        <is>
          <t>ATHERENERG</t>
        </is>
      </c>
      <c r="D20" s="52" t="inlineStr">
        <is>
          <t>INE0LEZ01016</t>
        </is>
      </c>
      <c r="E20" s="51" t="n">
        <v>10</v>
      </c>
      <c r="F20" s="18" t="n">
        <v>1454.9</v>
      </c>
      <c r="G20" s="18" t="n">
        <v>14549</v>
      </c>
      <c r="H20" s="51" t="n">
        <v>166</v>
      </c>
      <c r="I20" s="51" t="n">
        <v>97.5</v>
      </c>
      <c r="J20" s="51" t="n">
        <v>31.1</v>
      </c>
      <c r="K20" s="51" t="n">
        <v>49.4</v>
      </c>
      <c r="L20" s="51" t="n">
        <v>493</v>
      </c>
      <c r="M20" s="51" t="n">
        <v>-15.7</v>
      </c>
      <c r="N20" s="51" t="n">
        <v>9</v>
      </c>
      <c r="O20" s="52" t="inlineStr">
        <is>
          <t>Green</t>
        </is>
      </c>
      <c r="P20" s="52" t="inlineStr">
        <is>
          <t>Nothing flagged</t>
        </is>
      </c>
    </row>
    <row r="21">
      <c r="B21" s="51" t="n">
        <v>4</v>
      </c>
      <c r="C21" s="52" t="inlineStr">
        <is>
          <t>THANGAMAYL</t>
        </is>
      </c>
      <c r="D21" s="52" t="inlineStr">
        <is>
          <t>INE085J01014</t>
        </is>
      </c>
      <c r="E21" s="51" t="n">
        <v>2</v>
      </c>
      <c r="F21" s="18" t="n">
        <v>5011.5</v>
      </c>
      <c r="G21" s="18" t="n">
        <v>10023</v>
      </c>
      <c r="H21" s="51" t="n">
        <v>154</v>
      </c>
      <c r="I21" s="51" t="n">
        <v>66.3</v>
      </c>
      <c r="J21" s="51" t="n">
        <v>-14</v>
      </c>
      <c r="K21" s="51" t="n">
        <v>59.8</v>
      </c>
      <c r="L21" s="51" t="n">
        <v>71</v>
      </c>
      <c r="M21" s="51" t="n">
        <v>-31.4</v>
      </c>
      <c r="N21" s="51" t="n">
        <v>11</v>
      </c>
      <c r="O21" s="52" t="inlineStr">
        <is>
          <t>Green</t>
        </is>
      </c>
      <c r="P21" s="52" t="inlineStr">
        <is>
          <t>Nothing flagged</t>
        </is>
      </c>
    </row>
    <row r="22">
      <c r="B22" s="51" t="n">
        <v>5</v>
      </c>
      <c r="C22" s="52" t="inlineStr">
        <is>
          <t>RRKABEL</t>
        </is>
      </c>
      <c r="D22" s="52" t="inlineStr">
        <is>
          <t>INE777K01022</t>
        </is>
      </c>
      <c r="E22" s="51" t="n">
        <v>6</v>
      </c>
      <c r="F22" s="18" t="n">
        <v>2459.8</v>
      </c>
      <c r="G22" s="18" t="n">
        <v>14759</v>
      </c>
      <c r="H22" s="51" t="n">
        <v>126</v>
      </c>
      <c r="I22" s="51" t="n">
        <v>110</v>
      </c>
      <c r="J22" s="51" t="n">
        <v>18.2</v>
      </c>
      <c r="K22" s="51" t="n">
        <v>44</v>
      </c>
      <c r="L22" s="51" t="n">
        <v>93</v>
      </c>
      <c r="M22" s="51" t="n">
        <v>-16</v>
      </c>
      <c r="N22" s="51" t="n">
        <v>15</v>
      </c>
      <c r="O22" s="52" t="inlineStr">
        <is>
          <t>Green</t>
        </is>
      </c>
      <c r="P22" s="52" t="inlineStr">
        <is>
          <t>Nothing flagged</t>
        </is>
      </c>
    </row>
    <row r="23">
      <c r="B23" s="51" t="n">
        <v>6</v>
      </c>
      <c r="C23" s="52" t="inlineStr">
        <is>
          <t>ACUTAAS</t>
        </is>
      </c>
      <c r="D23" s="52" t="inlineStr">
        <is>
          <t>INE00FF01025</t>
        </is>
      </c>
      <c r="E23" s="51" t="n">
        <v>4</v>
      </c>
      <c r="F23" s="18" t="n">
        <v>3214.4</v>
      </c>
      <c r="G23" s="18" t="n">
        <v>12858</v>
      </c>
      <c r="H23" s="51" t="n">
        <v>126</v>
      </c>
      <c r="I23" s="51" t="n">
        <v>36.7</v>
      </c>
      <c r="J23" s="51" t="n">
        <v>-5.6</v>
      </c>
      <c r="K23" s="51" t="n">
        <v>46.7</v>
      </c>
      <c r="L23" s="51" t="n">
        <v>101</v>
      </c>
      <c r="M23" s="51" t="n">
        <v>-13</v>
      </c>
      <c r="N23" s="51" t="n">
        <v>16</v>
      </c>
      <c r="O23" s="52" t="inlineStr">
        <is>
          <t>Green</t>
        </is>
      </c>
      <c r="P23" s="52" t="inlineStr">
        <is>
          <t>Nothing flagged</t>
        </is>
      </c>
    </row>
    <row r="24">
      <c r="B24" s="51" t="n">
        <v>7</v>
      </c>
      <c r="C24" s="52" t="inlineStr">
        <is>
          <t>DIACABS</t>
        </is>
      </c>
      <c r="D24" s="52" t="inlineStr">
        <is>
          <t>INE989C01038</t>
        </is>
      </c>
      <c r="E24" s="51" t="n">
        <v>44</v>
      </c>
      <c r="F24" s="18" t="n">
        <v>339.25</v>
      </c>
      <c r="G24" s="18" t="n">
        <v>14927</v>
      </c>
      <c r="H24" s="51" t="n">
        <v>124</v>
      </c>
      <c r="I24" s="51" t="n">
        <v>180</v>
      </c>
      <c r="J24" s="51" t="n">
        <v>61.7</v>
      </c>
      <c r="K24" s="51" t="n">
        <v>53.6</v>
      </c>
      <c r="L24" s="51" t="n">
        <v>51</v>
      </c>
      <c r="M24" s="51" t="n">
        <v>-14.1</v>
      </c>
      <c r="N24" s="51" t="n">
        <v>17</v>
      </c>
      <c r="O24" s="52" t="inlineStr">
        <is>
          <t>Green</t>
        </is>
      </c>
      <c r="P24" s="52" t="inlineStr">
        <is>
          <t>Nothing flagged</t>
        </is>
      </c>
    </row>
    <row r="25">
      <c r="B25" s="51" t="n">
        <v>8</v>
      </c>
      <c r="C25" s="52" t="inlineStr">
        <is>
          <t>KIRLOSENG</t>
        </is>
      </c>
      <c r="D25" s="52" t="inlineStr">
        <is>
          <t>INE146L01010</t>
        </is>
      </c>
      <c r="E25" s="51" t="n">
        <v>7</v>
      </c>
      <c r="F25" s="18" t="n">
        <v>2141.2</v>
      </c>
      <c r="G25" s="18" t="n">
        <v>14988</v>
      </c>
      <c r="H25" s="51" t="n">
        <v>123</v>
      </c>
      <c r="I25" s="51" t="n">
        <v>58.2</v>
      </c>
      <c r="J25" s="51" t="n">
        <v>-11.2</v>
      </c>
      <c r="K25" s="51" t="n">
        <v>49.9</v>
      </c>
      <c r="L25" s="51" t="n">
        <v>87</v>
      </c>
      <c r="M25" s="51" t="n">
        <v>-16.5</v>
      </c>
      <c r="N25" s="51" t="n">
        <v>18</v>
      </c>
      <c r="O25" s="52" t="inlineStr">
        <is>
          <t>Green</t>
        </is>
      </c>
      <c r="P25" s="52" t="inlineStr">
        <is>
          <t>Nothing flagged</t>
        </is>
      </c>
    </row>
    <row r="26">
      <c r="B26" s="51" t="n">
        <v>9</v>
      </c>
      <c r="C26" s="52" t="inlineStr">
        <is>
          <t>E2E</t>
        </is>
      </c>
      <c r="D26" s="52" t="inlineStr">
        <is>
          <t>INE255Z01027</t>
        </is>
      </c>
      <c r="E26" s="51" t="n">
        <v>23</v>
      </c>
      <c r="F26" s="18" t="n">
        <v>625.9</v>
      </c>
      <c r="G26" s="18" t="n">
        <v>14396</v>
      </c>
      <c r="H26" s="51" t="n">
        <v>109</v>
      </c>
      <c r="I26" s="51" t="n">
        <v>186</v>
      </c>
      <c r="J26" s="51" t="n">
        <v>56</v>
      </c>
      <c r="K26" s="51" t="n">
        <v>56.2</v>
      </c>
      <c r="L26" s="51" t="n">
        <v>49</v>
      </c>
      <c r="M26" s="51" t="n">
        <v>-8.800000000000001</v>
      </c>
      <c r="N26" s="51" t="n">
        <v>20</v>
      </c>
      <c r="O26" s="52" t="inlineStr">
        <is>
          <t>Green</t>
        </is>
      </c>
      <c r="P26" s="52" t="inlineStr">
        <is>
          <t>Nothing flagged</t>
        </is>
      </c>
    </row>
    <row r="27">
      <c r="B27" s="51" t="n">
        <v>10</v>
      </c>
      <c r="C27" s="52" t="inlineStr">
        <is>
          <t>LAURUSLABS</t>
        </is>
      </c>
      <c r="D27" s="52" t="inlineStr">
        <is>
          <t>INE947Q01028</t>
        </is>
      </c>
      <c r="E27" s="51" t="n">
        <v>7</v>
      </c>
      <c r="F27" s="18" t="n">
        <v>2010.7</v>
      </c>
      <c r="G27" s="18" t="n">
        <v>14075</v>
      </c>
      <c r="H27" s="51" t="n">
        <v>109</v>
      </c>
      <c r="I27" s="51" t="n">
        <v>94.40000000000001</v>
      </c>
      <c r="J27" s="51" t="n">
        <v>27.2</v>
      </c>
      <c r="K27" s="51" t="n">
        <v>28.1</v>
      </c>
      <c r="L27" s="51" t="n">
        <v>300</v>
      </c>
      <c r="M27" s="51" t="n">
        <v>-1.1</v>
      </c>
      <c r="N27" s="51" t="n">
        <v>21</v>
      </c>
      <c r="O27" s="52" t="inlineStr">
        <is>
          <t>Green</t>
        </is>
      </c>
      <c r="P27" s="52" t="inlineStr">
        <is>
          <t>Nothing flagged</t>
        </is>
      </c>
    </row>
    <row r="30">
      <c r="B30" s="14" t="inlineStr">
        <is>
          <t>Evidence behind the rule (backtest, from HTML)</t>
        </is>
      </c>
    </row>
    <row r="31" ht="60" customHeight="1">
      <c r="B31" s="67" t="inlineStr">
        <is>
          <t>Backtest, 2017–2026 | Replayed point in time on your survivorship-free archive. Not live results. | Signal strength | IC +0.041 | rank IC over 113 monthly dates, 2017-2026 (t 2.52); validated benchmark 0.026 | Top vs bottom decile | +1.89% | per 21-session hold, before costs (t 2.94) | Top-10 picks | +1.45% | per hold after 0.60% costs; Nifty 50 earned +1.02% before costs | Entry timing | Open wins | buying at the open beat all 30 support-entry rules (best -0.12% per hold) | Down markets | IC +0.009 | over 27 down-regime dates, against +0.050 over 86 up-regime dates</t>
        </is>
      </c>
    </row>
    <row r="32" ht="60" customHeight="1">
      <c r="B32" s="67" t="inlineStr">
        <is>
          <t>Live record | No results yet | The first live result arrives when this system finishes its first batch. Live results are kept apart from the backtest and never mixed in.</t>
        </is>
      </c>
    </row>
    <row r="34">
      <c r="B34" s="14" t="inlineStr">
        <is>
          <t>Corporate actions (splits, bonuses, dividends)</t>
        </is>
      </c>
    </row>
    <row r="35">
      <c r="B35" s="28" t="inlineStr">
        <is>
          <t>None recorded during this hold.</t>
        </is>
      </c>
    </row>
  </sheetData>
  <mergeCells count="15">
    <mergeCell ref="C11:H11"/>
    <mergeCell ref="C6:H6"/>
    <mergeCell ref="C10:H10"/>
    <mergeCell ref="C14:H14"/>
    <mergeCell ref="C5:H5"/>
    <mergeCell ref="A2:H2"/>
    <mergeCell ref="C9:H9"/>
    <mergeCell ref="C13:H13"/>
    <mergeCell ref="B31:P31"/>
    <mergeCell ref="C8:H8"/>
    <mergeCell ref="C4:H4"/>
    <mergeCell ref="B32:P32"/>
    <mergeCell ref="A1:H1"/>
    <mergeCell ref="C12:H12"/>
    <mergeCell ref="C7:H7"/>
  </mergeCells>
  <pageMargins left="0.75" right="0.75" top="1" bottom="1" header="0.5" footer="0.5"/>
  <pageSetup orientation="landscape" fitToWidth="1"/>
</worksheet>
</file>

<file path=xl/worksheets/sheet7.xml><?xml version="1.0" encoding="utf-8"?>
<worksheet xmlns="http://schemas.openxmlformats.org/spreadsheetml/2006/main">
  <sheetPr>
    <tabColor rgb="008B5CF6"/>
    <outlinePr summaryBelow="1" summaryRight="1"/>
    <pageSetUpPr fitToPage="1"/>
  </sheetPr>
  <dimension ref="A1:I61"/>
  <sheetViews>
    <sheetView showGridLines="0" workbookViewId="0">
      <pane ySplit="4" topLeftCell="A5" activePane="bottomLeft" state="frozen"/>
      <selection pane="bottomLeft" activeCell="A1" sqref="A1"/>
    </sheetView>
  </sheetViews>
  <sheetFormatPr baseColWidth="8" defaultRowHeight="15"/>
  <cols>
    <col width="6" customWidth="1" min="1" max="1"/>
    <col width="13" customWidth="1" min="2" max="2"/>
    <col width="22" customWidth="1" min="3" max="3"/>
    <col width="20" customWidth="1" min="4" max="4"/>
    <col width="12" customWidth="1" min="5" max="5"/>
    <col width="58" customWidth="1" min="6" max="6"/>
    <col width="15" customWidth="1" min="7" max="7"/>
    <col width="16" customWidth="1" min="8" max="8"/>
  </cols>
  <sheetData>
    <row r="1" ht="30" customHeight="1">
      <c r="A1" s="1" t="inlineStr">
        <is>
          <t>Stock-by-Stock Research &amp; Swing-Trade Shortlist</t>
        </is>
      </c>
      <c r="B1" s="2" t="n"/>
      <c r="C1" s="2" t="n"/>
      <c r="D1" s="2" t="n"/>
      <c r="E1" s="2" t="n"/>
      <c r="F1" s="2" t="n"/>
      <c r="G1" s="2" t="n"/>
      <c r="H1" s="2" t="n"/>
      <c r="I1" s="2" t="n"/>
    </row>
    <row r="2" ht="18" customHeight="1">
      <c r="A2" s="3" t="inlineStr">
        <is>
          <t>Views from your research notes · written 2026-09-28 13:27</t>
        </is>
      </c>
      <c r="B2" s="2" t="n"/>
      <c r="C2" s="2" t="n"/>
      <c r="D2" s="2" t="n"/>
      <c r="E2" s="2" t="n"/>
      <c r="F2" s="2" t="n"/>
      <c r="G2" s="2" t="n"/>
      <c r="H2" s="2" t="n"/>
      <c r="I2" s="2" t="n"/>
    </row>
    <row r="4">
      <c r="A4" s="15" t="inlineStr">
        <is>
          <t>Rank</t>
        </is>
      </c>
      <c r="B4" s="15" t="inlineStr">
        <is>
          <t>Symbol</t>
        </is>
      </c>
      <c r="C4" s="15" t="inlineStr">
        <is>
          <t>Company</t>
        </is>
      </c>
      <c r="D4" s="15" t="inlineStr">
        <is>
          <t>View</t>
        </is>
      </c>
      <c r="E4" s="15" t="inlineStr">
        <is>
          <t>Conviction</t>
        </is>
      </c>
      <c r="F4" s="15" t="inlineStr">
        <is>
          <t>Why</t>
        </is>
      </c>
      <c r="G4" s="15" t="inlineStr">
        <is>
          <t>Since entry %</t>
        </is>
      </c>
      <c r="H4" s="15" t="inlineStr">
        <is>
          <t>Call check</t>
        </is>
      </c>
    </row>
    <row r="5" ht="30" customHeight="1">
      <c r="A5" s="51" t="n">
        <v>1</v>
      </c>
      <c r="B5" s="16" t="inlineStr">
        <is>
          <t>LAURUSLABS</t>
        </is>
      </c>
      <c r="C5" s="52" t="inlineStr">
        <is>
          <t>Laurus Labs</t>
        </is>
      </c>
      <c r="D5" s="68" t="inlineStr">
        <is>
          <t>Bullish</t>
        </is>
      </c>
      <c r="E5" s="69" t="n">
        <v>2</v>
      </c>
      <c r="F5" s="70" t="inlineStr">
        <is>
          <t>Relative strength near highs, lowest volatility, defensive sector</t>
        </is>
      </c>
      <c r="G5" s="19" t="n">
        <v>-0.01128321868659377</v>
      </c>
      <c r="H5" s="52" t="inlineStr">
        <is>
          <t>✗ Off track</t>
        </is>
      </c>
    </row>
    <row r="6" ht="30" customHeight="1">
      <c r="A6" s="51" t="n">
        <v>2</v>
      </c>
      <c r="B6" s="16" t="inlineStr">
        <is>
          <t>TDPOWERSYS</t>
        </is>
      </c>
      <c r="C6" s="52" t="inlineStr">
        <is>
          <t>TD Power Systems</t>
        </is>
      </c>
      <c r="D6" s="71" t="inlineStr">
        <is>
          <t>Bullish</t>
        </is>
      </c>
      <c r="E6" s="69" t="n">
        <v>1.5</v>
      </c>
      <c r="F6" s="70" t="inlineStr">
        <is>
          <t>Guidance raised, shallow pullback. Check for a fundraise.</t>
        </is>
      </c>
      <c r="G6" s="19" t="n">
        <v>0.1036161335187762</v>
      </c>
      <c r="H6" s="52" t="inlineStr">
        <is>
          <t>✓ On track</t>
        </is>
      </c>
    </row>
    <row r="7" ht="30" customHeight="1">
      <c r="A7" s="51" t="n">
        <v>3</v>
      </c>
      <c r="B7" s="16" t="inlineStr">
        <is>
          <t>ATHERENERG</t>
        </is>
      </c>
      <c r="C7" s="52" t="inlineStr">
        <is>
          <t>Ather Energy</t>
        </is>
      </c>
      <c r="D7" s="71" t="inlineStr">
        <is>
          <t>Bullish</t>
        </is>
      </c>
      <c r="E7" s="69" t="n">
        <v>1.25</v>
      </c>
      <c r="F7" s="70" t="inlineStr">
        <is>
          <t>Strong catalysts and brokers, but still pulling back</t>
        </is>
      </c>
      <c r="G7" s="19" t="n">
        <v>-0.03711820298589241</v>
      </c>
      <c r="H7" s="52" t="inlineStr">
        <is>
          <t>✗ Off track</t>
        </is>
      </c>
    </row>
    <row r="8" ht="30" customHeight="1">
      <c r="A8" s="51" t="n">
        <v>4</v>
      </c>
      <c r="B8" s="16" t="inlineStr">
        <is>
          <t>RRKABEL</t>
        </is>
      </c>
      <c r="C8" s="52" t="inlineStr">
        <is>
          <t>RR Kabel</t>
        </is>
      </c>
      <c r="D8" s="72" t="inlineStr">
        <is>
          <t>Moderately bullish</t>
        </is>
      </c>
      <c r="E8" s="69" t="n">
        <v>1</v>
      </c>
      <c r="F8" s="70" t="inlineStr">
        <is>
          <t>Strong Q1, moderate volatility</t>
        </is>
      </c>
      <c r="G8" s="19" t="n">
        <v>0.09618668184405221</v>
      </c>
      <c r="H8" s="52" t="inlineStr">
        <is>
          <t>✓ On track</t>
        </is>
      </c>
    </row>
    <row r="9" ht="30" customHeight="1">
      <c r="A9" s="51" t="n">
        <v>5</v>
      </c>
      <c r="B9" s="16" t="inlineStr">
        <is>
          <t>AEROFLEX</t>
        </is>
      </c>
      <c r="C9" s="52" t="inlineStr">
        <is>
          <t>Aeroflex Industries</t>
        </is>
      </c>
      <c r="D9" s="71" t="inlineStr">
        <is>
          <t>Bullish, risky</t>
        </is>
      </c>
      <c r="E9" s="69" t="n">
        <v>1.25</v>
      </c>
      <c r="F9" s="70" t="inlineStr">
        <is>
          <t>Strong growth, expensive, volatile, thin liquidity</t>
        </is>
      </c>
      <c r="G9" s="19" t="n">
        <v>0.0346176413064736</v>
      </c>
      <c r="H9" s="52" t="inlineStr">
        <is>
          <t>✓ On track</t>
        </is>
      </c>
    </row>
    <row r="10" ht="30" customHeight="1">
      <c r="A10" s="51" t="n">
        <v>6</v>
      </c>
      <c r="B10" s="16" t="inlineStr">
        <is>
          <t>E2E</t>
        </is>
      </c>
      <c r="C10" s="52" t="inlineStr">
        <is>
          <t>E2E Networks</t>
        </is>
      </c>
      <c r="D10" s="73" t="inlineStr">
        <is>
          <t>Speculative</t>
        </is>
      </c>
      <c r="E10" s="69" t="n">
        <v>0.5</v>
      </c>
      <c r="F10" s="70" t="inlineStr">
        <is>
          <t>Big revenue jump, P/E near 400</t>
        </is>
      </c>
      <c r="G10" s="19" t="n">
        <v>0.1526914696150432</v>
      </c>
      <c r="H10" s="52" t="inlineStr">
        <is>
          <t>↑ Beat call</t>
        </is>
      </c>
    </row>
    <row r="11" ht="30" customHeight="1">
      <c r="A11" s="51" t="n">
        <v>7</v>
      </c>
      <c r="B11" s="16" t="inlineStr">
        <is>
          <t>ACUTAAS</t>
        </is>
      </c>
      <c r="C11" s="52" t="inlineStr">
        <is>
          <t>Acutaas Chemicals</t>
        </is>
      </c>
      <c r="D11" s="74" t="inlineStr">
        <is>
          <t>Neutral</t>
        </is>
      </c>
      <c r="E11" s="69" t="n">
        <v>0</v>
      </c>
      <c r="F11" s="70" t="inlineStr">
        <is>
          <t>No catalyst, sideways trend</t>
        </is>
      </c>
      <c r="G11" s="19" t="n">
        <v>-0.07091185410334355</v>
      </c>
      <c r="H11" s="52" t="inlineStr">
        <is>
          <t>↓ Lagging</t>
        </is>
      </c>
    </row>
    <row r="12" ht="30" customHeight="1">
      <c r="A12" s="51" t="n">
        <v>8</v>
      </c>
      <c r="B12" s="16" t="inlineStr">
        <is>
          <t>DIACABS</t>
        </is>
      </c>
      <c r="C12" s="52" t="inlineStr">
        <is>
          <t>Diamond Power Infra</t>
        </is>
      </c>
      <c r="D12" s="75" t="inlineStr">
        <is>
          <t>Neutral to bearish</t>
        </is>
      </c>
      <c r="E12" s="69" t="n">
        <v>-1</v>
      </c>
      <c r="F12" s="70" t="inlineStr">
        <is>
          <t>Extended, weak balance sheet</t>
        </is>
      </c>
      <c r="G12" s="19" t="n">
        <v>0.1038883941822499</v>
      </c>
      <c r="H12" s="52" t="inlineStr">
        <is>
          <t>✗ Off track</t>
        </is>
      </c>
    </row>
    <row r="13" ht="30" customHeight="1">
      <c r="A13" s="51" t="n">
        <v>9</v>
      </c>
      <c r="B13" s="16" t="inlineStr">
        <is>
          <t>KIRLOSENG</t>
        </is>
      </c>
      <c r="C13" s="52" t="inlineStr">
        <is>
          <t>Kirloskar Oil Engines</t>
        </is>
      </c>
      <c r="D13" s="75" t="inlineStr">
        <is>
          <t>Neutral to bearish</t>
        </is>
      </c>
      <c r="E13" s="69" t="n">
        <v>-1</v>
      </c>
      <c r="F13" s="70" t="inlineStr">
        <is>
          <t>Margins and momentum fading</t>
        </is>
      </c>
      <c r="G13" s="19" t="n">
        <v>0.0101812067999254</v>
      </c>
      <c r="H13" s="52" t="inlineStr">
        <is>
          <t>✗ Off track</t>
        </is>
      </c>
    </row>
    <row r="14" ht="30" customHeight="1">
      <c r="A14" s="51" t="n">
        <v>10</v>
      </c>
      <c r="B14" s="16" t="inlineStr">
        <is>
          <t>THANGAMAYL</t>
        </is>
      </c>
      <c r="C14" s="52" t="inlineStr">
        <is>
          <t>Thangamayil Jewellery</t>
        </is>
      </c>
      <c r="D14" s="76" t="inlineStr">
        <is>
          <t>Bearish</t>
        </is>
      </c>
      <c r="E14" s="69" t="n">
        <v>-2</v>
      </c>
      <c r="F14" s="70" t="inlineStr">
        <is>
          <t>Downtrend, avoid</t>
        </is>
      </c>
      <c r="G14" s="19" t="n">
        <v>-0.03982035928143712</v>
      </c>
      <c r="H14" s="52" t="inlineStr">
        <is>
          <t>✓ On track</t>
        </is>
      </c>
    </row>
    <row r="16">
      <c r="A16" s="77" t="inlineStr">
        <is>
          <t>STOCK BY STOCK — catalysts, risks and sources</t>
        </is>
      </c>
    </row>
    <row r="17">
      <c r="A17" s="15" t="inlineStr">
        <is>
          <t>Rank</t>
        </is>
      </c>
      <c r="B17" s="15" t="inlineStr">
        <is>
          <t>Symbol</t>
        </is>
      </c>
      <c r="C17" s="15" t="inlineStr">
        <is>
          <t>Company</t>
        </is>
      </c>
      <c r="D17" s="15" t="inlineStr">
        <is>
          <t>Type</t>
        </is>
      </c>
      <c r="E17" s="15" t="inlineStr">
        <is>
          <t>Point</t>
        </is>
      </c>
      <c r="F17" s="15" t="inlineStr"/>
      <c r="G17" s="15" t="inlineStr">
        <is>
          <t>Source</t>
        </is>
      </c>
      <c r="H17" s="15" t="inlineStr">
        <is>
          <t>Link</t>
        </is>
      </c>
    </row>
    <row r="18" ht="44" customHeight="1">
      <c r="A18" s="51" t="n">
        <v>1</v>
      </c>
      <c r="B18" s="52" t="inlineStr">
        <is>
          <t>LAURUSLABS</t>
        </is>
      </c>
      <c r="C18" s="52" t="inlineStr">
        <is>
          <t>Laurus Labs</t>
        </is>
      </c>
      <c r="D18" s="78" t="inlineStr">
        <is>
          <t>Catalyst</t>
        </is>
      </c>
      <c r="E18" s="70" t="inlineStr">
        <is>
          <t>Its close is only 1.1% below its 12-month high, and its volatility is the lowest of the ten (28%).</t>
        </is>
      </c>
      <c r="F18" s="65" t="n"/>
      <c r="G18" s="52" t="inlineStr"/>
      <c r="H18" s="52" t="n"/>
    </row>
    <row r="19" ht="30" customHeight="1">
      <c r="A19" s="51" t="n">
        <v>1</v>
      </c>
      <c r="B19" s="52" t="inlineStr">
        <is>
          <t>LAURUSLABS</t>
        </is>
      </c>
      <c r="C19" s="52" t="inlineStr">
        <is>
          <t>Laurus Labs</t>
        </is>
      </c>
      <c r="D19" s="78" t="inlineStr">
        <is>
          <t>Catalyst</t>
        </is>
      </c>
      <c r="E19" s="70" t="inlineStr">
        <is>
          <t>FY26 profit after tax was ₹740 crore vs ₹380 crore the year before.</t>
        </is>
      </c>
      <c r="F19" s="65" t="n"/>
      <c r="G19" s="52" t="inlineStr">
        <is>
          <t>torusdigital</t>
        </is>
      </c>
      <c r="H19" s="79" t="inlineStr">
        <is>
          <t>open ↗</t>
        </is>
      </c>
    </row>
    <row r="20" ht="30" customHeight="1">
      <c r="A20" s="51" t="n">
        <v>1</v>
      </c>
      <c r="B20" s="52" t="inlineStr">
        <is>
          <t>LAURUSLABS</t>
        </is>
      </c>
      <c r="C20" s="52" t="inlineStr">
        <is>
          <t>Laurus Labs</t>
        </is>
      </c>
      <c r="D20" s="78" t="inlineStr">
        <is>
          <t>Catalyst</t>
        </is>
      </c>
      <c r="E20" s="70" t="inlineStr">
        <is>
          <t>It is up about 94% in six months and holding near highs while the index falls.</t>
        </is>
      </c>
      <c r="F20" s="65" t="n"/>
      <c r="G20" s="52" t="inlineStr">
        <is>
          <t>anandrathi</t>
        </is>
      </c>
      <c r="H20" s="79" t="inlineStr">
        <is>
          <t>open ↗</t>
        </is>
      </c>
    </row>
    <row r="21" ht="30" customHeight="1">
      <c r="A21" s="51" t="n">
        <v>1</v>
      </c>
      <c r="B21" s="52" t="inlineStr">
        <is>
          <t>LAURUSLABS</t>
        </is>
      </c>
      <c r="C21" s="52" t="inlineStr">
        <is>
          <t>Laurus Labs</t>
        </is>
      </c>
      <c r="D21" s="78" t="inlineStr">
        <is>
          <t>Catalyst</t>
        </is>
      </c>
      <c r="E21" s="70" t="inlineStr">
        <is>
          <t>Pharma is also defensive in a risk-off tape.</t>
        </is>
      </c>
      <c r="F21" s="65" t="n"/>
      <c r="G21" s="52" t="inlineStr">
        <is>
          <t>anandrathi</t>
        </is>
      </c>
      <c r="H21" s="79" t="inlineStr">
        <is>
          <t>open ↗</t>
        </is>
      </c>
    </row>
    <row r="22" ht="30" customHeight="1">
      <c r="A22" s="51" t="n">
        <v>1</v>
      </c>
      <c r="B22" s="52" t="inlineStr">
        <is>
          <t>LAURUSLABS</t>
        </is>
      </c>
      <c r="C22" s="52" t="inlineStr">
        <is>
          <t>Laurus Labs</t>
        </is>
      </c>
      <c r="D22" s="80" t="inlineStr">
        <is>
          <t>Risk</t>
        </is>
      </c>
      <c r="E22" s="70" t="inlineStr">
        <is>
          <t>P/E is high, so it can still pull back.</t>
        </is>
      </c>
      <c r="F22" s="65" t="n"/>
      <c r="G22" s="52" t="inlineStr">
        <is>
          <t>anandrathi</t>
        </is>
      </c>
      <c r="H22" s="79" t="inlineStr">
        <is>
          <t>open ↗</t>
        </is>
      </c>
    </row>
    <row r="23" ht="30" customHeight="1">
      <c r="A23" s="51" t="n">
        <v>2</v>
      </c>
      <c r="B23" s="52" t="inlineStr">
        <is>
          <t>TDPOWERSYS</t>
        </is>
      </c>
      <c r="C23" s="52" t="inlineStr">
        <is>
          <t>TD Power Systems</t>
        </is>
      </c>
      <c r="D23" s="81" t="inlineStr">
        <is>
          <t>Context</t>
        </is>
      </c>
      <c r="E23" s="70" t="inlineStr">
        <is>
          <t>The stock is 10% below its high, a shallow pullback within a strong uptrend.</t>
        </is>
      </c>
      <c r="F23" s="65" t="n"/>
      <c r="G23" s="52" t="inlineStr"/>
      <c r="H23" s="52" t="n"/>
    </row>
    <row r="24" ht="30" customHeight="1">
      <c r="A24" s="51" t="n">
        <v>2</v>
      </c>
      <c r="B24" s="52" t="inlineStr">
        <is>
          <t>TDPOWERSYS</t>
        </is>
      </c>
      <c r="C24" s="52" t="inlineStr">
        <is>
          <t>TD Power Systems</t>
        </is>
      </c>
      <c r="D24" s="78" t="inlineStr">
        <is>
          <t>Catalyst</t>
        </is>
      </c>
      <c r="E24" s="70" t="inlineStr">
        <is>
          <t>Q1 FY27 revenue rose about 72% YoY.</t>
        </is>
      </c>
      <c r="F24" s="65" t="n"/>
      <c r="G24" s="52" t="inlineStr">
        <is>
          <t>5paisa</t>
        </is>
      </c>
      <c r="H24" s="79" t="inlineStr">
        <is>
          <t>open ↗</t>
        </is>
      </c>
    </row>
    <row r="25" ht="30" customHeight="1">
      <c r="A25" s="51" t="n">
        <v>2</v>
      </c>
      <c r="B25" s="52" t="inlineStr">
        <is>
          <t>TDPOWERSYS</t>
        </is>
      </c>
      <c r="C25" s="52" t="inlineStr">
        <is>
          <t>TD Power Systems</t>
        </is>
      </c>
      <c r="D25" s="78" t="inlineStr">
        <is>
          <t>Catalyst</t>
        </is>
      </c>
      <c r="E25" s="70" t="inlineStr">
        <is>
          <t>It raised its FY27 revenue guidance to ₹2,600 crore.</t>
        </is>
      </c>
      <c r="F25" s="65" t="n"/>
      <c r="G25" s="52" t="inlineStr">
        <is>
          <t>fyers</t>
        </is>
      </c>
      <c r="H25" s="79" t="inlineStr">
        <is>
          <t>open ↗</t>
        </is>
      </c>
    </row>
    <row r="26" ht="44" customHeight="1">
      <c r="A26" s="51" t="n">
        <v>2</v>
      </c>
      <c r="B26" s="52" t="inlineStr">
        <is>
          <t>TDPOWERSYS</t>
        </is>
      </c>
      <c r="C26" s="52" t="inlineStr">
        <is>
          <t>TD Power Systems</t>
        </is>
      </c>
      <c r="D26" s="80" t="inlineStr">
        <is>
          <t>Risk</t>
        </is>
      </c>
      <c r="E26" s="70" t="inlineStr">
        <is>
          <t>A board meeting on 14 Aug was set to consider raising funds, so check whether a dilutive QIP is pending.</t>
        </is>
      </c>
      <c r="F26" s="65" t="n"/>
      <c r="G26" s="52" t="inlineStr">
        <is>
          <t>5paisa</t>
        </is>
      </c>
      <c r="H26" s="79" t="inlineStr">
        <is>
          <t>open ↗</t>
        </is>
      </c>
    </row>
    <row r="27" ht="30" customHeight="1">
      <c r="A27" s="51" t="n">
        <v>2</v>
      </c>
      <c r="B27" s="52" t="inlineStr">
        <is>
          <t>TDPOWERSYS</t>
        </is>
      </c>
      <c r="C27" s="52" t="inlineStr">
        <is>
          <t>TD Power Systems</t>
        </is>
      </c>
      <c r="D27" s="80" t="inlineStr">
        <is>
          <t>Risk</t>
        </is>
      </c>
      <c r="E27" s="70" t="inlineStr">
        <is>
          <t>Valuation is stretched (P/E around 70).</t>
        </is>
      </c>
      <c r="F27" s="65" t="n"/>
      <c r="G27" s="52" t="inlineStr">
        <is>
          <t>5paisa</t>
        </is>
      </c>
      <c r="H27" s="79" t="inlineStr">
        <is>
          <t>open ↗</t>
        </is>
      </c>
    </row>
    <row r="28" ht="30" customHeight="1">
      <c r="A28" s="51" t="n">
        <v>3</v>
      </c>
      <c r="B28" s="52" t="inlineStr">
        <is>
          <t>ATHERENERG</t>
        </is>
      </c>
      <c r="C28" s="52" t="inlineStr">
        <is>
          <t>Ather Energy</t>
        </is>
      </c>
      <c r="D28" s="78" t="inlineStr">
        <is>
          <t>Catalyst</t>
        </is>
      </c>
      <c r="E28" s="70" t="inlineStr">
        <is>
          <t>Q1 revenue grew 89% and the loss narrowed 71%.</t>
        </is>
      </c>
      <c r="F28" s="65" t="n"/>
      <c r="G28" s="52" t="inlineStr">
        <is>
          <t>indmoney</t>
        </is>
      </c>
      <c r="H28" s="79" t="inlineStr">
        <is>
          <t>open ↗</t>
        </is>
      </c>
    </row>
    <row r="29" ht="30" customHeight="1">
      <c r="A29" s="51" t="n">
        <v>3</v>
      </c>
      <c r="B29" s="52" t="inlineStr">
        <is>
          <t>ATHERENERG</t>
        </is>
      </c>
      <c r="C29" s="52" t="inlineStr">
        <is>
          <t>Ather Energy</t>
        </is>
      </c>
      <c r="D29" s="78" t="inlineStr">
        <is>
          <t>Catalyst</t>
        </is>
      </c>
      <c r="E29" s="70" t="inlineStr">
        <is>
          <t>It was also added to the MSCI India Domestic Small Cap Index.</t>
        </is>
      </c>
      <c r="F29" s="65" t="n"/>
      <c r="G29" s="52" t="inlineStr">
        <is>
          <t>indmoney</t>
        </is>
      </c>
      <c r="H29" s="79" t="inlineStr">
        <is>
          <t>open ↗</t>
        </is>
      </c>
    </row>
    <row r="30" ht="30" customHeight="1">
      <c r="A30" s="51" t="n">
        <v>3</v>
      </c>
      <c r="B30" s="52" t="inlineStr">
        <is>
          <t>ATHERENERG</t>
        </is>
      </c>
      <c r="C30" s="52" t="inlineStr">
        <is>
          <t>Ather Energy</t>
        </is>
      </c>
      <c r="D30" s="78" t="inlineStr">
        <is>
          <t>Catalyst</t>
        </is>
      </c>
      <c r="E30" s="70" t="inlineStr">
        <is>
          <t>Hero MotoCorp is lifting its stake to about 32.8%.</t>
        </is>
      </c>
      <c r="F30" s="65" t="n"/>
      <c r="G30" s="52" t="inlineStr">
        <is>
          <t>freepressjournal</t>
        </is>
      </c>
      <c r="H30" s="79" t="inlineStr">
        <is>
          <t>open ↗</t>
        </is>
      </c>
    </row>
    <row r="31" ht="30" customHeight="1">
      <c r="A31" s="51" t="n">
        <v>3</v>
      </c>
      <c r="B31" s="52" t="inlineStr">
        <is>
          <t>ATHERENERG</t>
        </is>
      </c>
      <c r="C31" s="52" t="inlineStr">
        <is>
          <t>Ather Energy</t>
        </is>
      </c>
      <c r="D31" s="78" t="inlineStr">
        <is>
          <t>Catalyst</t>
        </is>
      </c>
      <c r="E31" s="70" t="inlineStr">
        <is>
          <t>A global broker raised its target to ₹1,926.</t>
        </is>
      </c>
      <c r="F31" s="65" t="n"/>
      <c r="G31" s="52" t="inlineStr">
        <is>
          <t>hdfcsky</t>
        </is>
      </c>
      <c r="H31" s="79" t="inlineStr">
        <is>
          <t>open ↗</t>
        </is>
      </c>
    </row>
    <row r="32" ht="44" customHeight="1">
      <c r="A32" s="51" t="n">
        <v>3</v>
      </c>
      <c r="B32" s="52" t="inlineStr">
        <is>
          <t>ATHERENERG</t>
        </is>
      </c>
      <c r="C32" s="52" t="inlineStr">
        <is>
          <t>Ather Energy</t>
        </is>
      </c>
      <c r="D32" s="81" t="inlineStr">
        <is>
          <t>Context</t>
        </is>
      </c>
      <c r="E32" s="70" t="inlineStr">
        <is>
          <t>The stock has slid about 16% from its early-September high, so the story is intact but the price is digesting a big run.</t>
        </is>
      </c>
      <c r="F32" s="65" t="n"/>
      <c r="G32" s="52" t="inlineStr"/>
      <c r="H32" s="52" t="n"/>
    </row>
    <row r="33" ht="30" customHeight="1">
      <c r="A33" s="51" t="n">
        <v>3</v>
      </c>
      <c r="B33" s="52" t="inlineStr">
        <is>
          <t>ATHERENERG</t>
        </is>
      </c>
      <c r="C33" s="52" t="inlineStr">
        <is>
          <t>Ather Energy</t>
        </is>
      </c>
      <c r="D33" s="78" t="inlineStr">
        <is>
          <t>Catalyst</t>
        </is>
      </c>
      <c r="E33" s="70" t="inlineStr">
        <is>
          <t>High oil prices are a tailwind for the EV theme.</t>
        </is>
      </c>
      <c r="F33" s="65" t="n"/>
      <c r="G33" s="52" t="inlineStr"/>
      <c r="H33" s="52" t="n"/>
    </row>
    <row r="34" ht="30" customHeight="1">
      <c r="A34" s="51" t="n">
        <v>4</v>
      </c>
      <c r="B34" s="52" t="inlineStr">
        <is>
          <t>RRKABEL</t>
        </is>
      </c>
      <c r="C34" s="52" t="inlineStr">
        <is>
          <t>RR Kabel</t>
        </is>
      </c>
      <c r="D34" s="78" t="inlineStr">
        <is>
          <t>Catalyst</t>
        </is>
      </c>
      <c r="E34" s="70" t="inlineStr">
        <is>
          <t>Q1 PAT jumped 129% and EBITDA doubled.</t>
        </is>
      </c>
      <c r="F34" s="65" t="n"/>
      <c r="G34" s="52" t="inlineStr">
        <is>
          <t>5paisa</t>
        </is>
      </c>
      <c r="H34" s="79" t="inlineStr">
        <is>
          <t>open ↗</t>
        </is>
      </c>
    </row>
    <row r="35" ht="30" customHeight="1">
      <c r="A35" s="51" t="n">
        <v>4</v>
      </c>
      <c r="B35" s="52" t="inlineStr">
        <is>
          <t>RRKABEL</t>
        </is>
      </c>
      <c r="C35" s="52" t="inlineStr">
        <is>
          <t>RR Kabel</t>
        </is>
      </c>
      <c r="D35" s="78" t="inlineStr">
        <is>
          <t>Catalyst</t>
        </is>
      </c>
      <c r="E35" s="70" t="inlineStr">
        <is>
          <t>CLSA initiated at Outperform with a ₹2,850 target.</t>
        </is>
      </c>
      <c r="F35" s="65" t="n"/>
      <c r="G35" s="52" t="inlineStr">
        <is>
          <t>fyers</t>
        </is>
      </c>
      <c r="H35" s="79" t="inlineStr">
        <is>
          <t>open ↗</t>
        </is>
      </c>
    </row>
    <row r="36" ht="30" customHeight="1">
      <c r="A36" s="51" t="n">
        <v>4</v>
      </c>
      <c r="B36" s="52" t="inlineStr">
        <is>
          <t>RRKABEL</t>
        </is>
      </c>
      <c r="C36" s="52" t="inlineStr">
        <is>
          <t>RR Kabel</t>
        </is>
      </c>
      <c r="D36" s="81" t="inlineStr">
        <is>
          <t>Context</t>
        </is>
      </c>
      <c r="E36" s="70" t="inlineStr">
        <is>
          <t>The stock is 16% off its high, so it is consolidating.</t>
        </is>
      </c>
      <c r="F36" s="65" t="n"/>
      <c r="G36" s="52" t="inlineStr"/>
      <c r="H36" s="52" t="n"/>
    </row>
    <row r="37" ht="30" customHeight="1">
      <c r="A37" s="51" t="n">
        <v>4</v>
      </c>
      <c r="B37" s="52" t="inlineStr">
        <is>
          <t>RRKABEL</t>
        </is>
      </c>
      <c r="C37" s="52" t="inlineStr">
        <is>
          <t>RR Kabel</t>
        </is>
      </c>
      <c r="D37" s="78" t="inlineStr">
        <is>
          <t>Catalyst</t>
        </is>
      </c>
      <c r="E37" s="70" t="inlineStr">
        <is>
          <t>Volatility is moderate (44%), which is better than most here.</t>
        </is>
      </c>
      <c r="F37" s="65" t="n"/>
      <c r="G37" s="52" t="inlineStr"/>
      <c r="H37" s="52" t="n"/>
    </row>
    <row r="38" ht="30" customHeight="1">
      <c r="A38" s="51" t="n">
        <v>5</v>
      </c>
      <c r="B38" s="52" t="inlineStr">
        <is>
          <t>AEROFLEX</t>
        </is>
      </c>
      <c r="C38" s="52" t="inlineStr">
        <is>
          <t>Aeroflex Industries</t>
        </is>
      </c>
      <c r="D38" s="78" t="inlineStr">
        <is>
          <t>Catalyst</t>
        </is>
      </c>
      <c r="E38" s="70" t="inlineStr">
        <is>
          <t>Q1 FY27 revenue grew 72.4% and PAT rose 162%.</t>
        </is>
      </c>
      <c r="F38" s="65" t="n"/>
      <c r="G38" s="52" t="inlineStr">
        <is>
          <t>sahi</t>
        </is>
      </c>
      <c r="H38" s="79" t="inlineStr">
        <is>
          <t>open ↗</t>
        </is>
      </c>
    </row>
    <row r="39" ht="30" customHeight="1">
      <c r="A39" s="51" t="n">
        <v>5</v>
      </c>
      <c r="B39" s="52" t="inlineStr">
        <is>
          <t>AEROFLEX</t>
        </is>
      </c>
      <c r="C39" s="52" t="inlineStr">
        <is>
          <t>Aeroflex Industries</t>
        </is>
      </c>
      <c r="D39" s="78" t="inlineStr">
        <is>
          <t>Catalyst</t>
        </is>
      </c>
      <c r="E39" s="70" t="inlineStr">
        <is>
          <t>Liquid-cooling skid capacity was raised 50%, with further expansion planned.</t>
        </is>
      </c>
      <c r="F39" s="65" t="n"/>
      <c r="G39" s="52" t="inlineStr">
        <is>
          <t>sahi</t>
        </is>
      </c>
      <c r="H39" s="79" t="inlineStr">
        <is>
          <t>open ↗</t>
        </is>
      </c>
    </row>
    <row r="40" ht="44" customHeight="1">
      <c r="A40" s="51" t="n">
        <v>5</v>
      </c>
      <c r="B40" s="52" t="inlineStr">
        <is>
          <t>AEROFLEX</t>
        </is>
      </c>
      <c r="C40" s="52" t="inlineStr">
        <is>
          <t>Aeroflex Industries</t>
        </is>
      </c>
      <c r="D40" s="80" t="inlineStr">
        <is>
          <t>Risk</t>
        </is>
      </c>
      <c r="E40" s="70" t="inlineStr">
        <is>
          <t>P/E is about 102, volatility is the highest of the ten (67%), and liquidity is thin (₹53 cr/day).</t>
        </is>
      </c>
      <c r="F40" s="65" t="n"/>
      <c r="G40" s="52" t="inlineStr">
        <is>
          <t>share</t>
        </is>
      </c>
      <c r="H40" s="79" t="inlineStr">
        <is>
          <t>open ↗</t>
        </is>
      </c>
    </row>
    <row r="41" ht="30" customHeight="1">
      <c r="A41" s="51" t="n">
        <v>5</v>
      </c>
      <c r="B41" s="52" t="inlineStr">
        <is>
          <t>AEROFLEX</t>
        </is>
      </c>
      <c r="C41" s="52" t="inlineStr">
        <is>
          <t>Aeroflex Industries</t>
        </is>
      </c>
      <c r="D41" s="80" t="inlineStr">
        <is>
          <t>Risk</t>
        </is>
      </c>
      <c r="E41" s="70" t="inlineStr">
        <is>
          <t>That makes it the most fragile in a falling market.</t>
        </is>
      </c>
      <c r="F41" s="65" t="n"/>
      <c r="G41" s="52" t="inlineStr">
        <is>
          <t>share</t>
        </is>
      </c>
      <c r="H41" s="79" t="inlineStr">
        <is>
          <t>open ↗</t>
        </is>
      </c>
    </row>
    <row r="42" ht="44" customHeight="1">
      <c r="A42" s="51" t="n">
        <v>6</v>
      </c>
      <c r="B42" s="52" t="inlineStr">
        <is>
          <t>E2E</t>
        </is>
      </c>
      <c r="C42" s="52" t="inlineStr">
        <is>
          <t>E2E Networks</t>
        </is>
      </c>
      <c r="D42" s="78" t="inlineStr">
        <is>
          <t>Catalyst</t>
        </is>
      </c>
      <c r="E42" s="70" t="inlineStr">
        <is>
          <t>Q1 revenue was ₹156.76 crore vs ₹36.11 crore a year earlier, with a profit of ₹43.88 crore, on GPU cluster expansion.</t>
        </is>
      </c>
      <c r="F42" s="65" t="n"/>
      <c r="G42" s="52" t="inlineStr">
        <is>
          <t>angelone</t>
        </is>
      </c>
      <c r="H42" s="79" t="inlineStr">
        <is>
          <t>open ↗</t>
        </is>
      </c>
    </row>
    <row r="43" ht="30" customHeight="1">
      <c r="A43" s="51" t="n">
        <v>6</v>
      </c>
      <c r="B43" s="52" t="inlineStr">
        <is>
          <t>E2E</t>
        </is>
      </c>
      <c r="C43" s="52" t="inlineStr">
        <is>
          <t>E2E Networks</t>
        </is>
      </c>
      <c r="D43" s="80" t="inlineStr">
        <is>
          <t>Risk</t>
        </is>
      </c>
      <c r="E43" s="70" t="inlineStr">
        <is>
          <t>P/E is about 398 and the stock fell 11.8% in the month to 18 Sep.</t>
        </is>
      </c>
      <c r="F43" s="65" t="n"/>
      <c r="G43" s="52" t="inlineStr">
        <is>
          <t>anandrathi</t>
        </is>
      </c>
      <c r="H43" s="79" t="inlineStr">
        <is>
          <t>open ↗</t>
        </is>
      </c>
    </row>
    <row r="44" ht="30" customHeight="1">
      <c r="A44" s="51" t="n">
        <v>6</v>
      </c>
      <c r="B44" s="52" t="inlineStr">
        <is>
          <t>E2E</t>
        </is>
      </c>
      <c r="C44" s="52" t="inlineStr">
        <is>
          <t>E2E Networks</t>
        </is>
      </c>
      <c r="D44" s="81" t="inlineStr">
        <is>
          <t>Context</t>
        </is>
      </c>
      <c r="E44" s="70" t="inlineStr">
        <is>
          <t>It has bounced since.</t>
        </is>
      </c>
      <c r="F44" s="65" t="n"/>
      <c r="G44" s="52" t="inlineStr">
        <is>
          <t>anandrathi</t>
        </is>
      </c>
      <c r="H44" s="79" t="inlineStr">
        <is>
          <t>open ↗</t>
        </is>
      </c>
    </row>
    <row r="45" ht="30" customHeight="1">
      <c r="A45" s="51" t="n">
        <v>6</v>
      </c>
      <c r="B45" s="52" t="inlineStr">
        <is>
          <t>E2E</t>
        </is>
      </c>
      <c r="C45" s="52" t="inlineStr">
        <is>
          <t>E2E Networks</t>
        </is>
      </c>
      <c r="D45" s="80" t="inlineStr">
        <is>
          <t>Risk</t>
        </is>
      </c>
      <c r="E45" s="70" t="inlineStr">
        <is>
          <t>It is an AI-theme stock with thin liquidity and gap risk in both directions.</t>
        </is>
      </c>
      <c r="F45" s="65" t="n"/>
      <c r="G45" s="52" t="inlineStr"/>
      <c r="H45" s="52" t="n"/>
    </row>
    <row r="46" ht="44" customHeight="1">
      <c r="A46" s="51" t="n">
        <v>7</v>
      </c>
      <c r="B46" s="52" t="inlineStr">
        <is>
          <t>ACUTAAS</t>
        </is>
      </c>
      <c r="C46" s="52" t="inlineStr">
        <is>
          <t>Acutaas Chemicals</t>
        </is>
      </c>
      <c r="D46" s="78" t="inlineStr">
        <is>
          <t>Catalyst</t>
        </is>
      </c>
      <c r="E46" s="70" t="inlineStr">
        <is>
          <t>It received PLI approval for an electrolyte additives plan and commissioned a high-potency API pilot plant.</t>
        </is>
      </c>
      <c r="F46" s="65" t="n"/>
      <c r="G46" s="52" t="inlineStr">
        <is>
          <t>fyers</t>
        </is>
      </c>
      <c r="H46" s="79" t="inlineStr">
        <is>
          <t>open ↗</t>
        </is>
      </c>
    </row>
    <row r="47" ht="44" customHeight="1">
      <c r="A47" s="51" t="n">
        <v>7</v>
      </c>
      <c r="B47" s="52" t="inlineStr">
        <is>
          <t>ACUTAAS</t>
        </is>
      </c>
      <c r="C47" s="52" t="inlineStr">
        <is>
          <t>Acutaas Chemicals</t>
        </is>
      </c>
      <c r="D47" s="80" t="inlineStr">
        <is>
          <t>Risk</t>
        </is>
      </c>
      <c r="E47" s="70" t="inlineStr">
        <is>
          <t>Quarterly revenue and profit were lower sequentially (₹327 cr and ₹76 cr in Jun vs ₹436 cr and ₹137 cr in Mar).</t>
        </is>
      </c>
      <c r="F47" s="65" t="n"/>
      <c r="G47" s="52" t="inlineStr">
        <is>
          <t>anandrathi</t>
        </is>
      </c>
      <c r="H47" s="79" t="inlineStr">
        <is>
          <t>open ↗</t>
        </is>
      </c>
    </row>
    <row r="48" ht="30" customHeight="1">
      <c r="A48" s="51" t="n">
        <v>7</v>
      </c>
      <c r="B48" s="52" t="inlineStr">
        <is>
          <t>ACUTAAS</t>
        </is>
      </c>
      <c r="C48" s="52" t="inlineStr">
        <is>
          <t>Acutaas Chemicals</t>
        </is>
      </c>
      <c r="D48" s="80" t="inlineStr">
        <is>
          <t>Risk</t>
        </is>
      </c>
      <c r="E48" s="70" t="inlineStr">
        <is>
          <t>The 6-1 return is negative.</t>
        </is>
      </c>
      <c r="F48" s="65" t="n"/>
      <c r="G48" s="52" t="inlineStr">
        <is>
          <t>anandrathi</t>
        </is>
      </c>
      <c r="H48" s="79" t="inlineStr">
        <is>
          <t>open ↗</t>
        </is>
      </c>
    </row>
    <row r="49" ht="30" customHeight="1">
      <c r="A49" s="51" t="n">
        <v>7</v>
      </c>
      <c r="B49" s="52" t="inlineStr">
        <is>
          <t>ACUTAAS</t>
        </is>
      </c>
      <c r="C49" s="52" t="inlineStr">
        <is>
          <t>Acutaas Chemicals</t>
        </is>
      </c>
      <c r="D49" s="80" t="inlineStr">
        <is>
          <t>Risk</t>
        </is>
      </c>
      <c r="E49" s="70" t="inlineStr">
        <is>
          <t>The price has moved sideways since June.</t>
        </is>
      </c>
      <c r="F49" s="65" t="n"/>
      <c r="G49" s="52" t="inlineStr"/>
      <c r="H49" s="52" t="n"/>
    </row>
    <row r="50" ht="30" customHeight="1">
      <c r="A50" s="51" t="n">
        <v>7</v>
      </c>
      <c r="B50" s="52" t="inlineStr">
        <is>
          <t>ACUTAAS</t>
        </is>
      </c>
      <c r="C50" s="52" t="inlineStr">
        <is>
          <t>Acutaas Chemicals</t>
        </is>
      </c>
      <c r="D50" s="80" t="inlineStr">
        <is>
          <t>Risk</t>
        </is>
      </c>
      <c r="E50" s="70" t="inlineStr">
        <is>
          <t>There is no clear trigger for a 21-day move.</t>
        </is>
      </c>
      <c r="F50" s="65" t="n"/>
      <c r="G50" s="52" t="inlineStr"/>
      <c r="H50" s="52" t="n"/>
    </row>
    <row r="51" ht="30" customHeight="1">
      <c r="A51" s="51" t="n">
        <v>8</v>
      </c>
      <c r="B51" s="52" t="inlineStr">
        <is>
          <t>DIACABS</t>
        </is>
      </c>
      <c r="C51" s="52" t="inlineStr">
        <is>
          <t>Diamond Power Infra</t>
        </is>
      </c>
      <c r="D51" s="80" t="inlineStr">
        <is>
          <t>Risk</t>
        </is>
      </c>
      <c r="E51" s="70" t="inlineStr">
        <is>
          <t>It hit a 52-week high of about ₹395 on 17 Sep, up 202% in six months, with a P/E near 128.</t>
        </is>
      </c>
      <c r="F51" s="65" t="n"/>
      <c r="G51" s="52" t="inlineStr">
        <is>
          <t>anandrathi</t>
        </is>
      </c>
      <c r="H51" s="79" t="inlineStr">
        <is>
          <t>open ↗</t>
        </is>
      </c>
    </row>
    <row r="52" ht="30" customHeight="1">
      <c r="A52" s="51" t="n">
        <v>8</v>
      </c>
      <c r="B52" s="52" t="inlineStr">
        <is>
          <t>DIACABS</t>
        </is>
      </c>
      <c r="C52" s="52" t="inlineStr">
        <is>
          <t>Diamond Power Infra</t>
        </is>
      </c>
      <c r="D52" s="80" t="inlineStr">
        <is>
          <t>Risk</t>
        </is>
      </c>
      <c r="E52" s="70" t="inlineStr">
        <is>
          <t>Book value per share was negative in the July data.</t>
        </is>
      </c>
      <c r="F52" s="65" t="n"/>
      <c r="G52" s="52" t="inlineStr">
        <is>
          <t>bajajfinserv</t>
        </is>
      </c>
      <c r="H52" s="79" t="inlineStr">
        <is>
          <t>open ↗</t>
        </is>
      </c>
    </row>
    <row r="53" ht="30" customHeight="1">
      <c r="A53" s="51" t="n">
        <v>8</v>
      </c>
      <c r="B53" s="52" t="inlineStr">
        <is>
          <t>DIACABS</t>
        </is>
      </c>
      <c r="C53" s="52" t="inlineStr">
        <is>
          <t>Diamond Power Infra</t>
        </is>
      </c>
      <c r="D53" s="80" t="inlineStr">
        <is>
          <t>Risk</t>
        </is>
      </c>
      <c r="E53" s="70" t="inlineStr">
        <is>
          <t>It is now 14% off that high.</t>
        </is>
      </c>
      <c r="F53" s="65" t="n"/>
      <c r="G53" s="52" t="inlineStr"/>
      <c r="H53" s="52" t="n"/>
    </row>
    <row r="54" ht="44" customHeight="1">
      <c r="A54" s="51" t="n">
        <v>8</v>
      </c>
      <c r="B54" s="52" t="inlineStr">
        <is>
          <t>DIACABS</t>
        </is>
      </c>
      <c r="C54" s="52" t="inlineStr">
        <is>
          <t>Diamond Power Infra</t>
        </is>
      </c>
      <c r="D54" s="81" t="inlineStr">
        <is>
          <t>Context</t>
        </is>
      </c>
      <c r="E54" s="70" t="inlineStr">
        <is>
          <t>The T&amp;D order-book story is real, but the valuation and balance sheet make it a momentum-only trade.</t>
        </is>
      </c>
      <c r="F54" s="65" t="n"/>
      <c r="G54" s="52" t="inlineStr"/>
      <c r="H54" s="52" t="n"/>
    </row>
    <row r="55" ht="44" customHeight="1">
      <c r="A55" s="51" t="n">
        <v>9</v>
      </c>
      <c r="B55" s="52" t="inlineStr">
        <is>
          <t>KIRLOSENG</t>
        </is>
      </c>
      <c r="C55" s="52" t="inlineStr">
        <is>
          <t>Kirloskar Oil Engines</t>
        </is>
      </c>
      <c r="D55" s="80" t="inlineStr">
        <is>
          <t>Risk</t>
        </is>
      </c>
      <c r="E55" s="70" t="inlineStr">
        <is>
          <t>June-quarter revenue was ₹1,482 cr vs ₹1,284 cr a year ago, but EBITDA slipped to ₹176 cr from ₹184 cr, so margins are compressing.</t>
        </is>
      </c>
      <c r="F55" s="65" t="n"/>
      <c r="G55" s="52" t="inlineStr">
        <is>
          <t>anandrathi</t>
        </is>
      </c>
      <c r="H55" s="79" t="inlineStr">
        <is>
          <t>open ↗</t>
        </is>
      </c>
    </row>
    <row r="56" ht="30" customHeight="1">
      <c r="A56" s="51" t="n">
        <v>9</v>
      </c>
      <c r="B56" s="52" t="inlineStr">
        <is>
          <t>KIRLOSENG</t>
        </is>
      </c>
      <c r="C56" s="52" t="inlineStr">
        <is>
          <t>Kirloskar Oil Engines</t>
        </is>
      </c>
      <c r="D56" s="80" t="inlineStr">
        <is>
          <t>Risk</t>
        </is>
      </c>
      <c r="E56" s="70" t="inlineStr">
        <is>
          <t>The 6-1 return is −11% and the stock is 16.5% below its high.</t>
        </is>
      </c>
      <c r="F56" s="65" t="n"/>
      <c r="G56" s="52" t="inlineStr"/>
      <c r="H56" s="52" t="n"/>
    </row>
    <row r="57" ht="30" customHeight="1">
      <c r="A57" s="51" t="n">
        <v>9</v>
      </c>
      <c r="B57" s="52" t="inlineStr">
        <is>
          <t>KIRLOSENG</t>
        </is>
      </c>
      <c r="C57" s="52" t="inlineStr">
        <is>
          <t>Kirloskar Oil Engines</t>
        </is>
      </c>
      <c r="D57" s="80" t="inlineStr">
        <is>
          <t>Risk</t>
        </is>
      </c>
      <c r="E57" s="70" t="inlineStr">
        <is>
          <t>Momentum is fading.</t>
        </is>
      </c>
      <c r="F57" s="65" t="n"/>
      <c r="G57" s="52" t="inlineStr"/>
      <c r="H57" s="52" t="n"/>
    </row>
    <row r="58" ht="30" customHeight="1">
      <c r="A58" s="51" t="n">
        <v>10</v>
      </c>
      <c r="B58" s="52" t="inlineStr">
        <is>
          <t>THANGAMAYL</t>
        </is>
      </c>
      <c r="C58" s="52" t="inlineStr">
        <is>
          <t>Thangamayil Jewellery</t>
        </is>
      </c>
      <c r="D58" s="81" t="inlineStr">
        <is>
          <t>Context</t>
        </is>
      </c>
      <c r="E58" s="70" t="inlineStr">
        <is>
          <t>It hit a high of ₹7,429 and traded near ₹5,085 on 22 Sep.</t>
        </is>
      </c>
      <c r="F58" s="65" t="n"/>
      <c r="G58" s="52" t="inlineStr">
        <is>
          <t>anandrathi</t>
        </is>
      </c>
      <c r="H58" s="79" t="inlineStr">
        <is>
          <t>open ↗</t>
        </is>
      </c>
    </row>
    <row r="59" ht="30" customHeight="1">
      <c r="A59" s="51" t="n">
        <v>10</v>
      </c>
      <c r="B59" s="52" t="inlineStr">
        <is>
          <t>THANGAMAYL</t>
        </is>
      </c>
      <c r="C59" s="52" t="inlineStr">
        <is>
          <t>Thangamayil Jewellery</t>
        </is>
      </c>
      <c r="D59" s="80" t="inlineStr">
        <is>
          <t>Risk</t>
        </is>
      </c>
      <c r="E59" s="70" t="inlineStr">
        <is>
          <t>It is now about 31% below the peak.</t>
        </is>
      </c>
      <c r="F59" s="65" t="n"/>
      <c r="G59" s="52" t="inlineStr">
        <is>
          <t>anandrathi</t>
        </is>
      </c>
      <c r="H59" s="79" t="inlineStr">
        <is>
          <t>open ↗</t>
        </is>
      </c>
    </row>
    <row r="60" ht="30" customHeight="1">
      <c r="A60" s="51" t="n">
        <v>10</v>
      </c>
      <c r="B60" s="52" t="inlineStr">
        <is>
          <t>THANGAMAYL</t>
        </is>
      </c>
      <c r="C60" s="52" t="inlineStr">
        <is>
          <t>Thangamayil Jewellery</t>
        </is>
      </c>
      <c r="D60" s="80" t="inlineStr">
        <is>
          <t>Risk</t>
        </is>
      </c>
      <c r="E60" s="70" t="inlineStr">
        <is>
          <t>Q1 EBITDA (₹145 cr) fell from ₹214 cr in the March quarter.</t>
        </is>
      </c>
      <c r="F60" s="65" t="n"/>
      <c r="G60" s="52" t="inlineStr">
        <is>
          <t>anandrathi</t>
        </is>
      </c>
      <c r="H60" s="79" t="inlineStr">
        <is>
          <t>open ↗</t>
        </is>
      </c>
    </row>
    <row r="61" ht="44" customHeight="1">
      <c r="A61" s="51" t="n">
        <v>10</v>
      </c>
      <c r="B61" s="52" t="inlineStr">
        <is>
          <t>THANGAMAYL</t>
        </is>
      </c>
      <c r="C61" s="52" t="inlineStr">
        <is>
          <t>Thangamayil Jewellery</t>
        </is>
      </c>
      <c r="D61" s="80" t="inlineStr">
        <is>
          <t>Risk</t>
        </is>
      </c>
      <c r="E61" s="70" t="inlineStr">
        <is>
          <t>It has the weakest chart in the batch: a clear downtrend, a negative 6-1 return, and a gold-price-sensitive business.</t>
        </is>
      </c>
      <c r="F61" s="65" t="n"/>
      <c r="G61" s="52" t="inlineStr"/>
      <c r="H61" s="52" t="n"/>
    </row>
  </sheetData>
  <mergeCells count="46">
    <mergeCell ref="E43:F43"/>
    <mergeCell ref="E50:F50"/>
    <mergeCell ref="E55:F55"/>
    <mergeCell ref="E24:F24"/>
    <mergeCell ref="E33:F33"/>
    <mergeCell ref="E42:F42"/>
    <mergeCell ref="E23:F23"/>
    <mergeCell ref="E52:F52"/>
    <mergeCell ref="E48:F48"/>
    <mergeCell ref="E39:F39"/>
    <mergeCell ref="E44:F44"/>
    <mergeCell ref="E35:F35"/>
    <mergeCell ref="E51:F51"/>
    <mergeCell ref="E20:F20"/>
    <mergeCell ref="A2:I2"/>
    <mergeCell ref="E38:F38"/>
    <mergeCell ref="E29:F29"/>
    <mergeCell ref="E19:F19"/>
    <mergeCell ref="E28:F28"/>
    <mergeCell ref="E60:F60"/>
    <mergeCell ref="E40:F40"/>
    <mergeCell ref="E31:F31"/>
    <mergeCell ref="E56:F56"/>
    <mergeCell ref="E34:F34"/>
    <mergeCell ref="E59:F59"/>
    <mergeCell ref="E30:F30"/>
    <mergeCell ref="E46:F46"/>
    <mergeCell ref="E58:F58"/>
    <mergeCell ref="E49:F49"/>
    <mergeCell ref="E27:F27"/>
    <mergeCell ref="E45:F45"/>
    <mergeCell ref="E36:F36"/>
    <mergeCell ref="E61:F61"/>
    <mergeCell ref="E26:F26"/>
    <mergeCell ref="E57:F57"/>
    <mergeCell ref="E54:F54"/>
    <mergeCell ref="E32:F32"/>
    <mergeCell ref="E25:F25"/>
    <mergeCell ref="E41:F41"/>
    <mergeCell ref="A1:I1"/>
    <mergeCell ref="E37:F37"/>
    <mergeCell ref="E22:F22"/>
    <mergeCell ref="E53:F53"/>
    <mergeCell ref="E18:F18"/>
    <mergeCell ref="E47:F47"/>
    <mergeCell ref="E21:F21"/>
  </mergeCells>
  <conditionalFormatting sqref="E5:E14">
    <cfRule type="dataBar" priority="1">
      <dataBar showValue="1">
        <cfvo type="num" val="-2"/>
        <cfvo type="num" val="2"/>
        <color rgb="001F9D63"/>
      </dataBar>
    </cfRule>
  </conditionalFormatting>
  <conditionalFormatting sqref="G5:G14">
    <cfRule type="cellIs" priority="2" operator="greaterThan" dxfId="2">
      <formula>0</formula>
    </cfRule>
    <cfRule type="cellIs" priority="3" operator="lessThan" dxfId="3">
      <formula>0</formula>
    </cfRule>
  </conditionalFormatting>
  <hyperlinks>
    <hyperlink xmlns:r="http://schemas.openxmlformats.org/officeDocument/2006/relationships" ref="H19" r:id="rId1"/>
    <hyperlink xmlns:r="http://schemas.openxmlformats.org/officeDocument/2006/relationships" ref="H20" r:id="rId2"/>
    <hyperlink xmlns:r="http://schemas.openxmlformats.org/officeDocument/2006/relationships" ref="H21" r:id="rId3"/>
    <hyperlink xmlns:r="http://schemas.openxmlformats.org/officeDocument/2006/relationships" ref="H22" r:id="rId4"/>
    <hyperlink xmlns:r="http://schemas.openxmlformats.org/officeDocument/2006/relationships" ref="H24" r:id="rId5"/>
    <hyperlink xmlns:r="http://schemas.openxmlformats.org/officeDocument/2006/relationships" ref="H25" r:id="rId6"/>
    <hyperlink xmlns:r="http://schemas.openxmlformats.org/officeDocument/2006/relationships" ref="H26" r:id="rId7"/>
    <hyperlink xmlns:r="http://schemas.openxmlformats.org/officeDocument/2006/relationships" ref="H27" r:id="rId8"/>
    <hyperlink xmlns:r="http://schemas.openxmlformats.org/officeDocument/2006/relationships" ref="H28" r:id="rId9"/>
    <hyperlink xmlns:r="http://schemas.openxmlformats.org/officeDocument/2006/relationships" ref="H29" r:id="rId10"/>
    <hyperlink xmlns:r="http://schemas.openxmlformats.org/officeDocument/2006/relationships" ref="H30" r:id="rId11"/>
    <hyperlink xmlns:r="http://schemas.openxmlformats.org/officeDocument/2006/relationships" ref="H31" r:id="rId12"/>
    <hyperlink xmlns:r="http://schemas.openxmlformats.org/officeDocument/2006/relationships" ref="H34" r:id="rId13"/>
    <hyperlink xmlns:r="http://schemas.openxmlformats.org/officeDocument/2006/relationships" ref="H35" r:id="rId14"/>
    <hyperlink xmlns:r="http://schemas.openxmlformats.org/officeDocument/2006/relationships" ref="H38" r:id="rId15"/>
    <hyperlink xmlns:r="http://schemas.openxmlformats.org/officeDocument/2006/relationships" ref="H39" r:id="rId16"/>
    <hyperlink xmlns:r="http://schemas.openxmlformats.org/officeDocument/2006/relationships" ref="H40" r:id="rId17"/>
    <hyperlink xmlns:r="http://schemas.openxmlformats.org/officeDocument/2006/relationships" ref="H41" r:id="rId18"/>
    <hyperlink xmlns:r="http://schemas.openxmlformats.org/officeDocument/2006/relationships" ref="H42" r:id="rId19"/>
    <hyperlink xmlns:r="http://schemas.openxmlformats.org/officeDocument/2006/relationships" ref="H43" r:id="rId20"/>
    <hyperlink xmlns:r="http://schemas.openxmlformats.org/officeDocument/2006/relationships" ref="H44" r:id="rId21"/>
    <hyperlink xmlns:r="http://schemas.openxmlformats.org/officeDocument/2006/relationships" ref="H46" r:id="rId22"/>
    <hyperlink xmlns:r="http://schemas.openxmlformats.org/officeDocument/2006/relationships" ref="H47" r:id="rId23"/>
    <hyperlink xmlns:r="http://schemas.openxmlformats.org/officeDocument/2006/relationships" ref="H48" r:id="rId24"/>
    <hyperlink xmlns:r="http://schemas.openxmlformats.org/officeDocument/2006/relationships" ref="H51" r:id="rId25"/>
    <hyperlink xmlns:r="http://schemas.openxmlformats.org/officeDocument/2006/relationships" ref="H52" r:id="rId26"/>
    <hyperlink xmlns:r="http://schemas.openxmlformats.org/officeDocument/2006/relationships" ref="H55" r:id="rId27"/>
    <hyperlink xmlns:r="http://schemas.openxmlformats.org/officeDocument/2006/relationships" ref="H58" r:id="rId28"/>
    <hyperlink xmlns:r="http://schemas.openxmlformats.org/officeDocument/2006/relationships" ref="H59" r:id="rId29"/>
    <hyperlink xmlns:r="http://schemas.openxmlformats.org/officeDocument/2006/relationships" ref="H60" r:id="rId30"/>
  </hyperlinks>
  <pageMargins left="0.75" right="0.75" top="1" bottom="1" header="0.5" footer="0.5"/>
  <pageSetup orientation="landscape" fitToWidth="1"/>
</worksheet>
</file>

<file path=xl/worksheets/sheet8.xml><?xml version="1.0" encoding="utf-8"?>
<worksheet xmlns="http://schemas.openxmlformats.org/spreadsheetml/2006/main">
  <sheetPr>
    <tabColor rgb="0094A3B8"/>
    <outlinePr summaryBelow="1" summaryRight="1"/>
    <pageSetUpPr fitToPage="1"/>
  </sheetPr>
  <dimension ref="A1:G131"/>
  <sheetViews>
    <sheetView showGridLines="0" workbookViewId="0">
      <pane ySplit="4" topLeftCell="A5" activePane="bottomLeft" state="frozen"/>
      <selection pane="bottomLeft" activeCell="A1" sqref="A1"/>
    </sheetView>
  </sheetViews>
  <sheetFormatPr baseColWidth="8" defaultRowHeight="15"/>
  <cols>
    <col width="13" customWidth="1" min="1" max="1"/>
    <col width="17" customWidth="1" min="2" max="2"/>
    <col width="80" customWidth="1" min="3" max="3"/>
    <col width="20" customWidth="1" min="4" max="4"/>
    <col width="10" customWidth="1" min="5" max="5"/>
    <col width="10" customWidth="1" min="6" max="6"/>
    <col width="9" customWidth="1" min="7" max="7"/>
  </cols>
  <sheetData>
    <row r="1" ht="30" customHeight="1">
      <c r="A1" s="1" t="inlineStr">
        <is>
          <t>Positive News &amp; Sentiment</t>
        </is>
      </c>
      <c r="B1" s="2" t="n"/>
      <c r="C1" s="2" t="n"/>
      <c r="D1" s="2" t="n"/>
      <c r="E1" s="2" t="n"/>
      <c r="F1" s="2" t="n"/>
      <c r="G1" s="2" t="n"/>
    </row>
    <row r="2" ht="18" customHeight="1">
      <c r="A2" s="3" t="inlineStr">
        <is>
          <t>Fetched 2026-10-08 12:35</t>
        </is>
      </c>
      <c r="B2" s="2" t="n"/>
      <c r="C2" s="2" t="n"/>
      <c r="D2" s="2" t="n"/>
      <c r="E2" s="2" t="n"/>
      <c r="F2" s="2" t="n"/>
      <c r="G2" s="2" t="n"/>
    </row>
    <row r="4">
      <c r="A4" s="15" t="inlineStr">
        <is>
          <t>Symbol</t>
        </is>
      </c>
      <c r="B4" s="15" t="inlineStr">
        <is>
          <t>Published</t>
        </is>
      </c>
      <c r="C4" s="15" t="inlineStr">
        <is>
          <t>Headline</t>
        </is>
      </c>
      <c r="D4" s="15" t="inlineStr">
        <is>
          <t>Source</t>
        </is>
      </c>
      <c r="E4" s="15" t="inlineStr">
        <is>
          <t>Sentiment</t>
        </is>
      </c>
      <c r="F4" s="15" t="inlineStr">
        <is>
          <t>Label</t>
        </is>
      </c>
      <c r="G4" s="15" t="inlineStr">
        <is>
          <t>Link</t>
        </is>
      </c>
    </row>
    <row r="5">
      <c r="A5" s="52" t="inlineStr">
        <is>
          <t>MARKET</t>
        </is>
      </c>
      <c r="B5" s="52" t="inlineStr">
        <is>
          <t>2026-10-08 10:49</t>
        </is>
      </c>
      <c r="C5" s="52" t="inlineStr">
        <is>
          <t>Sensex Plunges 1,045 Points, Nifty Hits 52-Week Low Amid FII Selling, RBI Tightening</t>
        </is>
      </c>
      <c r="D5" s="52" t="inlineStr">
        <is>
          <t>Rediff</t>
        </is>
      </c>
      <c r="E5" s="82" t="n">
        <v>-0.542</v>
      </c>
      <c r="F5" s="52" t="inlineStr">
        <is>
          <t>Negative</t>
        </is>
      </c>
      <c r="G5" s="83" t="inlineStr">
        <is>
          <t>open ↗</t>
        </is>
      </c>
    </row>
    <row r="6">
      <c r="A6" s="52" t="inlineStr">
        <is>
          <t>MARKET</t>
        </is>
      </c>
      <c r="B6" s="52" t="inlineStr">
        <is>
          <t>2026-10-08 10:35</t>
        </is>
      </c>
      <c r="C6" s="52" t="inlineStr">
        <is>
          <t>Sensex settles 1,050 pts lower, Nifty ends below 22,250: Surging crude prices among key factors behind...</t>
        </is>
      </c>
      <c r="D6" s="52" t="inlineStr">
        <is>
          <t>Moneycontrol.com</t>
        </is>
      </c>
      <c r="E6" s="82" t="n">
        <v>-0.421</v>
      </c>
      <c r="F6" s="52" t="inlineStr">
        <is>
          <t>Negative</t>
        </is>
      </c>
      <c r="G6" s="83" t="inlineStr">
        <is>
          <t>open ↗</t>
        </is>
      </c>
    </row>
    <row r="7">
      <c r="A7" s="52" t="inlineStr">
        <is>
          <t>MARKET</t>
        </is>
      </c>
      <c r="B7" s="52" t="inlineStr">
        <is>
          <t>2026-10-08 10:35</t>
        </is>
      </c>
      <c r="C7" s="52" t="inlineStr">
        <is>
          <t>Sensex Today Tanks 1,177 Points | Nifty Below 22,250 | 4 Reasons Why Indian Share Markets Are Falling</t>
        </is>
      </c>
      <c r="D7" s="52" t="inlineStr">
        <is>
          <t>Equitymaster</t>
        </is>
      </c>
      <c r="E7" s="82" t="n">
        <v>-0.273</v>
      </c>
      <c r="F7" s="52" t="inlineStr">
        <is>
          <t>Negative</t>
        </is>
      </c>
      <c r="G7" s="83" t="inlineStr">
        <is>
          <t>open ↗</t>
        </is>
      </c>
    </row>
    <row r="8">
      <c r="A8" s="52" t="inlineStr">
        <is>
          <t>MARKET</t>
        </is>
      </c>
      <c r="B8" s="52" t="inlineStr">
        <is>
          <t>2026-10-08 10:24</t>
        </is>
      </c>
      <c r="C8" s="52" t="inlineStr">
        <is>
          <t>Stock market prediction for tomorrow: Sensex, Nifty outlook for Friday | Kospi, Taiwan cues to watch | 9 Oct 2026</t>
        </is>
      </c>
      <c r="D8" s="52" t="inlineStr">
        <is>
          <t>Livemint</t>
        </is>
      </c>
      <c r="E8" s="82" t="n">
        <v>0.402</v>
      </c>
      <c r="F8" s="52" t="inlineStr">
        <is>
          <t>Positive</t>
        </is>
      </c>
      <c r="G8" s="83" t="inlineStr">
        <is>
          <t>open ↗</t>
        </is>
      </c>
    </row>
    <row r="9">
      <c r="A9" s="52" t="inlineStr">
        <is>
          <t>MARKET</t>
        </is>
      </c>
      <c r="B9" s="52" t="inlineStr">
        <is>
          <t>2026-10-08 10:02</t>
        </is>
      </c>
      <c r="C9" s="52" t="inlineStr">
        <is>
          <t>From the dot-com bust and 2008 financial crisis to COVID, war, inflation and the 2026 oil shock, Sudarshan Kumar tracks six major events that shook the Indian markets over 26 years. Sudarshan Kumar #IndianMarket #StockMarket #Nifty #Sensex #CNBCTV1</t>
        </is>
      </c>
      <c r="D9" s="52" t="inlineStr">
        <is>
          <t>LinkedIn</t>
        </is>
      </c>
      <c r="E9" s="82" t="n">
        <v>-0.861</v>
      </c>
      <c r="F9" s="52" t="inlineStr">
        <is>
          <t>Negative</t>
        </is>
      </c>
      <c r="G9" s="83" t="inlineStr">
        <is>
          <t>open ↗</t>
        </is>
      </c>
    </row>
    <row r="10">
      <c r="A10" s="52" t="inlineStr">
        <is>
          <t>MARKET</t>
        </is>
      </c>
      <c r="B10" s="52" t="inlineStr">
        <is>
          <t>2026-10-08 09:30</t>
        </is>
      </c>
      <c r="C10" s="52" t="inlineStr">
        <is>
          <t>Nearly Rs 11,00,00,00,00,000 Wiped Out! Investors Lose As Sensex Crashes 1,232 Points, Nifty Slips Below 22,200</t>
        </is>
      </c>
      <c r="D10" s="52" t="inlineStr">
        <is>
          <t>NDTV Profit</t>
        </is>
      </c>
      <c r="E10" s="82" t="n">
        <v>-0.4</v>
      </c>
      <c r="F10" s="52" t="inlineStr">
        <is>
          <t>Negative</t>
        </is>
      </c>
      <c r="G10" s="83" t="inlineStr">
        <is>
          <t>open ↗</t>
        </is>
      </c>
    </row>
    <row r="11">
      <c r="A11" s="52" t="inlineStr">
        <is>
          <t>MARKET</t>
        </is>
      </c>
      <c r="B11" s="52" t="inlineStr">
        <is>
          <t>2026-10-08 08:33</t>
        </is>
      </c>
      <c r="C11" s="52" t="inlineStr">
        <is>
          <t>Why is the stock market down today? 3 factors behind Sensex, Nifty 50 fall</t>
        </is>
      </c>
      <c r="D11" s="52" t="inlineStr">
        <is>
          <t>TradingView</t>
        </is>
      </c>
      <c r="E11" s="82" t="n">
        <v>0.077</v>
      </c>
      <c r="F11" s="52" t="inlineStr">
        <is>
          <t>Neutral</t>
        </is>
      </c>
      <c r="G11" s="83" t="inlineStr">
        <is>
          <t>open ↗</t>
        </is>
      </c>
    </row>
    <row r="12">
      <c r="A12" s="52" t="inlineStr">
        <is>
          <t>MARKET</t>
        </is>
      </c>
      <c r="B12" s="52" t="inlineStr">
        <is>
          <t>2026-10-08 08:19</t>
        </is>
      </c>
      <c r="C12" s="52" t="inlineStr">
        <is>
          <t>Sensex fell 1,000 points: 5 reasons why stock market crashed today</t>
        </is>
      </c>
      <c r="D12" s="52" t="inlineStr">
        <is>
          <t>India Today</t>
        </is>
      </c>
      <c r="E12" s="82" t="n">
        <v>0</v>
      </c>
      <c r="F12" s="52" t="inlineStr">
        <is>
          <t>Neutral</t>
        </is>
      </c>
      <c r="G12" s="83" t="inlineStr">
        <is>
          <t>open ↗</t>
        </is>
      </c>
    </row>
    <row r="13">
      <c r="A13" s="52" t="inlineStr">
        <is>
          <t>MARKET</t>
        </is>
      </c>
      <c r="B13" s="52" t="inlineStr">
        <is>
          <t>2026-10-08 08:15</t>
        </is>
      </c>
      <c r="C13" s="52" t="inlineStr">
        <is>
          <t>Stock Market Crash: Why Did Sensex Plunge Nearly 1,000 Pts &amp; Nifty Cracked Below 22,300</t>
        </is>
      </c>
      <c r="D13" s="52" t="inlineStr">
        <is>
          <t>ETV Bharat</t>
        </is>
      </c>
      <c r="E13" s="82" t="n">
        <v>-0.681</v>
      </c>
      <c r="F13" s="52" t="inlineStr">
        <is>
          <t>Negative</t>
        </is>
      </c>
      <c r="G13" s="83" t="inlineStr">
        <is>
          <t>open ↗</t>
        </is>
      </c>
    </row>
    <row r="14">
      <c r="A14" s="52" t="inlineStr">
        <is>
          <t>ATHERENERG</t>
        </is>
      </c>
      <c r="B14" s="52" t="inlineStr">
        <is>
          <t>2026-10-08 07:46</t>
        </is>
      </c>
      <c r="C14" s="52" t="inlineStr">
        <is>
          <t>Ather Energy (NSE:ATHERENERG): What Does Its Reg 74(5) Certificate for Q2 FY27 Mean?</t>
        </is>
      </c>
      <c r="D14" s="52" t="inlineStr">
        <is>
          <t>Kalkine India</t>
        </is>
      </c>
      <c r="E14" s="82" t="n">
        <v>0.273</v>
      </c>
      <c r="F14" s="52" t="inlineStr">
        <is>
          <t>Positive</t>
        </is>
      </c>
      <c r="G14" s="83" t="inlineStr">
        <is>
          <t>open ↗</t>
        </is>
      </c>
    </row>
    <row r="15">
      <c r="A15" s="52" t="inlineStr">
        <is>
          <t>MARKET</t>
        </is>
      </c>
      <c r="B15" s="52" t="inlineStr">
        <is>
          <t>2026-10-08 07:18</t>
        </is>
      </c>
      <c r="C15" s="52" t="inlineStr">
        <is>
          <t>Stock Market Crash: Rs 7 Lakh Crore Wiped Out, What Went Wrong</t>
        </is>
      </c>
      <c r="D15" s="52" t="inlineStr">
        <is>
          <t>Univest</t>
        </is>
      </c>
      <c r="E15" s="82" t="n">
        <v>-0.784</v>
      </c>
      <c r="F15" s="52" t="inlineStr">
        <is>
          <t>Negative</t>
        </is>
      </c>
      <c r="G15" s="83" t="inlineStr">
        <is>
          <t>open ↗</t>
        </is>
      </c>
    </row>
    <row r="16">
      <c r="A16" s="52" t="inlineStr">
        <is>
          <t>MARKET</t>
        </is>
      </c>
      <c r="B16" s="52" t="inlineStr">
        <is>
          <t>2026-10-08 07:14</t>
        </is>
      </c>
      <c r="C16" s="52" t="inlineStr">
        <is>
          <t>Stock Market Outlook Today, 8 Oct: Sensex, Nifty Prediction</t>
        </is>
      </c>
      <c r="D16" s="52" t="inlineStr">
        <is>
          <t>Univest</t>
        </is>
      </c>
      <c r="E16" s="82" t="n">
        <v>0.402</v>
      </c>
      <c r="F16" s="52" t="inlineStr">
        <is>
          <t>Positive</t>
        </is>
      </c>
      <c r="G16" s="83" t="inlineStr">
        <is>
          <t>open ↗</t>
        </is>
      </c>
    </row>
    <row r="17">
      <c r="A17" s="52" t="inlineStr">
        <is>
          <t>MARKET</t>
        </is>
      </c>
      <c r="B17" s="52" t="inlineStr">
        <is>
          <t>2026-10-08 06:53</t>
        </is>
      </c>
      <c r="C17" s="52" t="inlineStr">
        <is>
          <t>Stock market crash: Terrible Thursday for Sensex, Nifty as over ₹7 lakh cr investors' wealth eroded - what went wrong?</t>
        </is>
      </c>
      <c r="D17" s="52" t="inlineStr">
        <is>
          <t>Livemint</t>
        </is>
      </c>
      <c r="E17" s="82" t="n">
        <v>-0.625</v>
      </c>
      <c r="F17" s="52" t="inlineStr">
        <is>
          <t>Negative</t>
        </is>
      </c>
      <c r="G17" s="83" t="inlineStr">
        <is>
          <t>open ↗</t>
        </is>
      </c>
    </row>
    <row r="18">
      <c r="A18" s="52" t="inlineStr">
        <is>
          <t>MARKET</t>
        </is>
      </c>
      <c r="B18" s="52" t="inlineStr">
        <is>
          <t>2026-10-08 06:43</t>
        </is>
      </c>
      <c r="C18" s="52" t="inlineStr">
        <is>
          <t>Stock market crash today: BSE Sensex tanks over 1,000 points; Nifty50 at 22,231 - top reasons for fall</t>
        </is>
      </c>
      <c r="D18" s="52" t="inlineStr">
        <is>
          <t>The Times of India</t>
        </is>
      </c>
      <c r="E18" s="82" t="n">
        <v>-0.823</v>
      </c>
      <c r="F18" s="52" t="inlineStr">
        <is>
          <t>Negative</t>
        </is>
      </c>
      <c r="G18" s="83" t="inlineStr">
        <is>
          <t>open ↗</t>
        </is>
      </c>
    </row>
    <row r="19">
      <c r="A19" s="52" t="inlineStr">
        <is>
          <t>MARKET</t>
        </is>
      </c>
      <c r="B19" s="52" t="inlineStr">
        <is>
          <t>2026-10-08 06:32</t>
        </is>
      </c>
      <c r="C19" s="52" t="inlineStr">
        <is>
          <t>D-St meltdown erodes ₹10.2 trn in investor wealth; what caused market rout?</t>
        </is>
      </c>
      <c r="D19" s="52" t="inlineStr">
        <is>
          <t>Business Standard</t>
        </is>
      </c>
      <c r="E19" s="82" t="n">
        <v>0.494</v>
      </c>
      <c r="F19" s="52" t="inlineStr">
        <is>
          <t>Positive</t>
        </is>
      </c>
      <c r="G19" s="83" t="inlineStr">
        <is>
          <t>open ↗</t>
        </is>
      </c>
    </row>
    <row r="20">
      <c r="A20" s="52" t="inlineStr">
        <is>
          <t>TDPOWERSYS</t>
        </is>
      </c>
      <c r="B20" s="52" t="inlineStr">
        <is>
          <t>2026-10-08 05:45</t>
        </is>
      </c>
      <c r="C20" s="52" t="inlineStr">
        <is>
          <t>TD Power Systems (NSE:TDPOWERSYS): What Does the Reg 74(5) Compliance Certificate Mean?</t>
        </is>
      </c>
      <c r="D20" s="52" t="inlineStr">
        <is>
          <t>Kalkine India</t>
        </is>
      </c>
      <c r="E20" s="82" t="n">
        <v>0</v>
      </c>
      <c r="F20" s="52" t="inlineStr">
        <is>
          <t>Neutral</t>
        </is>
      </c>
      <c r="G20" s="83" t="inlineStr">
        <is>
          <t>open ↗</t>
        </is>
      </c>
    </row>
    <row r="21">
      <c r="A21" s="52" t="inlineStr">
        <is>
          <t>MARKET</t>
        </is>
      </c>
      <c r="B21" s="52" t="inlineStr">
        <is>
          <t>2026-10-08 05:27</t>
        </is>
      </c>
      <c r="C21" s="52" t="inlineStr">
        <is>
          <t>Sensex, Nifty fall in early trade as RBI signals tighter monetary policy</t>
        </is>
      </c>
      <c r="D21" s="52" t="inlineStr">
        <is>
          <t>National Herald</t>
        </is>
      </c>
      <c r="E21" s="82" t="n">
        <v>0.077</v>
      </c>
      <c r="F21" s="52" t="inlineStr">
        <is>
          <t>Neutral</t>
        </is>
      </c>
      <c r="G21" s="83" t="inlineStr">
        <is>
          <t>open ↗</t>
        </is>
      </c>
    </row>
    <row r="22">
      <c r="A22" s="52" t="inlineStr">
        <is>
          <t>MARKET</t>
        </is>
      </c>
      <c r="B22" s="52" t="inlineStr">
        <is>
          <t>2026-10-08 05:16</t>
        </is>
      </c>
      <c r="C22" s="52" t="inlineStr">
        <is>
          <t>Why did market crash today? Nifty hits fresh 52-week low, Sensex tanks over 1,000 pts. 7 triggers behind R</t>
        </is>
      </c>
      <c r="D22" s="52" t="inlineStr">
        <is>
          <t>The Economic Times</t>
        </is>
      </c>
      <c r="E22" s="82" t="n">
        <v>-0.6909999999999999</v>
      </c>
      <c r="F22" s="52" t="inlineStr">
        <is>
          <t>Negative</t>
        </is>
      </c>
      <c r="G22" s="83" t="inlineStr">
        <is>
          <t>open ↗</t>
        </is>
      </c>
    </row>
    <row r="23">
      <c r="A23" s="52" t="inlineStr">
        <is>
          <t>MARKET</t>
        </is>
      </c>
      <c r="B23" s="52" t="inlineStr">
        <is>
          <t>2026-10-08 05:01</t>
        </is>
      </c>
      <c r="C23" s="52" t="inlineStr">
        <is>
          <t>Why Is Stock Market Crashing Today? Crude Jitters, RBI Tone Among 3 Reasons Behind D-Street Selloff</t>
        </is>
      </c>
      <c r="D23" s="52" t="inlineStr">
        <is>
          <t>NDTV Profit</t>
        </is>
      </c>
      <c r="E23" s="82" t="n">
        <v>-0.572</v>
      </c>
      <c r="F23" s="52" t="inlineStr">
        <is>
          <t>Negative</t>
        </is>
      </c>
      <c r="G23" s="83" t="inlineStr">
        <is>
          <t>open ↗</t>
        </is>
      </c>
    </row>
    <row r="24">
      <c r="A24" s="52" t="inlineStr">
        <is>
          <t>MARKET</t>
        </is>
      </c>
      <c r="B24" s="52" t="inlineStr">
        <is>
          <t>2026-10-08 04:58</t>
        </is>
      </c>
      <c r="C24" s="52" t="inlineStr">
        <is>
          <t>Stock Markets Today: Sensex, Nifty Deciline Amid Rising Crude &amp; FII Selling</t>
        </is>
      </c>
      <c r="D24" s="52" t="inlineStr">
        <is>
          <t>ETV Bharat</t>
        </is>
      </c>
      <c r="E24" s="82" t="n">
        <v>-0.25</v>
      </c>
      <c r="F24" s="52" t="inlineStr">
        <is>
          <t>Negative</t>
        </is>
      </c>
      <c r="G24" s="83" t="inlineStr">
        <is>
          <t>open ↗</t>
        </is>
      </c>
    </row>
    <row r="25">
      <c r="A25" s="52" t="inlineStr">
        <is>
          <t>MARKET</t>
        </is>
      </c>
      <c r="B25" s="52" t="inlineStr">
        <is>
          <t>2026-10-08 04:54</t>
        </is>
      </c>
      <c r="C25" s="52" t="inlineStr">
        <is>
          <t>Stock markets decline in early trade as RBI signals more tightening</t>
        </is>
      </c>
      <c r="D25" s="52" t="inlineStr">
        <is>
          <t>The New Indian Express</t>
        </is>
      </c>
      <c r="E25" s="82" t="n">
        <v>-0.382</v>
      </c>
      <c r="F25" s="52" t="inlineStr">
        <is>
          <t>Negative</t>
        </is>
      </c>
      <c r="G25" s="83" t="inlineStr">
        <is>
          <t>open ↗</t>
        </is>
      </c>
    </row>
    <row r="26">
      <c r="A26" s="52" t="inlineStr">
        <is>
          <t>MARKET</t>
        </is>
      </c>
      <c r="B26" s="52" t="inlineStr">
        <is>
          <t>2026-10-08 04:53</t>
        </is>
      </c>
      <c r="C26" s="52" t="inlineStr">
        <is>
          <t>Sensex, Nifty Fall After RBI Hikes Repo Rate to 5.5%</t>
        </is>
      </c>
      <c r="D26" s="52" t="inlineStr">
        <is>
          <t>HDFC Sky</t>
        </is>
      </c>
      <c r="E26" s="82" t="n">
        <v>0.077</v>
      </c>
      <c r="F26" s="52" t="inlineStr">
        <is>
          <t>Neutral</t>
        </is>
      </c>
      <c r="G26" s="83" t="inlineStr">
        <is>
          <t>open ↗</t>
        </is>
      </c>
    </row>
    <row r="27">
      <c r="A27" s="52" t="inlineStr">
        <is>
          <t>MARKET</t>
        </is>
      </c>
      <c r="B27" s="52" t="inlineStr">
        <is>
          <t>2026-10-08 04:43</t>
        </is>
      </c>
      <c r="C27" s="52" t="inlineStr">
        <is>
          <t>Sensex Today Trades Lower | Nifty Below 22,500 | ITC &amp; Bharat Elec Top Losers</t>
        </is>
      </c>
      <c r="D27" s="52" t="inlineStr">
        <is>
          <t>Equitymaster</t>
        </is>
      </c>
      <c r="E27" s="82" t="n">
        <v>-0.178</v>
      </c>
      <c r="F27" s="52" t="inlineStr">
        <is>
          <t>Neutral</t>
        </is>
      </c>
      <c r="G27" s="83" t="inlineStr">
        <is>
          <t>open ↗</t>
        </is>
      </c>
    </row>
    <row r="28">
      <c r="A28" s="52" t="inlineStr">
        <is>
          <t>MARKET</t>
        </is>
      </c>
      <c r="B28" s="52" t="inlineStr">
        <is>
          <t>2026-10-08 03:45</t>
        </is>
      </c>
      <c r="C28" s="52" t="inlineStr">
        <is>
          <t>RBI Rate Hike Triggers Market Sell-Off; Sensex Drops 429 Pts, Nifty Slips Below 22,650</t>
        </is>
      </c>
      <c r="D28" s="52" t="inlineStr">
        <is>
          <t>The Indian Awaaz</t>
        </is>
      </c>
      <c r="E28" s="82" t="n">
        <v>0.077</v>
      </c>
      <c r="F28" s="52" t="inlineStr">
        <is>
          <t>Neutral</t>
        </is>
      </c>
      <c r="G28" s="83" t="inlineStr">
        <is>
          <t>open ↗</t>
        </is>
      </c>
    </row>
    <row r="29">
      <c r="A29" s="52" t="inlineStr">
        <is>
          <t>MARKET</t>
        </is>
      </c>
      <c r="B29" s="52" t="inlineStr">
        <is>
          <t>2026-10-08 03:35</t>
        </is>
      </c>
      <c r="C29" s="52" t="inlineStr">
        <is>
          <t>Stock Market Today: All You Need To Know Before Going Into Trade On Oct 8</t>
        </is>
      </c>
      <c r="D29" s="52" t="inlineStr">
        <is>
          <t>NDTV Profit</t>
        </is>
      </c>
      <c r="E29" s="82" t="n">
        <v>0</v>
      </c>
      <c r="F29" s="52" t="inlineStr">
        <is>
          <t>Neutral</t>
        </is>
      </c>
      <c r="G29" s="83" t="inlineStr">
        <is>
          <t>open ↗</t>
        </is>
      </c>
    </row>
    <row r="30">
      <c r="A30" s="52" t="inlineStr">
        <is>
          <t>LAURUSLABS</t>
        </is>
      </c>
      <c r="B30" s="52" t="inlineStr">
        <is>
          <t>2026-10-08 02:26</t>
        </is>
      </c>
      <c r="C30" s="52" t="inlineStr">
        <is>
          <t>Trade Spotlight: How should you trade PNB Housing, Adani Green Energy, Leela Palaces Hotels, MCX India, Restaurant Brands Asia, and others on October 8?</t>
        </is>
      </c>
      <c r="D30" s="52" t="inlineStr">
        <is>
          <t>TradingView</t>
        </is>
      </c>
      <c r="E30" s="82" t="n">
        <v>0.273</v>
      </c>
      <c r="F30" s="52" t="inlineStr">
        <is>
          <t>Positive</t>
        </is>
      </c>
      <c r="G30" s="83" t="inlineStr">
        <is>
          <t>open ↗</t>
        </is>
      </c>
    </row>
    <row r="31">
      <c r="A31" s="52" t="inlineStr">
        <is>
          <t>MARKET</t>
        </is>
      </c>
      <c r="B31" s="52" t="inlineStr">
        <is>
          <t>2026-10-08 02:23</t>
        </is>
      </c>
      <c r="C31" s="52" t="inlineStr">
        <is>
          <t>India's Sensex slumps to 32-month low on oil surge, foreign exodus</t>
        </is>
      </c>
      <c r="D31" s="52" t="inlineStr">
        <is>
          <t>Reuters</t>
        </is>
      </c>
      <c r="E31" s="82" t="n">
        <v>-0.273</v>
      </c>
      <c r="F31" s="52" t="inlineStr">
        <is>
          <t>Negative</t>
        </is>
      </c>
      <c r="G31" s="83" t="inlineStr">
        <is>
          <t>open ↗</t>
        </is>
      </c>
    </row>
    <row r="32">
      <c r="A32" s="52" t="inlineStr">
        <is>
          <t>MARKET</t>
        </is>
      </c>
      <c r="B32" s="52" t="inlineStr">
        <is>
          <t>2026-10-08 02:10</t>
        </is>
      </c>
      <c r="C32" s="52" t="inlineStr">
        <is>
          <t>Indian stock markets today: Sensex, Nifty likely to open weak</t>
        </is>
      </c>
      <c r="D32" s="52" t="inlineStr">
        <is>
          <t>BusinessLine</t>
        </is>
      </c>
      <c r="E32" s="82" t="n">
        <v>0.026</v>
      </c>
      <c r="F32" s="52" t="inlineStr">
        <is>
          <t>Neutral</t>
        </is>
      </c>
      <c r="G32" s="83" t="inlineStr">
        <is>
          <t>open ↗</t>
        </is>
      </c>
    </row>
    <row r="33">
      <c r="A33" s="52" t="inlineStr">
        <is>
          <t>MARKET</t>
        </is>
      </c>
      <c r="B33" s="52" t="inlineStr">
        <is>
          <t>2026-10-08 01:37</t>
        </is>
      </c>
      <c r="C33" s="52" t="inlineStr">
        <is>
          <t>Stock Market Today: Gift Nifty, US Fed Minutes To Dollar — Five Key Factors For Sensex, Nifty 50 On October 8</t>
        </is>
      </c>
      <c r="D33" s="52" t="inlineStr">
        <is>
          <t>NDTV Profit</t>
        </is>
      </c>
      <c r="E33" s="82" t="n">
        <v>0.8070000000000001</v>
      </c>
      <c r="F33" s="52" t="inlineStr">
        <is>
          <t>Positive</t>
        </is>
      </c>
      <c r="G33" s="83" t="inlineStr">
        <is>
          <t>open ↗</t>
        </is>
      </c>
    </row>
    <row r="34">
      <c r="A34" s="52" t="inlineStr">
        <is>
          <t>MARKET</t>
        </is>
      </c>
      <c r="B34" s="52" t="inlineStr">
        <is>
          <t>2026-10-08 01:20</t>
        </is>
      </c>
      <c r="C34" s="52" t="inlineStr">
        <is>
          <t>Stock market outlook today, 8 Oct: Sensex, Nifty prediction - DJIA, S&amp;P, NASDAQ, GIFT Nifty, Nikkei, Kospi, Taiwan cues</t>
        </is>
      </c>
      <c r="D34" s="52" t="inlineStr">
        <is>
          <t>Livemint</t>
        </is>
      </c>
      <c r="E34" s="82" t="n">
        <v>0.842</v>
      </c>
      <c r="F34" s="52" t="inlineStr">
        <is>
          <t>Positive</t>
        </is>
      </c>
      <c r="G34" s="83" t="inlineStr">
        <is>
          <t>open ↗</t>
        </is>
      </c>
    </row>
    <row r="35">
      <c r="A35" s="52" t="inlineStr">
        <is>
          <t>RRKABEL</t>
        </is>
      </c>
      <c r="B35" s="52" t="inlineStr">
        <is>
          <t>2026-10-07 23:11</t>
        </is>
      </c>
      <c r="C35" s="52" t="inlineStr">
        <is>
          <t>RR Kabel Share Price Falls 2.4%: Valuation Check</t>
        </is>
      </c>
      <c r="D35" s="52" t="inlineStr">
        <is>
          <t>Univest</t>
        </is>
      </c>
      <c r="E35" s="82" t="n">
        <v>-0.382</v>
      </c>
      <c r="F35" s="52" t="inlineStr">
        <is>
          <t>Negative</t>
        </is>
      </c>
      <c r="G35" s="83" t="inlineStr">
        <is>
          <t>open ↗</t>
        </is>
      </c>
    </row>
    <row r="36">
      <c r="A36" s="52" t="inlineStr">
        <is>
          <t>MARKET</t>
        </is>
      </c>
      <c r="B36" s="52" t="inlineStr">
        <is>
          <t>2026-10-07 11:12</t>
        </is>
      </c>
      <c r="C36" s="52" t="inlineStr">
        <is>
          <t>Stock Market Today: Sensex Falls 429 Points, Nifty Below 22,650 After RBI Rate Hike</t>
        </is>
      </c>
      <c r="D36" s="52" t="inlineStr">
        <is>
          <t>APAC Media</t>
        </is>
      </c>
      <c r="E36" s="82" t="n">
        <v>0.026</v>
      </c>
      <c r="F36" s="52" t="inlineStr">
        <is>
          <t>Neutral</t>
        </is>
      </c>
      <c r="G36" s="83" t="inlineStr">
        <is>
          <t>open ↗</t>
        </is>
      </c>
    </row>
    <row r="37">
      <c r="A37" s="52" t="inlineStr">
        <is>
          <t>MARKET</t>
        </is>
      </c>
      <c r="B37" s="52" t="inlineStr">
        <is>
          <t>2026-10-07 11:05</t>
        </is>
      </c>
      <c r="C37" s="52" t="inlineStr">
        <is>
          <t>Small-cap stock under Rs.50: IT share jumps 14% despite volatility in Sensex, Nifty 50</t>
        </is>
      </c>
      <c r="D37" s="52" t="inlineStr">
        <is>
          <t>TradingView</t>
        </is>
      </c>
      <c r="E37" s="82" t="n">
        <v>0.6909999999999999</v>
      </c>
      <c r="F37" s="52" t="inlineStr">
        <is>
          <t>Positive</t>
        </is>
      </c>
      <c r="G37" s="83" t="inlineStr">
        <is>
          <t>open ↗</t>
        </is>
      </c>
    </row>
    <row r="38">
      <c r="A38" s="52" t="inlineStr">
        <is>
          <t>MARKET</t>
        </is>
      </c>
      <c r="B38" s="52" t="inlineStr">
        <is>
          <t>2026-10-07 11:02</t>
        </is>
      </c>
      <c r="C38" s="52" t="inlineStr">
        <is>
          <t>RBI MPC 25 bps rate hike impact on stock market: Sensex, Nifty crash - Experts reveal what investors should do now</t>
        </is>
      </c>
      <c r="D38" s="52" t="inlineStr">
        <is>
          <t>Livemint</t>
        </is>
      </c>
      <c r="E38" s="82" t="n">
        <v>-0.273</v>
      </c>
      <c r="F38" s="52" t="inlineStr">
        <is>
          <t>Negative</t>
        </is>
      </c>
      <c r="G38" s="83" t="inlineStr">
        <is>
          <t>open ↗</t>
        </is>
      </c>
    </row>
    <row r="39">
      <c r="A39" s="52" t="inlineStr">
        <is>
          <t>MARKET</t>
        </is>
      </c>
      <c r="B39" s="52" t="inlineStr">
        <is>
          <t>2026-10-07 10:32</t>
        </is>
      </c>
      <c r="C39" s="52" t="inlineStr">
        <is>
          <t>Sensex Today Ends 429 Points Lower | Nifty Below 22,650 | NALCO Down 5%</t>
        </is>
      </c>
      <c r="D39" s="52" t="inlineStr">
        <is>
          <t>Equitymaster</t>
        </is>
      </c>
      <c r="E39" s="82" t="n">
        <v>0.226</v>
      </c>
      <c r="F39" s="52" t="inlineStr">
        <is>
          <t>Positive</t>
        </is>
      </c>
      <c r="G39" s="83" t="inlineStr">
        <is>
          <t>open ↗</t>
        </is>
      </c>
    </row>
    <row r="40">
      <c r="A40" s="52" t="inlineStr">
        <is>
          <t>MARKET</t>
        </is>
      </c>
      <c r="B40" s="52" t="inlineStr">
        <is>
          <t>2026-10-07 10:31</t>
        </is>
      </c>
      <c r="C40" s="52" t="inlineStr">
        <is>
          <t>Nifty, Sensex end lower amid RBI rate hike, rupee hits 5-month low</t>
        </is>
      </c>
      <c r="D40" s="52" t="inlineStr">
        <is>
          <t>ANI News</t>
        </is>
      </c>
      <c r="E40" s="82" t="n">
        <v>-0.202</v>
      </c>
      <c r="F40" s="52" t="inlineStr">
        <is>
          <t>Negative</t>
        </is>
      </c>
      <c r="G40" s="83" t="inlineStr">
        <is>
          <t>open ↗</t>
        </is>
      </c>
    </row>
    <row r="41">
      <c r="A41" s="52" t="inlineStr">
        <is>
          <t>MARKET</t>
        </is>
      </c>
      <c r="B41" s="52" t="inlineStr">
        <is>
          <t>2026-10-07 10:27</t>
        </is>
      </c>
      <c r="C41" s="52" t="inlineStr">
        <is>
          <t>Stock market prediction for today: Sensex, Nifty outlook for Thursday | Kospi, Taiwan cues to watch | 8 Oct 2026</t>
        </is>
      </c>
      <c r="D41" s="52" t="inlineStr">
        <is>
          <t>Livemint</t>
        </is>
      </c>
      <c r="E41" s="82" t="n">
        <v>0.402</v>
      </c>
      <c r="F41" s="52" t="inlineStr">
        <is>
          <t>Positive</t>
        </is>
      </c>
      <c r="G41" s="83" t="inlineStr">
        <is>
          <t>open ↗</t>
        </is>
      </c>
    </row>
    <row r="42">
      <c r="A42" s="52" t="inlineStr">
        <is>
          <t>MARKET</t>
        </is>
      </c>
      <c r="B42" s="52" t="inlineStr">
        <is>
          <t>2026-10-07 10:24</t>
        </is>
      </c>
      <c r="C42" s="52" t="inlineStr">
        <is>
          <t>RBI rate hike shakes Indian markets: Sensex, Nifty end lower amid renewed tightening concerns</t>
        </is>
      </c>
      <c r="D42" s="52" t="inlineStr">
        <is>
          <t>The New Indian Express</t>
        </is>
      </c>
      <c r="E42" s="82" t="n">
        <v>0.226</v>
      </c>
      <c r="F42" s="52" t="inlineStr">
        <is>
          <t>Positive</t>
        </is>
      </c>
      <c r="G42" s="83" t="inlineStr">
        <is>
          <t>open ↗</t>
        </is>
      </c>
    </row>
    <row r="43">
      <c r="A43" s="52" t="inlineStr">
        <is>
          <t>AEROFLEX</t>
        </is>
      </c>
      <c r="B43" s="52" t="inlineStr">
        <is>
          <t>2026-10-07 08:47</t>
        </is>
      </c>
      <c r="C43" s="52" t="inlineStr">
        <is>
          <t>Aeroflex Enterprises Slips 2.72% to ₹128.96 — Range Support at ₹122.51 in Focus - Triangle Correction</t>
        </is>
      </c>
      <c r="D43" s="52" t="inlineStr">
        <is>
          <t>https://www.siam.in/</t>
        </is>
      </c>
      <c r="E43" s="82" t="n">
        <v>0.077</v>
      </c>
      <c r="F43" s="52" t="inlineStr">
        <is>
          <t>Neutral</t>
        </is>
      </c>
      <c r="G43" s="83" t="inlineStr">
        <is>
          <t>open ↗</t>
        </is>
      </c>
    </row>
    <row r="44">
      <c r="A44" s="52" t="inlineStr">
        <is>
          <t>MARKET</t>
        </is>
      </c>
      <c r="B44" s="52" t="inlineStr">
        <is>
          <t>2026-10-07 08:05</t>
        </is>
      </c>
      <c r="C44" s="52" t="inlineStr">
        <is>
          <t>RBI MPC 25 bps rate hike impact on stock market: Sensex, Nifty fall - Experts reveal what investors should do now</t>
        </is>
      </c>
      <c r="D44" s="52" t="inlineStr">
        <is>
          <t>TradingView</t>
        </is>
      </c>
      <c r="E44" s="82" t="n">
        <v>0.077</v>
      </c>
      <c r="F44" s="52" t="inlineStr">
        <is>
          <t>Neutral</t>
        </is>
      </c>
      <c r="G44" s="83" t="inlineStr">
        <is>
          <t>open ↗</t>
        </is>
      </c>
    </row>
    <row r="45">
      <c r="A45" s="52" t="inlineStr">
        <is>
          <t>MARKET</t>
        </is>
      </c>
      <c r="B45" s="52" t="inlineStr">
        <is>
          <t>2026-10-07 07:58</t>
        </is>
      </c>
      <c r="C45" s="52" t="inlineStr">
        <is>
          <t>Bank stocks rebound as RBI hikes repo rate; Sensex, Nifty trim early losses</t>
        </is>
      </c>
      <c r="D45" s="52" t="inlineStr">
        <is>
          <t>The Federal</t>
        </is>
      </c>
      <c r="E45" s="82" t="n">
        <v>-0.026</v>
      </c>
      <c r="F45" s="52" t="inlineStr">
        <is>
          <t>Neutral</t>
        </is>
      </c>
      <c r="G45" s="83" t="inlineStr">
        <is>
          <t>open ↗</t>
        </is>
      </c>
    </row>
    <row r="46">
      <c r="A46" s="52" t="inlineStr">
        <is>
          <t>MARKET</t>
        </is>
      </c>
      <c r="B46" s="52" t="inlineStr">
        <is>
          <t>2026-10-07 07:37</t>
        </is>
      </c>
      <c r="C46" s="52" t="inlineStr">
        <is>
          <t>Nifty, Sensex pare losses; banks stage recovery as RBI turns hawkish</t>
        </is>
      </c>
      <c r="D46" s="52" t="inlineStr">
        <is>
          <t>Fortune India</t>
        </is>
      </c>
      <c r="E46" s="82" t="n">
        <v>-0.026</v>
      </c>
      <c r="F46" s="52" t="inlineStr">
        <is>
          <t>Neutral</t>
        </is>
      </c>
      <c r="G46" s="83" t="inlineStr">
        <is>
          <t>open ↗</t>
        </is>
      </c>
    </row>
    <row r="47">
      <c r="A47" s="52" t="inlineStr">
        <is>
          <t>MARKET</t>
        </is>
      </c>
      <c r="B47" s="52" t="inlineStr">
        <is>
          <t>2026-10-07 06:46</t>
        </is>
      </c>
      <c r="C47" s="52" t="inlineStr">
        <is>
          <t>Markets fall in early trade after two days of rally; Sensex falls 460 points</t>
        </is>
      </c>
      <c r="D47" s="52" t="inlineStr">
        <is>
          <t>The Hindu</t>
        </is>
      </c>
      <c r="E47" s="82" t="n">
        <v>-0.25</v>
      </c>
      <c r="F47" s="52" t="inlineStr">
        <is>
          <t>Negative</t>
        </is>
      </c>
      <c r="G47" s="83" t="inlineStr">
        <is>
          <t>open ↗</t>
        </is>
      </c>
    </row>
    <row r="48">
      <c r="A48" s="52" t="inlineStr">
        <is>
          <t>RRKABEL</t>
        </is>
      </c>
      <c r="B48" s="52" t="inlineStr">
        <is>
          <t>2026-10-07 06:21</t>
        </is>
      </c>
      <c r="C48" s="52" t="inlineStr">
        <is>
          <t>Nuvama initiates coverage on RR Kabel with ‘Buy’: Sees 20% upside on export surge</t>
        </is>
      </c>
      <c r="D48" s="52" t="inlineStr">
        <is>
          <t>The Financial Express</t>
        </is>
      </c>
      <c r="E48" s="82" t="n">
        <v>0.718</v>
      </c>
      <c r="F48" s="52" t="inlineStr">
        <is>
          <t>Positive</t>
        </is>
      </c>
      <c r="G48" s="83" t="inlineStr">
        <is>
          <t>open ↗</t>
        </is>
      </c>
    </row>
    <row r="49">
      <c r="A49" s="52" t="inlineStr">
        <is>
          <t>MARKET</t>
        </is>
      </c>
      <c r="B49" s="52" t="inlineStr">
        <is>
          <t>2026-10-07 05:29</t>
        </is>
      </c>
      <c r="C49" s="52" t="inlineStr">
        <is>
          <t>Stock Markets Today: Sensex, Nifty Decline as Crude Prices Surge</t>
        </is>
      </c>
      <c r="D49" s="52" t="inlineStr">
        <is>
          <t>Rediff</t>
        </is>
      </c>
      <c r="E49" s="82" t="n">
        <v>-0.103</v>
      </c>
      <c r="F49" s="52" t="inlineStr">
        <is>
          <t>Neutral</t>
        </is>
      </c>
      <c r="G49" s="83" t="inlineStr">
        <is>
          <t>open ↗</t>
        </is>
      </c>
    </row>
    <row r="50">
      <c r="A50" s="52" t="inlineStr">
        <is>
          <t>MARKET</t>
        </is>
      </c>
      <c r="B50" s="52" t="inlineStr">
        <is>
          <t>2026-10-07 05:19</t>
        </is>
      </c>
      <c r="C50" s="52" t="inlineStr">
        <is>
          <t>Stock Market Open Report Today, October 7, 2026: Sensex, Nifty Decline as RBI Hikes Repo Rate by 25 bps to 5.50%</t>
        </is>
      </c>
      <c r="D50" s="52" t="inlineStr">
        <is>
          <t>HDFC Sky</t>
        </is>
      </c>
      <c r="E50" s="82" t="n">
        <v>0.026</v>
      </c>
      <c r="F50" s="52" t="inlineStr">
        <is>
          <t>Neutral</t>
        </is>
      </c>
      <c r="G50" s="83" t="inlineStr">
        <is>
          <t>open ↗</t>
        </is>
      </c>
    </row>
    <row r="51">
      <c r="A51" s="52" t="inlineStr">
        <is>
          <t>MARKET</t>
        </is>
      </c>
      <c r="B51" s="52" t="inlineStr">
        <is>
          <t>2026-10-07 04:59</t>
        </is>
      </c>
      <c r="C51" s="52" t="inlineStr">
        <is>
          <t>Sensex rises 450 pts from day's low, Nifty above 22,700: Key reasons behind sharp market recovery</t>
        </is>
      </c>
      <c r="D51" s="52" t="inlineStr">
        <is>
          <t>Moneycontrol.com</t>
        </is>
      </c>
      <c r="E51" s="82" t="n">
        <v>0.153</v>
      </c>
      <c r="F51" s="52" t="inlineStr">
        <is>
          <t>Neutral</t>
        </is>
      </c>
      <c r="G51" s="83" t="inlineStr">
        <is>
          <t>open ↗</t>
        </is>
      </c>
    </row>
    <row r="52">
      <c r="A52" s="52" t="inlineStr">
        <is>
          <t>MARKET</t>
        </is>
      </c>
      <c r="B52" s="52" t="inlineStr">
        <is>
          <t>2026-10-07 04:57</t>
        </is>
      </c>
      <c r="C52" s="52" t="inlineStr">
        <is>
          <t>Stock Markets Today: Sensex, Nifty Decline After Two Days Of Rally</t>
        </is>
      </c>
      <c r="D52" s="52" t="inlineStr">
        <is>
          <t>ETV Bharat</t>
        </is>
      </c>
      <c r="E52" s="82" t="n">
        <v>0.477</v>
      </c>
      <c r="F52" s="52" t="inlineStr">
        <is>
          <t>Positive</t>
        </is>
      </c>
      <c r="G52" s="83" t="inlineStr">
        <is>
          <t>open ↗</t>
        </is>
      </c>
    </row>
    <row r="53">
      <c r="A53" s="52" t="inlineStr">
        <is>
          <t>MARKET</t>
        </is>
      </c>
      <c r="B53" s="52" t="inlineStr">
        <is>
          <t>2026-10-07 04:44</t>
        </is>
      </c>
      <c r="C53" s="52" t="inlineStr">
        <is>
          <t>Sensex Today Trades Lower | Nifty Below 22,650 | Asian Paints &amp; Axis Bank Top Losers</t>
        </is>
      </c>
      <c r="D53" s="52" t="inlineStr">
        <is>
          <t>Equitymaster</t>
        </is>
      </c>
      <c r="E53" s="82" t="n">
        <v>-0.178</v>
      </c>
      <c r="F53" s="52" t="inlineStr">
        <is>
          <t>Neutral</t>
        </is>
      </c>
      <c r="G53" s="83" t="inlineStr">
        <is>
          <t>open ↗</t>
        </is>
      </c>
    </row>
    <row r="54">
      <c r="A54" s="52" t="inlineStr">
        <is>
          <t>MARKET</t>
        </is>
      </c>
      <c r="B54" s="52" t="inlineStr">
        <is>
          <t>2026-10-07 04:33</t>
        </is>
      </c>
      <c r="C54" s="52" t="inlineStr">
        <is>
          <t>Nifty, Sensex open in pressure ahead of RBI policy as investors cautious on growth-inflation dynamics</t>
        </is>
      </c>
      <c r="D54" s="52" t="inlineStr">
        <is>
          <t>ChiniMandi</t>
        </is>
      </c>
      <c r="E54" s="82" t="n">
        <v>0.296</v>
      </c>
      <c r="F54" s="52" t="inlineStr">
        <is>
          <t>Positive</t>
        </is>
      </c>
      <c r="G54" s="83" t="inlineStr">
        <is>
          <t>open ↗</t>
        </is>
      </c>
    </row>
    <row r="55">
      <c r="A55" s="52" t="inlineStr">
        <is>
          <t>E2E</t>
        </is>
      </c>
      <c r="B55" s="52" t="inlineStr">
        <is>
          <t>2026-10-07 04:06</t>
        </is>
      </c>
      <c r="C55" s="52" t="inlineStr">
        <is>
          <t>E2E Networks Share Price hits fresh 52-week high at Rs 720</t>
        </is>
      </c>
      <c r="D55" s="52" t="inlineStr">
        <is>
          <t>Univest</t>
        </is>
      </c>
      <c r="E55" s="82" t="n">
        <v>0.361</v>
      </c>
      <c r="F55" s="52" t="inlineStr">
        <is>
          <t>Positive</t>
        </is>
      </c>
      <c r="G55" s="83" t="inlineStr">
        <is>
          <t>open ↗</t>
        </is>
      </c>
    </row>
    <row r="56">
      <c r="A56" s="52" t="inlineStr">
        <is>
          <t>MARKET</t>
        </is>
      </c>
      <c r="B56" s="52" t="inlineStr">
        <is>
          <t>2026-10-07 03:58</t>
        </is>
      </c>
      <c r="C56" s="52" t="inlineStr">
        <is>
          <t>Why is stock market down today? Sensex crashes 500 points - Top 3 factors behind market selloff explained</t>
        </is>
      </c>
      <c r="D56" s="52" t="inlineStr">
        <is>
          <t>Livemint</t>
        </is>
      </c>
      <c r="E56" s="82" t="n">
        <v>0.202</v>
      </c>
      <c r="F56" s="52" t="inlineStr">
        <is>
          <t>Positive</t>
        </is>
      </c>
      <c r="G56" s="83" t="inlineStr">
        <is>
          <t>open ↗</t>
        </is>
      </c>
    </row>
    <row r="57">
      <c r="A57" s="52" t="inlineStr">
        <is>
          <t>MARKET</t>
        </is>
      </c>
      <c r="B57" s="52" t="inlineStr">
        <is>
          <t>2026-10-07 03:58</t>
        </is>
      </c>
      <c r="C57" s="52" t="inlineStr">
        <is>
          <t>Sensex settles 400 pts lower, Nifty ends near 22,600: RBI rate hike among key factors behind market...</t>
        </is>
      </c>
      <c r="D57" s="52" t="inlineStr">
        <is>
          <t>Moneycontrol.com</t>
        </is>
      </c>
      <c r="E57" s="82" t="n">
        <v>0.226</v>
      </c>
      <c r="F57" s="52" t="inlineStr">
        <is>
          <t>Positive</t>
        </is>
      </c>
      <c r="G57" s="83" t="inlineStr">
        <is>
          <t>open ↗</t>
        </is>
      </c>
    </row>
    <row r="58">
      <c r="A58" s="52" t="inlineStr">
        <is>
          <t>LAURUSLABS</t>
        </is>
      </c>
      <c r="B58" s="52" t="inlineStr">
        <is>
          <t>2026-10-07 03:52</t>
        </is>
      </c>
      <c r="C58" s="52" t="inlineStr">
        <is>
          <t>Laurus stock funds renewable investment as earnings stay strong</t>
        </is>
      </c>
      <c r="D58" s="52" t="inlineStr">
        <is>
          <t>AD HOC NEWS</t>
        </is>
      </c>
      <c r="E58" s="82" t="n">
        <v>0.382</v>
      </c>
      <c r="F58" s="52" t="inlineStr">
        <is>
          <t>Positive</t>
        </is>
      </c>
      <c r="G58" s="83" t="inlineStr">
        <is>
          <t>open ↗</t>
        </is>
      </c>
    </row>
    <row r="59">
      <c r="A59" s="52" t="inlineStr">
        <is>
          <t>LAURUSLABS</t>
        </is>
      </c>
      <c r="B59" s="52" t="inlineStr">
        <is>
          <t>2026-10-07 02:24</t>
        </is>
      </c>
      <c r="C59" s="52" t="inlineStr">
        <is>
          <t>Trade Spotlight: How should you trade Laurus Labs, BHEL, ACME Solar Holdings, Indian Hotels, Britannia,...</t>
        </is>
      </c>
      <c r="D59" s="52" t="inlineStr">
        <is>
          <t>Moneycontrol.com</t>
        </is>
      </c>
      <c r="E59" s="82" t="n">
        <v>0</v>
      </c>
      <c r="F59" s="52" t="inlineStr">
        <is>
          <t>Neutral</t>
        </is>
      </c>
      <c r="G59" s="83" t="inlineStr">
        <is>
          <t>open ↗</t>
        </is>
      </c>
    </row>
    <row r="60">
      <c r="A60" s="52" t="inlineStr">
        <is>
          <t>MARKET</t>
        </is>
      </c>
      <c r="B60" s="52" t="inlineStr">
        <is>
          <t>2026-10-07 01:45</t>
        </is>
      </c>
      <c r="C60" s="52" t="inlineStr">
        <is>
          <t>Stock market outlook today, 7 Oct: Sensex, Nifty prediction - DJIA, S&amp;P, NASDAQ, GIFT Nifty, Nikkei, Kospi, Taiwan cues</t>
        </is>
      </c>
      <c r="D60" s="52" t="inlineStr">
        <is>
          <t>Livemint</t>
        </is>
      </c>
      <c r="E60" s="82" t="n">
        <v>0.842</v>
      </c>
      <c r="F60" s="52" t="inlineStr">
        <is>
          <t>Positive</t>
        </is>
      </c>
      <c r="G60" s="83" t="inlineStr">
        <is>
          <t>open ↗</t>
        </is>
      </c>
    </row>
    <row r="61">
      <c r="A61" s="52" t="inlineStr">
        <is>
          <t>MARKET</t>
        </is>
      </c>
      <c r="B61" s="52" t="inlineStr">
        <is>
          <t>2026-10-07 01:28</t>
        </is>
      </c>
      <c r="C61" s="52" t="inlineStr">
        <is>
          <t>Stock Market Today: Gift Nifty, RBI Policy To Gold Rate — Five Key Factors For Sensex, Nifty 50 On October 7</t>
        </is>
      </c>
      <c r="D61" s="52" t="inlineStr">
        <is>
          <t>NDTV Profit</t>
        </is>
      </c>
      <c r="E61" s="82" t="n">
        <v>0.8070000000000001</v>
      </c>
      <c r="F61" s="52" t="inlineStr">
        <is>
          <t>Positive</t>
        </is>
      </c>
      <c r="G61" s="83" t="inlineStr">
        <is>
          <t>open ↗</t>
        </is>
      </c>
    </row>
    <row r="62">
      <c r="A62" s="52" t="inlineStr">
        <is>
          <t>MARKET</t>
        </is>
      </c>
      <c r="B62" s="52" t="inlineStr">
        <is>
          <t>2026-10-07 00:30</t>
        </is>
      </c>
      <c r="C62" s="52" t="inlineStr">
        <is>
          <t>RBL Bank Q2 FY27 Results | Laser Power Wins Transmission Infrastructure Contract | Top Buzzing Stocks Today</t>
        </is>
      </c>
      <c r="D62" s="52" t="inlineStr">
        <is>
          <t>Equitymaster</t>
        </is>
      </c>
      <c r="E62" s="82" t="n">
        <v>0.66</v>
      </c>
      <c r="F62" s="52" t="inlineStr">
        <is>
          <t>Positive</t>
        </is>
      </c>
      <c r="G62" s="83" t="inlineStr">
        <is>
          <t>open ↗</t>
        </is>
      </c>
    </row>
    <row r="63">
      <c r="A63" s="52" t="inlineStr">
        <is>
          <t>RRKABEL</t>
        </is>
      </c>
      <c r="B63" s="52" t="inlineStr">
        <is>
          <t>2026-10-06 16:08</t>
        </is>
      </c>
      <c r="C63" s="52" t="inlineStr">
        <is>
          <t>RR Kabel - Nuvama Wealth Management among 5 stocks showing RSI trending up</t>
        </is>
      </c>
      <c r="D63" s="52" t="inlineStr">
        <is>
          <t>The Economic Times</t>
        </is>
      </c>
      <c r="E63" s="82" t="n">
        <v>0.494</v>
      </c>
      <c r="F63" s="52" t="inlineStr">
        <is>
          <t>Positive</t>
        </is>
      </c>
      <c r="G63" s="83" t="inlineStr">
        <is>
          <t>open ↗</t>
        </is>
      </c>
    </row>
    <row r="64">
      <c r="A64" s="52" t="inlineStr">
        <is>
          <t>MARKET</t>
        </is>
      </c>
      <c r="B64" s="52" t="inlineStr">
        <is>
          <t>2026-10-06 15:40</t>
        </is>
      </c>
      <c r="C64" s="52" t="inlineStr">
        <is>
          <t>Ahead of Market: 10 things that will decide stock market action on Wednesday</t>
        </is>
      </c>
      <c r="D64" s="52" t="inlineStr">
        <is>
          <t>The Economic Times</t>
        </is>
      </c>
      <c r="E64" s="82" t="n">
        <v>0</v>
      </c>
      <c r="F64" s="52" t="inlineStr">
        <is>
          <t>Neutral</t>
        </is>
      </c>
      <c r="G64" s="83" t="inlineStr">
        <is>
          <t>open ↗</t>
        </is>
      </c>
    </row>
    <row r="65">
      <c r="A65" s="52" t="inlineStr">
        <is>
          <t>MARKET</t>
        </is>
      </c>
      <c r="B65" s="52" t="inlineStr">
        <is>
          <t>2026-10-06 14:33</t>
        </is>
      </c>
      <c r="C65" s="52" t="inlineStr">
        <is>
          <t>Sensex, Nifty close higher ahead of RBI policy outcome; capital goods, banks, pharma stocks lead gains - BusinessToday</t>
        </is>
      </c>
      <c r="D65" s="52" t="inlineStr">
        <is>
          <t>IndiaIPO</t>
        </is>
      </c>
      <c r="E65" s="82" t="n">
        <v>0.649</v>
      </c>
      <c r="F65" s="52" t="inlineStr">
        <is>
          <t>Positive</t>
        </is>
      </c>
      <c r="G65" s="83" t="inlineStr">
        <is>
          <t>open ↗</t>
        </is>
      </c>
    </row>
    <row r="66">
      <c r="A66" s="52" t="inlineStr">
        <is>
          <t>LAURUSLABS</t>
        </is>
      </c>
      <c r="B66" s="52" t="inlineStr">
        <is>
          <t>2026-10-06 12:59</t>
        </is>
      </c>
      <c r="C66" s="52" t="inlineStr">
        <is>
          <t>Laurus Labs invests ₹12.09 crore in Kurnool Renewables via rights issue</t>
        </is>
      </c>
      <c r="D66" s="52" t="inlineStr">
        <is>
          <t>scanx.trade</t>
        </is>
      </c>
      <c r="E66" s="82" t="n">
        <v>0</v>
      </c>
      <c r="F66" s="52" t="inlineStr">
        <is>
          <t>Neutral</t>
        </is>
      </c>
      <c r="G66" s="83" t="inlineStr">
        <is>
          <t>open ↗</t>
        </is>
      </c>
    </row>
    <row r="67">
      <c r="A67" s="52" t="inlineStr">
        <is>
          <t>RRKABEL</t>
        </is>
      </c>
      <c r="B67" s="52" t="inlineStr">
        <is>
          <t>2026-10-06 12:08</t>
        </is>
      </c>
      <c r="C67" s="52" t="inlineStr">
        <is>
          <t>RR Kabel - Netweb Technologies among 3 stocks showing White Marubozu Pattern</t>
        </is>
      </c>
      <c r="D67" s="52" t="inlineStr">
        <is>
          <t>The Economic Times</t>
        </is>
      </c>
      <c r="E67" s="82" t="n">
        <v>0</v>
      </c>
      <c r="F67" s="52" t="inlineStr">
        <is>
          <t>Neutral</t>
        </is>
      </c>
      <c r="G67" s="83" t="inlineStr">
        <is>
          <t>open ↗</t>
        </is>
      </c>
    </row>
    <row r="68">
      <c r="A68" s="52" t="inlineStr">
        <is>
          <t>MARKET</t>
        </is>
      </c>
      <c r="B68" s="52" t="inlineStr">
        <is>
          <t>2026-10-06 11:58</t>
        </is>
      </c>
      <c r="C68" s="52" t="inlineStr">
        <is>
          <t>Market wrap: Trent, BSE, Coal India, Tech Mahindra top gainers and losers on Nifty and Sensex on Tuesday</t>
        </is>
      </c>
      <c r="D68" s="52" t="inlineStr">
        <is>
          <t>The Economic Times</t>
        </is>
      </c>
      <c r="E68" s="82" t="n">
        <v>0.026</v>
      </c>
      <c r="F68" s="52" t="inlineStr">
        <is>
          <t>Neutral</t>
        </is>
      </c>
      <c r="G68" s="83" t="inlineStr">
        <is>
          <t>open ↗</t>
        </is>
      </c>
    </row>
    <row r="69">
      <c r="A69" s="52" t="inlineStr">
        <is>
          <t>MARKET</t>
        </is>
      </c>
      <c r="B69" s="52" t="inlineStr">
        <is>
          <t>2026-10-06 11:43</t>
        </is>
      </c>
      <c r="C69" s="52" t="inlineStr">
        <is>
          <t>Indian stocks rebound strongly as Asia firms; RBI decision holds the key to market momentum</t>
        </is>
      </c>
      <c r="D69" s="52" t="inlineStr">
        <is>
          <t>The New Indian Express</t>
        </is>
      </c>
      <c r="E69" s="82" t="n">
        <v>0.273</v>
      </c>
      <c r="F69" s="52" t="inlineStr">
        <is>
          <t>Positive</t>
        </is>
      </c>
      <c r="G69" s="83" t="inlineStr">
        <is>
          <t>open ↗</t>
        </is>
      </c>
    </row>
    <row r="70">
      <c r="A70" s="52" t="inlineStr">
        <is>
          <t>MARKET</t>
        </is>
      </c>
      <c r="B70" s="52" t="inlineStr">
        <is>
          <t>2026-10-06 10:57</t>
        </is>
      </c>
      <c r="C70" s="52" t="inlineStr">
        <is>
          <t>Sensex, Nifty surge on falling crude, bank stocks rally</t>
        </is>
      </c>
      <c r="D70" s="52" t="inlineStr">
        <is>
          <t>Rediff</t>
        </is>
      </c>
      <c r="E70" s="82" t="n">
        <v>0.5570000000000001</v>
      </c>
      <c r="F70" s="52" t="inlineStr">
        <is>
          <t>Positive</t>
        </is>
      </c>
      <c r="G70" s="83" t="inlineStr">
        <is>
          <t>open ↗</t>
        </is>
      </c>
    </row>
    <row r="71">
      <c r="A71" s="52" t="inlineStr">
        <is>
          <t>MARKET</t>
        </is>
      </c>
      <c r="B71" s="52" t="inlineStr">
        <is>
          <t>2026-10-06 10:54</t>
        </is>
      </c>
      <c r="C71" s="52" t="inlineStr">
        <is>
          <t>Why Is the Indian Stock Market Rising Ahead of the RBI MPC?</t>
        </is>
      </c>
      <c r="D71" s="52" t="inlineStr">
        <is>
          <t>Univest</t>
        </is>
      </c>
      <c r="E71" s="82" t="n">
        <v>0</v>
      </c>
      <c r="F71" s="52" t="inlineStr">
        <is>
          <t>Neutral</t>
        </is>
      </c>
      <c r="G71" s="83" t="inlineStr">
        <is>
          <t>open ↗</t>
        </is>
      </c>
    </row>
    <row r="72">
      <c r="A72" s="52" t="inlineStr">
        <is>
          <t>MARKET</t>
        </is>
      </c>
      <c r="B72" s="52" t="inlineStr">
        <is>
          <t>2026-10-06 10:48</t>
        </is>
      </c>
      <c r="C72" s="52" t="inlineStr">
        <is>
          <t>Sensex, Nifty Surge 2nd Day on Easing Oil, Bank Stock Buying</t>
        </is>
      </c>
      <c r="D72" s="52" t="inlineStr">
        <is>
          <t>Rediff MoneyWiz</t>
        </is>
      </c>
      <c r="E72" s="82" t="n">
        <v>0.784</v>
      </c>
      <c r="F72" s="52" t="inlineStr">
        <is>
          <t>Positive</t>
        </is>
      </c>
      <c r="G72" s="83" t="inlineStr">
        <is>
          <t>open ↗</t>
        </is>
      </c>
    </row>
    <row r="73">
      <c r="A73" s="52" t="inlineStr">
        <is>
          <t>MARKET</t>
        </is>
      </c>
      <c r="B73" s="52" t="inlineStr">
        <is>
          <t>2026-10-06 10:35</t>
        </is>
      </c>
      <c r="C73" s="52" t="inlineStr">
        <is>
          <t>Sensex Today Rallies 685 Points | Nifty Above 22,750 | 3 Reasons Why Indian Share Markets Are Rising</t>
        </is>
      </c>
      <c r="D73" s="52" t="inlineStr">
        <is>
          <t>Equitymaster</t>
        </is>
      </c>
      <c r="E73" s="82" t="n">
        <v>0.6909999999999999</v>
      </c>
      <c r="F73" s="52" t="inlineStr">
        <is>
          <t>Positive</t>
        </is>
      </c>
      <c r="G73" s="83" t="inlineStr">
        <is>
          <t>open ↗</t>
        </is>
      </c>
    </row>
    <row r="74">
      <c r="A74" s="52" t="inlineStr">
        <is>
          <t>MARKET</t>
        </is>
      </c>
      <c r="B74" s="52" t="inlineStr">
        <is>
          <t>2026-10-06 10:33</t>
        </is>
      </c>
      <c r="C74" s="52" t="inlineStr">
        <is>
          <t>Sensex, Nifty end higher for 2nd straight day: 5 reasons why market rallied today</t>
        </is>
      </c>
      <c r="D74" s="52" t="inlineStr">
        <is>
          <t>IndiaIPO</t>
        </is>
      </c>
      <c r="E74" s="82" t="n">
        <v>0.5570000000000001</v>
      </c>
      <c r="F74" s="52" t="inlineStr">
        <is>
          <t>Positive</t>
        </is>
      </c>
      <c r="G74" s="83" t="inlineStr">
        <is>
          <t>open ↗</t>
        </is>
      </c>
    </row>
    <row r="75">
      <c r="A75" s="52" t="inlineStr">
        <is>
          <t>E2E</t>
        </is>
      </c>
      <c r="B75" s="52" t="inlineStr">
        <is>
          <t>2026-10-06 10:31</t>
        </is>
      </c>
      <c r="C75" s="52" t="inlineStr">
        <is>
          <t>E2E Networks (NSE:E2E): What Does Its Q2 FY27 Demat Compliance Filing Mean?</t>
        </is>
      </c>
      <c r="D75" s="52" t="inlineStr">
        <is>
          <t>Kalkine India</t>
        </is>
      </c>
      <c r="E75" s="82" t="n">
        <v>0</v>
      </c>
      <c r="F75" s="52" t="inlineStr">
        <is>
          <t>Neutral</t>
        </is>
      </c>
      <c r="G75" s="83" t="inlineStr">
        <is>
          <t>open ↗</t>
        </is>
      </c>
    </row>
    <row r="76">
      <c r="A76" s="52" t="inlineStr">
        <is>
          <t>RRKABEL</t>
        </is>
      </c>
      <c r="B76" s="52" t="inlineStr">
        <is>
          <t>2026-10-06 10:27</t>
        </is>
      </c>
      <c r="C76" s="52" t="inlineStr">
        <is>
          <t>Is R R Kabel the Best Stock in Its Sector? A Look at the Numbers</t>
        </is>
      </c>
      <c r="D76" s="52" t="inlineStr">
        <is>
          <t>Univest</t>
        </is>
      </c>
      <c r="E76" s="82" t="n">
        <v>0.637</v>
      </c>
      <c r="F76" s="52" t="inlineStr">
        <is>
          <t>Positive</t>
        </is>
      </c>
      <c r="G76" s="83" t="inlineStr">
        <is>
          <t>open ↗</t>
        </is>
      </c>
    </row>
    <row r="77">
      <c r="A77" s="52" t="inlineStr">
        <is>
          <t>MARKET</t>
        </is>
      </c>
      <c r="B77" s="52" t="inlineStr">
        <is>
          <t>2026-10-06 10:19</t>
        </is>
      </c>
      <c r="C77" s="52" t="inlineStr">
        <is>
          <t>Stock market prediction for today: Sensex, Nifty outlook for Wednesday | Kospi, Taiwan cues to watch | 7 Oct 2026</t>
        </is>
      </c>
      <c r="D77" s="52" t="inlineStr">
        <is>
          <t>Livemint</t>
        </is>
      </c>
      <c r="E77" s="82" t="n">
        <v>0.402</v>
      </c>
      <c r="F77" s="52" t="inlineStr">
        <is>
          <t>Positive</t>
        </is>
      </c>
      <c r="G77" s="83" t="inlineStr">
        <is>
          <t>open ↗</t>
        </is>
      </c>
    </row>
    <row r="78">
      <c r="A78" s="52" t="inlineStr">
        <is>
          <t>ATHERENERG</t>
        </is>
      </c>
      <c r="B78" s="52" t="inlineStr">
        <is>
          <t>2026-10-06 10:15</t>
        </is>
      </c>
      <c r="C78" s="52" t="inlineStr">
        <is>
          <t>Ather Energy Limited Share Price Today: key price action</t>
        </is>
      </c>
      <c r="D78" s="52" t="inlineStr">
        <is>
          <t>Univest</t>
        </is>
      </c>
      <c r="E78" s="82" t="n">
        <v>0.052</v>
      </c>
      <c r="F78" s="52" t="inlineStr">
        <is>
          <t>Neutral</t>
        </is>
      </c>
      <c r="G78" s="83" t="inlineStr">
        <is>
          <t>open ↗</t>
        </is>
      </c>
    </row>
    <row r="79">
      <c r="A79" s="52" t="inlineStr">
        <is>
          <t>MARKET</t>
        </is>
      </c>
      <c r="B79" s="52" t="inlineStr">
        <is>
          <t>2026-10-06 09:48</t>
        </is>
      </c>
      <c r="C79" s="52" t="inlineStr">
        <is>
          <t>Sensex, Nifty Rally Decoded: Three Big Reasons Fueling The Pre-RBI Policy Upswing</t>
        </is>
      </c>
      <c r="D79" s="52" t="inlineStr">
        <is>
          <t>NDTV Profit</t>
        </is>
      </c>
      <c r="E79" s="82" t="n">
        <v>0.6909999999999999</v>
      </c>
      <c r="F79" s="52" t="inlineStr">
        <is>
          <t>Positive</t>
        </is>
      </c>
      <c r="G79" s="83" t="inlineStr">
        <is>
          <t>open ↗</t>
        </is>
      </c>
    </row>
    <row r="80">
      <c r="A80" s="52" t="inlineStr">
        <is>
          <t>MARKET</t>
        </is>
      </c>
      <c r="B80" s="52" t="inlineStr">
        <is>
          <t>2026-10-06 08:45</t>
        </is>
      </c>
      <c r="C80" s="52" t="inlineStr">
        <is>
          <t>Sensex, Nifty up today: Why is Indian stock market rising ahead of RBI MPC meeting outcome? Explained with 3 reasons</t>
        </is>
      </c>
      <c r="D80" s="52" t="inlineStr">
        <is>
          <t>Livemint</t>
        </is>
      </c>
      <c r="E80" s="82" t="n">
        <v>0.402</v>
      </c>
      <c r="F80" s="52" t="inlineStr">
        <is>
          <t>Positive</t>
        </is>
      </c>
      <c r="G80" s="83" t="inlineStr">
        <is>
          <t>open ↗</t>
        </is>
      </c>
    </row>
    <row r="81">
      <c r="A81" s="52" t="inlineStr">
        <is>
          <t>RRKABEL</t>
        </is>
      </c>
      <c r="B81" s="52" t="inlineStr">
        <is>
          <t>2026-10-06 07:00</t>
        </is>
      </c>
      <c r="C81" s="52" t="inlineStr">
        <is>
          <t>R R Kabel (NSEI:RRKABEL) Stock Forecast &amp; Analyst Predictions</t>
        </is>
      </c>
      <c r="D81" s="52" t="inlineStr">
        <is>
          <t>Simply Wall Street</t>
        </is>
      </c>
      <c r="E81" s="82" t="n">
        <v>0</v>
      </c>
      <c r="F81" s="52" t="inlineStr">
        <is>
          <t>Neutral</t>
        </is>
      </c>
      <c r="G81" s="83" t="inlineStr">
        <is>
          <t>open ↗</t>
        </is>
      </c>
    </row>
    <row r="82">
      <c r="A82" s="52" t="inlineStr">
        <is>
          <t>MARKET</t>
        </is>
      </c>
      <c r="B82" s="52" t="inlineStr">
        <is>
          <t>2026-10-06 05:33</t>
        </is>
      </c>
      <c r="C82" s="52" t="inlineStr">
        <is>
          <t>Stock market outlook today, 6 Oct: Sensex, Nifty prediction - DJIA, S&amp;P, NASDAQ, GIFT Nifty, Nikkei, Taiwan cues</t>
        </is>
      </c>
      <c r="D82" s="52" t="inlineStr">
        <is>
          <t>Livemint</t>
        </is>
      </c>
      <c r="E82" s="82" t="n">
        <v>0.842</v>
      </c>
      <c r="F82" s="52" t="inlineStr">
        <is>
          <t>Positive</t>
        </is>
      </c>
      <c r="G82" s="83" t="inlineStr">
        <is>
          <t>open ↗</t>
        </is>
      </c>
    </row>
    <row r="83">
      <c r="A83" s="52" t="inlineStr">
        <is>
          <t>MARKET</t>
        </is>
      </c>
      <c r="B83" s="52" t="inlineStr">
        <is>
          <t>2026-10-06 05:21</t>
        </is>
      </c>
      <c r="C83" s="52" t="inlineStr">
        <is>
          <t>Stock Markets Today: Sensex, Nifty Higher on Bank Stocks, RIL</t>
        </is>
      </c>
      <c r="D83" s="52" t="inlineStr">
        <is>
          <t>Rediff</t>
        </is>
      </c>
      <c r="E83" s="82" t="n">
        <v>0.402</v>
      </c>
      <c r="F83" s="52" t="inlineStr">
        <is>
          <t>Positive</t>
        </is>
      </c>
      <c r="G83" s="83" t="inlineStr">
        <is>
          <t>open ↗</t>
        </is>
      </c>
    </row>
    <row r="84">
      <c r="A84" s="52" t="inlineStr">
        <is>
          <t>MARKET</t>
        </is>
      </c>
      <c r="B84" s="52" t="inlineStr">
        <is>
          <t>2026-10-06 05:12</t>
        </is>
      </c>
      <c r="C84" s="52" t="inlineStr">
        <is>
          <t>Explained: How RBI rate hike may impact Sensex, Nifty after 8-week losing streak</t>
        </is>
      </c>
      <c r="D84" s="52" t="inlineStr">
        <is>
          <t>The Economic Times</t>
        </is>
      </c>
      <c r="E84" s="82" t="n">
        <v>0.026</v>
      </c>
      <c r="F84" s="52" t="inlineStr">
        <is>
          <t>Neutral</t>
        </is>
      </c>
      <c r="G84" s="83" t="inlineStr">
        <is>
          <t>open ↗</t>
        </is>
      </c>
    </row>
    <row r="85">
      <c r="A85" s="52" t="inlineStr">
        <is>
          <t>RRKABEL</t>
        </is>
      </c>
      <c r="B85" s="52" t="inlineStr">
        <is>
          <t>2026-10-06 05:08</t>
        </is>
      </c>
      <c r="C85" s="52" t="inlineStr">
        <is>
          <t>RR Kabel Ltd. (RRKABEL) Share Price Rise Streak: Stock gains for second straight session</t>
        </is>
      </c>
      <c r="D85" s="52" t="inlineStr">
        <is>
          <t>Univest</t>
        </is>
      </c>
      <c r="E85" s="82" t="n">
        <v>0.542</v>
      </c>
      <c r="F85" s="52" t="inlineStr">
        <is>
          <t>Positive</t>
        </is>
      </c>
      <c r="G85" s="83" t="inlineStr">
        <is>
          <t>open ↗</t>
        </is>
      </c>
    </row>
    <row r="86">
      <c r="A86" s="52" t="inlineStr">
        <is>
          <t>E2E</t>
        </is>
      </c>
      <c r="B86" s="52" t="inlineStr">
        <is>
          <t>2026-10-06 05:00</t>
        </is>
      </c>
      <c r="C86" s="52" t="inlineStr">
        <is>
          <t>E2E Networks Share Price Rise: Market Cap and Valuation</t>
        </is>
      </c>
      <c r="D86" s="52" t="inlineStr">
        <is>
          <t>Univest</t>
        </is>
      </c>
      <c r="E86" s="82" t="n">
        <v>0</v>
      </c>
      <c r="F86" s="52" t="inlineStr">
        <is>
          <t>Neutral</t>
        </is>
      </c>
      <c r="G86" s="83" t="inlineStr">
        <is>
          <t>open ↗</t>
        </is>
      </c>
    </row>
    <row r="87">
      <c r="A87" s="52" t="inlineStr">
        <is>
          <t>MARKET</t>
        </is>
      </c>
      <c r="B87" s="52" t="inlineStr">
        <is>
          <t>2026-10-06 04:59</t>
        </is>
      </c>
      <c r="C87" s="52" t="inlineStr">
        <is>
          <t>Stock markets trade higher led by bank stocks, Reliance Industries</t>
        </is>
      </c>
      <c r="D87" s="52" t="inlineStr">
        <is>
          <t>The New Indian Express</t>
        </is>
      </c>
      <c r="E87" s="82" t="n">
        <v>0</v>
      </c>
      <c r="F87" s="52" t="inlineStr">
        <is>
          <t>Neutral</t>
        </is>
      </c>
      <c r="G87" s="83" t="inlineStr">
        <is>
          <t>open ↗</t>
        </is>
      </c>
    </row>
    <row r="88">
      <c r="A88" s="52" t="inlineStr">
        <is>
          <t>MARKET</t>
        </is>
      </c>
      <c r="B88" s="52" t="inlineStr">
        <is>
          <t>2026-10-06 04:43</t>
        </is>
      </c>
      <c r="C88" s="52" t="inlineStr">
        <is>
          <t>Stock Market Open Report Today, October 6, 2026: Sensex, Nifty Edge Higher as Investors Await RBI Rate Decision</t>
        </is>
      </c>
      <c r="D88" s="52" t="inlineStr">
        <is>
          <t>HDFC Sky</t>
        </is>
      </c>
      <c r="E88" s="82" t="n">
        <v>0.477</v>
      </c>
      <c r="F88" s="52" t="inlineStr">
        <is>
          <t>Positive</t>
        </is>
      </c>
      <c r="G88" s="83" t="inlineStr">
        <is>
          <t>open ↗</t>
        </is>
      </c>
    </row>
    <row r="89">
      <c r="A89" s="52" t="inlineStr">
        <is>
          <t>DIACABS</t>
        </is>
      </c>
      <c r="B89" s="52" t="inlineStr">
        <is>
          <t>2026-10-06 04:41</t>
        </is>
      </c>
      <c r="C89" s="52" t="inlineStr">
        <is>
          <t>Diamond Power Infrastructure Ltd. (DIACABS) Share Price Rise Streak Extends in Second Straight Session</t>
        </is>
      </c>
      <c r="D89" s="52" t="inlineStr">
        <is>
          <t>Univest</t>
        </is>
      </c>
      <c r="E89" s="82" t="n">
        <v>0.586</v>
      </c>
      <c r="F89" s="52" t="inlineStr">
        <is>
          <t>Positive</t>
        </is>
      </c>
      <c r="G89" s="83" t="inlineStr">
        <is>
          <t>open ↗</t>
        </is>
      </c>
    </row>
    <row r="90">
      <c r="A90" s="52" t="inlineStr">
        <is>
          <t>MARKET</t>
        </is>
      </c>
      <c r="B90" s="52" t="inlineStr">
        <is>
          <t>2026-10-06 04:37</t>
        </is>
      </c>
      <c r="C90" s="52" t="inlineStr">
        <is>
          <t>Sensex Today Trades Higher | Nifty Above 22,550 | Asian Paints &amp; Bharti Airtel Top Gainers</t>
        </is>
      </c>
      <c r="D90" s="52" t="inlineStr">
        <is>
          <t>Equitymaster</t>
        </is>
      </c>
      <c r="E90" s="82" t="n">
        <v>0.542</v>
      </c>
      <c r="F90" s="52" t="inlineStr">
        <is>
          <t>Positive</t>
        </is>
      </c>
      <c r="G90" s="83" t="inlineStr">
        <is>
          <t>open ↗</t>
        </is>
      </c>
    </row>
    <row r="91">
      <c r="A91" s="52" t="inlineStr">
        <is>
          <t>MARKET</t>
        </is>
      </c>
      <c r="B91" s="52" t="inlineStr">
        <is>
          <t>2026-10-06 04:36</t>
        </is>
      </c>
      <c r="C91" s="52" t="inlineStr">
        <is>
          <t>Capital markets related stocks in demand: BSE, MOFSL, Groww jump up to 3%</t>
        </is>
      </c>
      <c r="D91" s="52" t="inlineStr">
        <is>
          <t>Business Standard</t>
        </is>
      </c>
      <c r="E91" s="82" t="n">
        <v>0.318</v>
      </c>
      <c r="F91" s="52" t="inlineStr">
        <is>
          <t>Positive</t>
        </is>
      </c>
      <c r="G91" s="83" t="inlineStr">
        <is>
          <t>open ↗</t>
        </is>
      </c>
    </row>
    <row r="92">
      <c r="A92" s="52" t="inlineStr">
        <is>
          <t>E2E</t>
        </is>
      </c>
      <c r="B92" s="52" t="inlineStr">
        <is>
          <t>2026-10-06 04:35</t>
        </is>
      </c>
      <c r="C92" s="52" t="inlineStr">
        <is>
          <t>E2E Networks Share Price Today Near Yearly High at Rs 685</t>
        </is>
      </c>
      <c r="D92" s="52" t="inlineStr">
        <is>
          <t>Univest</t>
        </is>
      </c>
      <c r="E92" s="82" t="n">
        <v>0.202</v>
      </c>
      <c r="F92" s="52" t="inlineStr">
        <is>
          <t>Positive</t>
        </is>
      </c>
      <c r="G92" s="83" t="inlineStr">
        <is>
          <t>open ↗</t>
        </is>
      </c>
    </row>
    <row r="93">
      <c r="A93" s="52" t="inlineStr">
        <is>
          <t>MARKET</t>
        </is>
      </c>
      <c r="B93" s="52" t="inlineStr">
        <is>
          <t>2026-10-06 04:26</t>
        </is>
      </c>
      <c r="C93" s="52" t="inlineStr">
        <is>
          <t>Sensex, Nifty rise as bank stocks gain ahead of RBI policy</t>
        </is>
      </c>
      <c r="D93" s="52" t="inlineStr">
        <is>
          <t>India Today</t>
        </is>
      </c>
      <c r="E93" s="82" t="n">
        <v>0.625</v>
      </c>
      <c r="F93" s="52" t="inlineStr">
        <is>
          <t>Positive</t>
        </is>
      </c>
      <c r="G93" s="83" t="inlineStr">
        <is>
          <t>open ↗</t>
        </is>
      </c>
    </row>
    <row r="94">
      <c r="A94" s="52" t="inlineStr">
        <is>
          <t>MARKET</t>
        </is>
      </c>
      <c r="B94" s="52" t="inlineStr">
        <is>
          <t>2026-10-06 04:22</t>
        </is>
      </c>
      <c r="C94" s="52" t="inlineStr">
        <is>
          <t>SEBI likely to partly reverse CAS rules? BSE, NSE, other capital market stocks rise up to 3%</t>
        </is>
      </c>
      <c r="D94" s="52" t="inlineStr">
        <is>
          <t>Moneycontrol.com</t>
        </is>
      </c>
      <c r="E94" s="82" t="n">
        <v>-0.258</v>
      </c>
      <c r="F94" s="52" t="inlineStr">
        <is>
          <t>Negative</t>
        </is>
      </c>
      <c r="G94" s="83" t="inlineStr">
        <is>
          <t>open ↗</t>
        </is>
      </c>
    </row>
    <row r="95">
      <c r="A95" s="52" t="inlineStr">
        <is>
          <t>MARKET</t>
        </is>
      </c>
      <c r="B95" s="52" t="inlineStr">
        <is>
          <t>2026-10-06 04:09</t>
        </is>
      </c>
      <c r="C95" s="52" t="inlineStr">
        <is>
          <t>Sensex settles 700 pts higher, Nifty ends near 22,800: Buying in private bank shares among key factors...</t>
        </is>
      </c>
      <c r="D95" s="52" t="inlineStr">
        <is>
          <t>Moneycontrol.com</t>
        </is>
      </c>
      <c r="E95" s="82" t="n">
        <v>0.402</v>
      </c>
      <c r="F95" s="52" t="inlineStr">
        <is>
          <t>Positive</t>
        </is>
      </c>
      <c r="G95" s="83" t="inlineStr">
        <is>
          <t>open ↗</t>
        </is>
      </c>
    </row>
    <row r="96">
      <c r="A96" s="52" t="inlineStr">
        <is>
          <t>MARKET</t>
        </is>
      </c>
      <c r="B96" s="52" t="inlineStr">
        <is>
          <t>2026-10-06 04:08</t>
        </is>
      </c>
      <c r="C96" s="52" t="inlineStr">
        <is>
          <t>Sensex rises over 100 points, Nifty above 22,600 as market extends gains. Why caution is warranted</t>
        </is>
      </c>
      <c r="D96" s="52" t="inlineStr">
        <is>
          <t>The Economic Times</t>
        </is>
      </c>
      <c r="E96" s="82" t="n">
        <v>0.7</v>
      </c>
      <c r="F96" s="52" t="inlineStr">
        <is>
          <t>Positive</t>
        </is>
      </c>
      <c r="G96" s="83" t="inlineStr">
        <is>
          <t>open ↗</t>
        </is>
      </c>
    </row>
    <row r="97">
      <c r="A97" s="52" t="inlineStr">
        <is>
          <t>MARKET</t>
        </is>
      </c>
      <c r="B97" s="52" t="inlineStr">
        <is>
          <t>2026-10-06 03:49</t>
        </is>
      </c>
      <c r="C97" s="52" t="inlineStr">
        <is>
          <t>Sensex Opens 78 Points Higher Ahead Of Repo Rate Announcement Tomorrow</t>
        </is>
      </c>
      <c r="D97" s="52" t="inlineStr">
        <is>
          <t>NDTV</t>
        </is>
      </c>
      <c r="E97" s="82" t="n">
        <v>0</v>
      </c>
      <c r="F97" s="52" t="inlineStr">
        <is>
          <t>Neutral</t>
        </is>
      </c>
      <c r="G97" s="83" t="inlineStr">
        <is>
          <t>open ↗</t>
        </is>
      </c>
    </row>
    <row r="98">
      <c r="A98" s="52" t="inlineStr">
        <is>
          <t>MARKET</t>
        </is>
      </c>
      <c r="B98" s="52" t="inlineStr">
        <is>
          <t>2026-10-06 02:41</t>
        </is>
      </c>
      <c r="C98" s="52" t="inlineStr">
        <is>
          <t>GIFT Nifty up, signals positive start for Sensex, Nifty; Asian gains, softer oil support sentiment</t>
        </is>
      </c>
      <c r="D98" s="52" t="inlineStr">
        <is>
          <t>Moneycontrol.com</t>
        </is>
      </c>
      <c r="E98" s="82" t="n">
        <v>0.951</v>
      </c>
      <c r="F98" s="52" t="inlineStr">
        <is>
          <t>Positive</t>
        </is>
      </c>
      <c r="G98" s="83" t="inlineStr">
        <is>
          <t>open ↗</t>
        </is>
      </c>
    </row>
    <row r="99">
      <c r="A99" s="52" t="inlineStr">
        <is>
          <t>MARKET</t>
        </is>
      </c>
      <c r="B99" s="52" t="inlineStr">
        <is>
          <t>2026-10-06 01:54</t>
        </is>
      </c>
      <c r="C99" s="52" t="inlineStr">
        <is>
          <t>Indian shares extend gains ahead of RBI rate decision</t>
        </is>
      </c>
      <c r="D99" s="52" t="inlineStr">
        <is>
          <t>Reuters</t>
        </is>
      </c>
      <c r="E99" s="82" t="n">
        <v>0.511</v>
      </c>
      <c r="F99" s="52" t="inlineStr">
        <is>
          <t>Positive</t>
        </is>
      </c>
      <c r="G99" s="83" t="inlineStr">
        <is>
          <t>open ↗</t>
        </is>
      </c>
    </row>
    <row r="100">
      <c r="A100" s="52" t="inlineStr">
        <is>
          <t>MARKET</t>
        </is>
      </c>
      <c r="B100" s="52" t="inlineStr">
        <is>
          <t>2026-10-06 01:45</t>
        </is>
      </c>
      <c r="C100" s="52" t="inlineStr">
        <is>
          <t>Sensex Today | Stock Market LIVE Updates: Nifty at 22,450, Sensex up 110 pts; HCL Tech, Asian Paints</t>
        </is>
      </c>
      <c r="D100" s="52" t="inlineStr">
        <is>
          <t>IndiaIPO</t>
        </is>
      </c>
      <c r="E100" s="82" t="n">
        <v>0.402</v>
      </c>
      <c r="F100" s="52" t="inlineStr">
        <is>
          <t>Positive</t>
        </is>
      </c>
      <c r="G100" s="83" t="inlineStr">
        <is>
          <t>open ↗</t>
        </is>
      </c>
    </row>
    <row r="101">
      <c r="A101" s="52" t="inlineStr">
        <is>
          <t>MARKET</t>
        </is>
      </c>
      <c r="B101" s="52" t="inlineStr">
        <is>
          <t>2026-10-06 01:27</t>
        </is>
      </c>
      <c r="C101" s="52" t="inlineStr">
        <is>
          <t>Stock Market Today: Gift Nifty, Nasdaq To AI Stocks Rally — Five Key Factors For Sensex, Nifty 50 On October 6</t>
        </is>
      </c>
      <c r="D101" s="52" t="inlineStr">
        <is>
          <t>NDTV Profit</t>
        </is>
      </c>
      <c r="E101" s="82" t="n">
        <v>0.883</v>
      </c>
      <c r="F101" s="52" t="inlineStr">
        <is>
          <t>Positive</t>
        </is>
      </c>
      <c r="G101" s="83" t="inlineStr">
        <is>
          <t>open ↗</t>
        </is>
      </c>
    </row>
    <row r="102">
      <c r="A102" s="52" t="inlineStr">
        <is>
          <t>MARKET</t>
        </is>
      </c>
      <c r="B102" s="52" t="inlineStr">
        <is>
          <t>2026-10-06 00:30</t>
        </is>
      </c>
      <c r="C102" s="52" t="inlineStr">
        <is>
          <t>Yes Bank Q2 FY27 Results | Bank of India Q2 FY27 Results | Top Buzzing Stocks Today</t>
        </is>
      </c>
      <c r="D102" s="52" t="inlineStr">
        <is>
          <t>Equitymaster</t>
        </is>
      </c>
      <c r="E102" s="82" t="n">
        <v>0.542</v>
      </c>
      <c r="F102" s="52" t="inlineStr">
        <is>
          <t>Positive</t>
        </is>
      </c>
      <c r="G102" s="83" t="inlineStr">
        <is>
          <t>open ↗</t>
        </is>
      </c>
    </row>
    <row r="103">
      <c r="A103" s="52" t="inlineStr">
        <is>
          <t>MARKET</t>
        </is>
      </c>
      <c r="B103" s="52" t="inlineStr">
        <is>
          <t>2026-10-05 23:14</t>
        </is>
      </c>
      <c r="C103" s="52" t="inlineStr">
        <is>
          <t>Five reasons India's stock market is sinking even when its economy is growing</t>
        </is>
      </c>
      <c r="D103" s="52" t="inlineStr">
        <is>
          <t>BBC</t>
        </is>
      </c>
      <c r="E103" s="82" t="n">
        <v>0.178</v>
      </c>
      <c r="F103" s="52" t="inlineStr">
        <is>
          <t>Neutral</t>
        </is>
      </c>
      <c r="G103" s="83" t="inlineStr">
        <is>
          <t>open ↗</t>
        </is>
      </c>
    </row>
    <row r="104">
      <c r="A104" s="52" t="inlineStr">
        <is>
          <t>DIACABS</t>
        </is>
      </c>
      <c r="B104" s="52" t="inlineStr">
        <is>
          <t>2026-10-05 22:01</t>
        </is>
      </c>
      <c r="C104" s="52" t="inlineStr">
        <is>
          <t>Diamond Power Infrastructure bags ₹43.26 Cr cable supply order from Adani Power</t>
        </is>
      </c>
      <c r="D104" s="52" t="inlineStr">
        <is>
          <t>Alice Blue</t>
        </is>
      </c>
      <c r="E104" s="82" t="n">
        <v>0.735</v>
      </c>
      <c r="F104" s="52" t="inlineStr">
        <is>
          <t>Positive</t>
        </is>
      </c>
      <c r="G104" s="83" t="inlineStr">
        <is>
          <t>open ↗</t>
        </is>
      </c>
    </row>
    <row r="105">
      <c r="A105" s="52" t="inlineStr">
        <is>
          <t>RRKABEL</t>
        </is>
      </c>
      <c r="B105" s="52" t="inlineStr">
        <is>
          <t>2026-10-05 11:48</t>
        </is>
      </c>
      <c r="C105" s="52" t="inlineStr">
        <is>
          <t>Power Stocks Rise: What's Driving CESC, TD Power, RR Kabel?</t>
        </is>
      </c>
      <c r="D105" s="52" t="inlineStr">
        <is>
          <t>Univest</t>
        </is>
      </c>
      <c r="E105" s="82" t="n">
        <v>0</v>
      </c>
      <c r="F105" s="52" t="inlineStr">
        <is>
          <t>Neutral</t>
        </is>
      </c>
      <c r="G105" s="83" t="inlineStr">
        <is>
          <t>open ↗</t>
        </is>
      </c>
    </row>
    <row r="106">
      <c r="A106" s="52" t="inlineStr">
        <is>
          <t>MARKET</t>
        </is>
      </c>
      <c r="B106" s="52" t="inlineStr">
        <is>
          <t>2026-10-05 10:22</t>
        </is>
      </c>
      <c r="C106" s="52" t="inlineStr">
        <is>
          <t>Stock market prediction for today: Sensex, Nifty outlook for Tuesday | Kospi, Taiwan cues to watch | 6 Oct 2026</t>
        </is>
      </c>
      <c r="D106" s="52" t="inlineStr">
        <is>
          <t>Livemint</t>
        </is>
      </c>
      <c r="E106" s="82" t="n">
        <v>0.402</v>
      </c>
      <c r="F106" s="52" t="inlineStr">
        <is>
          <t>Positive</t>
        </is>
      </c>
      <c r="G106" s="83" t="inlineStr">
        <is>
          <t>open ↗</t>
        </is>
      </c>
    </row>
    <row r="107">
      <c r="A107" s="52" t="inlineStr">
        <is>
          <t>MARKET</t>
        </is>
      </c>
      <c r="B107" s="52" t="inlineStr">
        <is>
          <t>2026-10-05 10:19</t>
        </is>
      </c>
      <c r="C107" s="52" t="inlineStr">
        <is>
          <t>Taking Stock: Markets snap 4-day losing streak; Nifty ends above 22,500, Sensex up 473 pts</t>
        </is>
      </c>
      <c r="D107" s="52" t="inlineStr">
        <is>
          <t>Moneycontrol.com</t>
        </is>
      </c>
      <c r="E107" s="82" t="n">
        <v>0.026</v>
      </c>
      <c r="F107" s="52" t="inlineStr">
        <is>
          <t>Neutral</t>
        </is>
      </c>
      <c r="G107" s="83" t="inlineStr">
        <is>
          <t>open ↗</t>
        </is>
      </c>
    </row>
    <row r="108">
      <c r="A108" s="52" t="inlineStr">
        <is>
          <t>MARKET</t>
        </is>
      </c>
      <c r="B108" s="52" t="inlineStr">
        <is>
          <t>2026-10-05 08:36</t>
        </is>
      </c>
      <c r="C108" s="52" t="inlineStr">
        <is>
          <t>Gold, silver or stocks: Where should investors put fresh money after the Sensex, Nifty crash?</t>
        </is>
      </c>
      <c r="D108" s="52" t="inlineStr">
        <is>
          <t>Livemint</t>
        </is>
      </c>
      <c r="E108" s="82" t="n">
        <v>0.052</v>
      </c>
      <c r="F108" s="52" t="inlineStr">
        <is>
          <t>Neutral</t>
        </is>
      </c>
      <c r="G108" s="83" t="inlineStr">
        <is>
          <t>open ↗</t>
        </is>
      </c>
    </row>
    <row r="109">
      <c r="A109" s="52" t="inlineStr">
        <is>
          <t>TDPOWERSYS</t>
        </is>
      </c>
      <c r="B109" s="52" t="inlineStr">
        <is>
          <t>2026-10-05 07:25</t>
        </is>
      </c>
      <c r="C109" s="52" t="inlineStr">
        <is>
          <t>TD Power Systems Ltd. 52 Week High Streak and Valuation</t>
        </is>
      </c>
      <c r="D109" s="52" t="inlineStr">
        <is>
          <t>Univest</t>
        </is>
      </c>
      <c r="E109" s="82" t="n">
        <v>0.202</v>
      </c>
      <c r="F109" s="52" t="inlineStr">
        <is>
          <t>Positive</t>
        </is>
      </c>
      <c r="G109" s="83" t="inlineStr">
        <is>
          <t>open ↗</t>
        </is>
      </c>
    </row>
    <row r="110">
      <c r="A110" s="52" t="inlineStr">
        <is>
          <t>E2E</t>
        </is>
      </c>
      <c r="B110" s="52" t="inlineStr">
        <is>
          <t>2026-10-05 07:00</t>
        </is>
      </c>
      <c r="C110" s="52" t="inlineStr">
        <is>
          <t>Larsen &amp; Toubro (NSEI:LT) Stock Forecast &amp; Analyst Predictions</t>
        </is>
      </c>
      <c r="D110" s="52" t="inlineStr">
        <is>
          <t>Simply Wall Street</t>
        </is>
      </c>
      <c r="E110" s="82" t="n">
        <v>0</v>
      </c>
      <c r="F110" s="52" t="inlineStr">
        <is>
          <t>Neutral</t>
        </is>
      </c>
      <c r="G110" s="83" t="inlineStr">
        <is>
          <t>open ↗</t>
        </is>
      </c>
    </row>
    <row r="111">
      <c r="A111" s="52" t="inlineStr">
        <is>
          <t>AEROFLEX</t>
        </is>
      </c>
      <c r="B111" s="52" t="inlineStr">
        <is>
          <t>2026-10-05 06:49</t>
        </is>
      </c>
      <c r="C111" s="52" t="inlineStr">
        <is>
          <t>Top 3 Ranked Performers in Ashish Kacholia’s Portfolio in 2026</t>
        </is>
      </c>
      <c r="D111" s="52" t="inlineStr">
        <is>
          <t>The Financial Express</t>
        </is>
      </c>
      <c r="E111" s="82" t="n">
        <v>0.202</v>
      </c>
      <c r="F111" s="52" t="inlineStr">
        <is>
          <t>Positive</t>
        </is>
      </c>
      <c r="G111" s="83" t="inlineStr">
        <is>
          <t>open ↗</t>
        </is>
      </c>
    </row>
    <row r="112">
      <c r="A112" s="52" t="inlineStr">
        <is>
          <t>MARKET</t>
        </is>
      </c>
      <c r="B112" s="52" t="inlineStr">
        <is>
          <t>2026-10-05 04:03</t>
        </is>
      </c>
      <c r="C112" s="52" t="inlineStr">
        <is>
          <t>Why is stock market up today? Top 3 factors behind the rally in Sensex, Nifty today</t>
        </is>
      </c>
      <c r="D112" s="52" t="inlineStr">
        <is>
          <t>Livemint</t>
        </is>
      </c>
      <c r="E112" s="82" t="n">
        <v>0.758</v>
      </c>
      <c r="F112" s="52" t="inlineStr">
        <is>
          <t>Positive</t>
        </is>
      </c>
      <c r="G112" s="83" t="inlineStr">
        <is>
          <t>open ↗</t>
        </is>
      </c>
    </row>
    <row r="113">
      <c r="A113" s="52" t="inlineStr">
        <is>
          <t>MARKET</t>
        </is>
      </c>
      <c r="B113" s="52" t="inlineStr">
        <is>
          <t>2026-10-05 04:02</t>
        </is>
      </c>
      <c r="C113" s="52" t="inlineStr">
        <is>
          <t>Why did market rise today? Sensex jumps 473 points, Nifty closes above 22,550: 6 key factors driving rebou</t>
        </is>
      </c>
      <c r="D113" s="52" t="inlineStr">
        <is>
          <t>The Economic Times</t>
        </is>
      </c>
      <c r="E113" s="82" t="n">
        <v>0.6909999999999999</v>
      </c>
      <c r="F113" s="52" t="inlineStr">
        <is>
          <t>Positive</t>
        </is>
      </c>
      <c r="G113" s="83" t="inlineStr">
        <is>
          <t>open ↗</t>
        </is>
      </c>
    </row>
    <row r="114">
      <c r="A114" s="52" t="inlineStr">
        <is>
          <t>MARKET</t>
        </is>
      </c>
      <c r="B114" s="52" t="inlineStr">
        <is>
          <t>2026-10-05 02:24</t>
        </is>
      </c>
      <c r="C114" s="52" t="inlineStr">
        <is>
          <t>Stock Market Today: Gift Nifty, US Jobs Data To Oil Prices — Five Key Factors For Sensex, Nifty 50 On October 5</t>
        </is>
      </c>
      <c r="D114" s="52" t="inlineStr">
        <is>
          <t>NDTV Profit</t>
        </is>
      </c>
      <c r="E114" s="82" t="n">
        <v>0.8070000000000001</v>
      </c>
      <c r="F114" s="52" t="inlineStr">
        <is>
          <t>Positive</t>
        </is>
      </c>
      <c r="G114" s="83" t="inlineStr">
        <is>
          <t>open ↗</t>
        </is>
      </c>
    </row>
    <row r="115">
      <c r="A115" s="52" t="inlineStr">
        <is>
          <t>MARKET</t>
        </is>
      </c>
      <c r="B115" s="52" t="inlineStr">
        <is>
          <t>2026-10-05 01:28</t>
        </is>
      </c>
      <c r="C115" s="52" t="inlineStr">
        <is>
          <t>Stock market outlook today, 5 Oct: Sensex, Nifty prediction - DJIA, S&amp;P, NASDAQ, GIFT Nifty, Nikkei, Taiwan cues</t>
        </is>
      </c>
      <c r="D115" s="52" t="inlineStr">
        <is>
          <t>Livemint</t>
        </is>
      </c>
      <c r="E115" s="82" t="n">
        <v>0.842</v>
      </c>
      <c r="F115" s="52" t="inlineStr">
        <is>
          <t>Positive</t>
        </is>
      </c>
      <c r="G115" s="83" t="inlineStr">
        <is>
          <t>open ↗</t>
        </is>
      </c>
    </row>
    <row r="116">
      <c r="A116" s="52" t="inlineStr">
        <is>
          <t>MARKET</t>
        </is>
      </c>
      <c r="B116" s="52" t="inlineStr">
        <is>
          <t>2026-10-04 11:18</t>
        </is>
      </c>
      <c r="C116" s="52" t="inlineStr">
        <is>
          <t>Sensex, Nifty, Bank Nifty prediction: What will happen in the Indian stock market on Monday? 3 reasons tell the scene</t>
        </is>
      </c>
      <c r="D116" s="52" t="inlineStr">
        <is>
          <t>Livemint</t>
        </is>
      </c>
      <c r="E116" s="82" t="n">
        <v>0.66</v>
      </c>
      <c r="F116" s="52" t="inlineStr">
        <is>
          <t>Positive</t>
        </is>
      </c>
      <c r="G116" s="83" t="inlineStr">
        <is>
          <t>open ↗</t>
        </is>
      </c>
    </row>
    <row r="117">
      <c r="A117" s="52" t="inlineStr">
        <is>
          <t>LAURUSLABS</t>
        </is>
      </c>
      <c r="B117" s="52" t="inlineStr">
        <is>
          <t>2026-10-04 09:09</t>
        </is>
      </c>
      <c r="C117" s="52" t="inlineStr">
        <is>
          <t>Laurus Labs - 7 midcap stocks with rising EPS for four straight quarters. Are they in your portfolio?</t>
        </is>
      </c>
      <c r="D117" s="52" t="inlineStr">
        <is>
          <t>The Economic Times</t>
        </is>
      </c>
      <c r="E117" s="82" t="n">
        <v>0.226</v>
      </c>
      <c r="F117" s="52" t="inlineStr">
        <is>
          <t>Positive</t>
        </is>
      </c>
      <c r="G117" s="83" t="inlineStr">
        <is>
          <t>open ↗</t>
        </is>
      </c>
    </row>
    <row r="118">
      <c r="A118" s="52" t="inlineStr">
        <is>
          <t>MARKET</t>
        </is>
      </c>
      <c r="B118" s="52" t="inlineStr">
        <is>
          <t>2026-10-04 04:39</t>
        </is>
      </c>
      <c r="C118" s="52" t="inlineStr">
        <is>
          <t>Stock market prediction for today, 5 Oct Monday: Sensex, Nifty outlook; Dow Jones, Nasdaq, Kospi, Nikkei, Taiwan cues</t>
        </is>
      </c>
      <c r="D118" s="52" t="inlineStr">
        <is>
          <t>Livemint</t>
        </is>
      </c>
      <c r="E118" s="82" t="n">
        <v>0.402</v>
      </c>
      <c r="F118" s="52" t="inlineStr">
        <is>
          <t>Positive</t>
        </is>
      </c>
      <c r="G118" s="83" t="inlineStr">
        <is>
          <t>open ↗</t>
        </is>
      </c>
    </row>
    <row r="119">
      <c r="A119" s="52" t="inlineStr">
        <is>
          <t>MARKET</t>
        </is>
      </c>
      <c r="B119" s="52" t="inlineStr">
        <is>
          <t>2026-10-04 03:44</t>
        </is>
      </c>
      <c r="C119" s="52" t="inlineStr">
        <is>
          <t>Will Nifty, Sensex plunge for 9th straight week? TCS Q2, RBI MPC among 4 factors to drive Dalal Street fro</t>
        </is>
      </c>
      <c r="D119" s="52" t="inlineStr">
        <is>
          <t>The Economic Times</t>
        </is>
      </c>
      <c r="E119" s="82" t="n">
        <v>0.026</v>
      </c>
      <c r="F119" s="52" t="inlineStr">
        <is>
          <t>Neutral</t>
        </is>
      </c>
      <c r="G119" s="83" t="inlineStr">
        <is>
          <t>open ↗</t>
        </is>
      </c>
    </row>
    <row r="120">
      <c r="A120" s="52" t="inlineStr">
        <is>
          <t>LAURUSLABS</t>
        </is>
      </c>
      <c r="B120" s="52" t="inlineStr">
        <is>
          <t>2026-10-04 02:58</t>
        </is>
      </c>
      <c r="C120" s="52" t="inlineStr">
        <is>
          <t>Laurus Labs to host Q1 FY27 earnings call on July 24</t>
        </is>
      </c>
      <c r="D120" s="52" t="inlineStr">
        <is>
          <t>scanx.trade</t>
        </is>
      </c>
      <c r="E120" s="82" t="n">
        <v>0</v>
      </c>
      <c r="F120" s="52" t="inlineStr">
        <is>
          <t>Neutral</t>
        </is>
      </c>
      <c r="G120" s="83" t="inlineStr">
        <is>
          <t>open ↗</t>
        </is>
      </c>
    </row>
    <row r="121">
      <c r="A121" s="52" t="inlineStr">
        <is>
          <t>ATHERENERG</t>
        </is>
      </c>
      <c r="B121" s="52" t="inlineStr">
        <is>
          <t>2026-10-04 01:36</t>
        </is>
      </c>
      <c r="C121" s="52" t="inlineStr">
        <is>
          <t>Tesla Delivery Beat Lifts Ather Energy Stock And EV Shares Back Into View</t>
        </is>
      </c>
      <c r="D121" s="52" t="inlineStr">
        <is>
          <t>Simply Wall Street</t>
        </is>
      </c>
      <c r="E121" s="82" t="n">
        <v>0.572</v>
      </c>
      <c r="F121" s="52" t="inlineStr">
        <is>
          <t>Positive</t>
        </is>
      </c>
      <c r="G121" s="83" t="inlineStr">
        <is>
          <t>open ↗</t>
        </is>
      </c>
    </row>
    <row r="122">
      <c r="A122" s="52" t="inlineStr">
        <is>
          <t>LAURUSLABS</t>
        </is>
      </c>
      <c r="B122" s="52" t="inlineStr">
        <is>
          <t>2026-10-04 00:59</t>
        </is>
      </c>
      <c r="C122" s="52" t="inlineStr">
        <is>
          <t>Laurus Labs NCLT hearing for composite scheme set for Sep 10</t>
        </is>
      </c>
      <c r="D122" s="52" t="inlineStr">
        <is>
          <t>scanx.trade</t>
        </is>
      </c>
      <c r="E122" s="82" t="n">
        <v>0</v>
      </c>
      <c r="F122" s="52" t="inlineStr">
        <is>
          <t>Neutral</t>
        </is>
      </c>
      <c r="G122" s="83" t="inlineStr">
        <is>
          <t>open ↗</t>
        </is>
      </c>
    </row>
    <row r="123">
      <c r="A123" s="52" t="inlineStr">
        <is>
          <t>E2E</t>
        </is>
      </c>
      <c r="B123" s="52" t="inlineStr">
        <is>
          <t>2026-10-03 11:24</t>
        </is>
      </c>
      <c r="C123" s="52" t="inlineStr">
        <is>
          <t>1:10 Stock Split Alert! L&amp;T Backed Small Cap Stock Fixes Stock Split Record Date | How To Get Eligible?</t>
        </is>
      </c>
      <c r="D123" s="52" t="inlineStr">
        <is>
          <t>Goodreturns</t>
        </is>
      </c>
      <c r="E123" s="82" t="n">
        <v>0.624</v>
      </c>
      <c r="F123" s="52" t="inlineStr">
        <is>
          <t>Positive</t>
        </is>
      </c>
      <c r="G123" s="83" t="inlineStr">
        <is>
          <t>open ↗</t>
        </is>
      </c>
    </row>
    <row r="124">
      <c r="A124" s="52" t="inlineStr">
        <is>
          <t>E2E</t>
        </is>
      </c>
      <c r="B124" s="52" t="inlineStr">
        <is>
          <t>2026-10-03 07:00</t>
        </is>
      </c>
      <c r="C124" s="52" t="inlineStr">
        <is>
          <t>Indian Listed New-Age Tech Company Tracker: Market Cap, Revenue &amp; More</t>
        </is>
      </c>
      <c r="D124" s="52" t="inlineStr">
        <is>
          <t>Inc42</t>
        </is>
      </c>
      <c r="E124" s="82" t="n">
        <v>0</v>
      </c>
      <c r="F124" s="52" t="inlineStr">
        <is>
          <t>Neutral</t>
        </is>
      </c>
      <c r="G124" s="83" t="inlineStr">
        <is>
          <t>open ↗</t>
        </is>
      </c>
    </row>
    <row r="125">
      <c r="A125" s="52" t="inlineStr">
        <is>
          <t>TDPOWERSYS</t>
        </is>
      </c>
      <c r="B125" s="52" t="inlineStr">
        <is>
          <t>2026-10-02 09:20</t>
        </is>
      </c>
      <c r="C125" s="52" t="inlineStr">
        <is>
          <t>TD Power Systems (NSE:TDPOWERSYS): What Does the Listing Approval for 12.5 Lakh Preferential Shares Mean?</t>
        </is>
      </c>
      <c r="D125" s="52" t="inlineStr">
        <is>
          <t>Kalkine India</t>
        </is>
      </c>
      <c r="E125" s="82" t="n">
        <v>0.421</v>
      </c>
      <c r="F125" s="52" t="inlineStr">
        <is>
          <t>Positive</t>
        </is>
      </c>
      <c r="G125" s="83" t="inlineStr">
        <is>
          <t>open ↗</t>
        </is>
      </c>
    </row>
    <row r="126">
      <c r="A126" s="52" t="inlineStr">
        <is>
          <t>MARKET</t>
        </is>
      </c>
      <c r="B126" s="52" t="inlineStr">
        <is>
          <t>2026-10-02 04:58</t>
        </is>
      </c>
      <c r="C126" s="52" t="inlineStr">
        <is>
          <t>Weekly market wrap: NIFTY50, SENSEX fall up to 3% marking 8th week of loss; Bajaj Auto, Max Health among top losers</t>
        </is>
      </c>
      <c r="D126" s="52" t="inlineStr">
        <is>
          <t>Upstox</t>
        </is>
      </c>
      <c r="E126" s="82" t="n">
        <v>-0.778</v>
      </c>
      <c r="F126" s="52" t="inlineStr">
        <is>
          <t>Negative</t>
        </is>
      </c>
      <c r="G126" s="83" t="inlineStr">
        <is>
          <t>open ↗</t>
        </is>
      </c>
    </row>
    <row r="127">
      <c r="A127" s="52" t="inlineStr">
        <is>
          <t>MARKET</t>
        </is>
      </c>
      <c r="B127" s="52" t="inlineStr">
        <is>
          <t>2026-10-02 03:57</t>
        </is>
      </c>
      <c r="C127" s="52" t="inlineStr">
        <is>
          <t>Gandhi Jayanti: Are NSE, BSE closed for trading on October 2?</t>
        </is>
      </c>
      <c r="D127" s="52" t="inlineStr">
        <is>
          <t>The Times of India</t>
        </is>
      </c>
      <c r="E127" s="82" t="n">
        <v>0</v>
      </c>
      <c r="F127" s="52" t="inlineStr">
        <is>
          <t>Neutral</t>
        </is>
      </c>
      <c r="G127" s="83" t="inlineStr">
        <is>
          <t>open ↗</t>
        </is>
      </c>
    </row>
    <row r="128">
      <c r="A128" s="52" t="inlineStr">
        <is>
          <t>LAURUSLABS</t>
        </is>
      </c>
      <c r="B128" s="52" t="inlineStr">
        <is>
          <t>2026-10-02 03:53</t>
        </is>
      </c>
      <c r="C128" s="52" t="inlineStr">
        <is>
          <t>Top 2 stocks to buy or sell for short-term: Laurus Labs, Canara Bank by Chandan Taparia - Check stop-loss, targets</t>
        </is>
      </c>
      <c r="D128" s="52" t="inlineStr">
        <is>
          <t>Livemint</t>
        </is>
      </c>
      <c r="E128" s="82" t="n">
        <v>0.153</v>
      </c>
      <c r="F128" s="52" t="inlineStr">
        <is>
          <t>Neutral</t>
        </is>
      </c>
      <c r="G128" s="83" t="inlineStr">
        <is>
          <t>open ↗</t>
        </is>
      </c>
    </row>
    <row r="129">
      <c r="A129" s="52" t="inlineStr">
        <is>
          <t>MARKET</t>
        </is>
      </c>
      <c r="B129" s="52" t="inlineStr">
        <is>
          <t>2026-10-02 01:50</t>
        </is>
      </c>
      <c r="C129" s="52" t="inlineStr">
        <is>
          <t>Stock market holiday: BSE, NSE closed today for Gandhi Jayanti</t>
        </is>
      </c>
      <c r="D129" s="52" t="inlineStr">
        <is>
          <t>Business Standard</t>
        </is>
      </c>
      <c r="E129" s="82" t="n">
        <v>0.402</v>
      </c>
      <c r="F129" s="52" t="inlineStr">
        <is>
          <t>Positive</t>
        </is>
      </c>
      <c r="G129" s="83" t="inlineStr">
        <is>
          <t>open ↗</t>
        </is>
      </c>
    </row>
    <row r="130">
      <c r="A130" s="52" t="inlineStr">
        <is>
          <t>MARKET</t>
        </is>
      </c>
      <c r="B130" s="52" t="inlineStr">
        <is>
          <t>2026-10-02 00:47</t>
        </is>
      </c>
      <c r="C130" s="52" t="inlineStr">
        <is>
          <t>Stock market holiday today on October 2: BSE, NSE to remain closed for Gandhi Jayanti</t>
        </is>
      </c>
      <c r="D130" s="52" t="inlineStr">
        <is>
          <t>Moneycontrol.com</t>
        </is>
      </c>
      <c r="E130" s="82" t="n">
        <v>0.402</v>
      </c>
      <c r="F130" s="52" t="inlineStr">
        <is>
          <t>Positive</t>
        </is>
      </c>
      <c r="G130" s="83" t="inlineStr">
        <is>
          <t>open ↗</t>
        </is>
      </c>
    </row>
    <row r="131">
      <c r="A131" s="52" t="inlineStr">
        <is>
          <t>MARKET</t>
        </is>
      </c>
      <c r="B131" s="52" t="inlineStr">
        <is>
          <t>2026-10-01 14:09</t>
        </is>
      </c>
      <c r="C131" s="52" t="inlineStr">
        <is>
          <t>Indian firms defy stock market slump with record $25 billion half-year equity fundraise</t>
        </is>
      </c>
      <c r="D131" s="52" t="inlineStr">
        <is>
          <t>Reuters</t>
        </is>
      </c>
      <c r="E131" s="82" t="n">
        <v>-0.178</v>
      </c>
      <c r="F131" s="52" t="inlineStr">
        <is>
          <t>Neutral</t>
        </is>
      </c>
      <c r="G131" s="83" t="inlineStr">
        <is>
          <t>open ↗</t>
        </is>
      </c>
    </row>
  </sheetData>
  <mergeCells count="2">
    <mergeCell ref="A2:G2"/>
    <mergeCell ref="A1:G1"/>
  </mergeCells>
  <conditionalFormatting sqref="E5:E131">
    <cfRule type="colorScale" priority="1">
      <colorScale>
        <cfvo type="num" val="-1"/>
        <cfvo type="num" val="0"/>
        <cfvo type="num" val="1"/>
        <color rgb="00F8696B"/>
        <color rgb="00FFFFFF"/>
        <color rgb="0063BE7B"/>
      </colorScale>
    </cfRule>
  </conditionalFormatting>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 xmlns:r="http://schemas.openxmlformats.org/officeDocument/2006/relationships" ref="G24" r:id="rId20"/>
    <hyperlink xmlns:r="http://schemas.openxmlformats.org/officeDocument/2006/relationships" ref="G25" r:id="rId21"/>
    <hyperlink xmlns:r="http://schemas.openxmlformats.org/officeDocument/2006/relationships" ref="G26" r:id="rId22"/>
    <hyperlink xmlns:r="http://schemas.openxmlformats.org/officeDocument/2006/relationships" ref="G27" r:id="rId23"/>
    <hyperlink xmlns:r="http://schemas.openxmlformats.org/officeDocument/2006/relationships" ref="G28" r:id="rId24"/>
    <hyperlink xmlns:r="http://schemas.openxmlformats.org/officeDocument/2006/relationships" ref="G29" r:id="rId25"/>
    <hyperlink xmlns:r="http://schemas.openxmlformats.org/officeDocument/2006/relationships" ref="G30" r:id="rId26"/>
    <hyperlink xmlns:r="http://schemas.openxmlformats.org/officeDocument/2006/relationships" ref="G31" r:id="rId27"/>
    <hyperlink xmlns:r="http://schemas.openxmlformats.org/officeDocument/2006/relationships" ref="G32" r:id="rId28"/>
    <hyperlink xmlns:r="http://schemas.openxmlformats.org/officeDocument/2006/relationships" ref="G33" r:id="rId29"/>
    <hyperlink xmlns:r="http://schemas.openxmlformats.org/officeDocument/2006/relationships" ref="G34" r:id="rId30"/>
    <hyperlink xmlns:r="http://schemas.openxmlformats.org/officeDocument/2006/relationships" ref="G35" r:id="rId31"/>
    <hyperlink xmlns:r="http://schemas.openxmlformats.org/officeDocument/2006/relationships" ref="G36" r:id="rId32"/>
    <hyperlink xmlns:r="http://schemas.openxmlformats.org/officeDocument/2006/relationships" ref="G37" r:id="rId33"/>
    <hyperlink xmlns:r="http://schemas.openxmlformats.org/officeDocument/2006/relationships" ref="G38" r:id="rId34"/>
    <hyperlink xmlns:r="http://schemas.openxmlformats.org/officeDocument/2006/relationships" ref="G39" r:id="rId35"/>
    <hyperlink xmlns:r="http://schemas.openxmlformats.org/officeDocument/2006/relationships" ref="G40" r:id="rId36"/>
    <hyperlink xmlns:r="http://schemas.openxmlformats.org/officeDocument/2006/relationships" ref="G41" r:id="rId37"/>
    <hyperlink xmlns:r="http://schemas.openxmlformats.org/officeDocument/2006/relationships" ref="G42" r:id="rId38"/>
    <hyperlink xmlns:r="http://schemas.openxmlformats.org/officeDocument/2006/relationships" ref="G43" r:id="rId39"/>
    <hyperlink xmlns:r="http://schemas.openxmlformats.org/officeDocument/2006/relationships" ref="G44" r:id="rId40"/>
    <hyperlink xmlns:r="http://schemas.openxmlformats.org/officeDocument/2006/relationships" ref="G45" r:id="rId41"/>
    <hyperlink xmlns:r="http://schemas.openxmlformats.org/officeDocument/2006/relationships" ref="G46" r:id="rId42"/>
    <hyperlink xmlns:r="http://schemas.openxmlformats.org/officeDocument/2006/relationships" ref="G47" r:id="rId43"/>
    <hyperlink xmlns:r="http://schemas.openxmlformats.org/officeDocument/2006/relationships" ref="G48" r:id="rId44"/>
    <hyperlink xmlns:r="http://schemas.openxmlformats.org/officeDocument/2006/relationships" ref="G49" r:id="rId45"/>
    <hyperlink xmlns:r="http://schemas.openxmlformats.org/officeDocument/2006/relationships" ref="G50" r:id="rId46"/>
    <hyperlink xmlns:r="http://schemas.openxmlformats.org/officeDocument/2006/relationships" ref="G51" r:id="rId47"/>
    <hyperlink xmlns:r="http://schemas.openxmlformats.org/officeDocument/2006/relationships" ref="G52" r:id="rId48"/>
    <hyperlink xmlns:r="http://schemas.openxmlformats.org/officeDocument/2006/relationships" ref="G53" r:id="rId49"/>
    <hyperlink xmlns:r="http://schemas.openxmlformats.org/officeDocument/2006/relationships" ref="G54" r:id="rId50"/>
    <hyperlink xmlns:r="http://schemas.openxmlformats.org/officeDocument/2006/relationships" ref="G55" r:id="rId51"/>
    <hyperlink xmlns:r="http://schemas.openxmlformats.org/officeDocument/2006/relationships" ref="G56" r:id="rId52"/>
    <hyperlink xmlns:r="http://schemas.openxmlformats.org/officeDocument/2006/relationships" ref="G57" r:id="rId53"/>
    <hyperlink xmlns:r="http://schemas.openxmlformats.org/officeDocument/2006/relationships" ref="G58" r:id="rId54"/>
    <hyperlink xmlns:r="http://schemas.openxmlformats.org/officeDocument/2006/relationships" ref="G59" r:id="rId55"/>
    <hyperlink xmlns:r="http://schemas.openxmlformats.org/officeDocument/2006/relationships" ref="G60" r:id="rId56"/>
    <hyperlink xmlns:r="http://schemas.openxmlformats.org/officeDocument/2006/relationships" ref="G61" r:id="rId57"/>
    <hyperlink xmlns:r="http://schemas.openxmlformats.org/officeDocument/2006/relationships" ref="G62" r:id="rId58"/>
    <hyperlink xmlns:r="http://schemas.openxmlformats.org/officeDocument/2006/relationships" ref="G63" r:id="rId59"/>
    <hyperlink xmlns:r="http://schemas.openxmlformats.org/officeDocument/2006/relationships" ref="G64" r:id="rId60"/>
    <hyperlink xmlns:r="http://schemas.openxmlformats.org/officeDocument/2006/relationships" ref="G65" r:id="rId61"/>
    <hyperlink xmlns:r="http://schemas.openxmlformats.org/officeDocument/2006/relationships" ref="G66" r:id="rId62"/>
    <hyperlink xmlns:r="http://schemas.openxmlformats.org/officeDocument/2006/relationships" ref="G67" r:id="rId63"/>
    <hyperlink xmlns:r="http://schemas.openxmlformats.org/officeDocument/2006/relationships" ref="G68" r:id="rId64"/>
    <hyperlink xmlns:r="http://schemas.openxmlformats.org/officeDocument/2006/relationships" ref="G69" r:id="rId65"/>
    <hyperlink xmlns:r="http://schemas.openxmlformats.org/officeDocument/2006/relationships" ref="G70" r:id="rId66"/>
    <hyperlink xmlns:r="http://schemas.openxmlformats.org/officeDocument/2006/relationships" ref="G71" r:id="rId67"/>
    <hyperlink xmlns:r="http://schemas.openxmlformats.org/officeDocument/2006/relationships" ref="G72" r:id="rId68"/>
    <hyperlink xmlns:r="http://schemas.openxmlformats.org/officeDocument/2006/relationships" ref="G73" r:id="rId69"/>
    <hyperlink xmlns:r="http://schemas.openxmlformats.org/officeDocument/2006/relationships" ref="G74" r:id="rId70"/>
    <hyperlink xmlns:r="http://schemas.openxmlformats.org/officeDocument/2006/relationships" ref="G75" r:id="rId71"/>
    <hyperlink xmlns:r="http://schemas.openxmlformats.org/officeDocument/2006/relationships" ref="G76" r:id="rId72"/>
    <hyperlink xmlns:r="http://schemas.openxmlformats.org/officeDocument/2006/relationships" ref="G77" r:id="rId73"/>
    <hyperlink xmlns:r="http://schemas.openxmlformats.org/officeDocument/2006/relationships" ref="G78" r:id="rId74"/>
    <hyperlink xmlns:r="http://schemas.openxmlformats.org/officeDocument/2006/relationships" ref="G79" r:id="rId75"/>
    <hyperlink xmlns:r="http://schemas.openxmlformats.org/officeDocument/2006/relationships" ref="G80" r:id="rId76"/>
    <hyperlink xmlns:r="http://schemas.openxmlformats.org/officeDocument/2006/relationships" ref="G81" r:id="rId77"/>
    <hyperlink xmlns:r="http://schemas.openxmlformats.org/officeDocument/2006/relationships" ref="G82" r:id="rId78"/>
    <hyperlink xmlns:r="http://schemas.openxmlformats.org/officeDocument/2006/relationships" ref="G83" r:id="rId79"/>
    <hyperlink xmlns:r="http://schemas.openxmlformats.org/officeDocument/2006/relationships" ref="G84" r:id="rId80"/>
    <hyperlink xmlns:r="http://schemas.openxmlformats.org/officeDocument/2006/relationships" ref="G85" r:id="rId81"/>
    <hyperlink xmlns:r="http://schemas.openxmlformats.org/officeDocument/2006/relationships" ref="G86" r:id="rId82"/>
    <hyperlink xmlns:r="http://schemas.openxmlformats.org/officeDocument/2006/relationships" ref="G87" r:id="rId83"/>
    <hyperlink xmlns:r="http://schemas.openxmlformats.org/officeDocument/2006/relationships" ref="G88" r:id="rId84"/>
    <hyperlink xmlns:r="http://schemas.openxmlformats.org/officeDocument/2006/relationships" ref="G89" r:id="rId85"/>
    <hyperlink xmlns:r="http://schemas.openxmlformats.org/officeDocument/2006/relationships" ref="G90" r:id="rId86"/>
    <hyperlink xmlns:r="http://schemas.openxmlformats.org/officeDocument/2006/relationships" ref="G91"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1" r:id="rId97"/>
    <hyperlink xmlns:r="http://schemas.openxmlformats.org/officeDocument/2006/relationships" ref="G102" r:id="rId98"/>
    <hyperlink xmlns:r="http://schemas.openxmlformats.org/officeDocument/2006/relationships" ref="G103" r:id="rId99"/>
    <hyperlink xmlns:r="http://schemas.openxmlformats.org/officeDocument/2006/relationships" ref="G104" r:id="rId100"/>
    <hyperlink xmlns:r="http://schemas.openxmlformats.org/officeDocument/2006/relationships" ref="G105" r:id="rId101"/>
    <hyperlink xmlns:r="http://schemas.openxmlformats.org/officeDocument/2006/relationships" ref="G106" r:id="rId102"/>
    <hyperlink xmlns:r="http://schemas.openxmlformats.org/officeDocument/2006/relationships" ref="G107" r:id="rId103"/>
    <hyperlink xmlns:r="http://schemas.openxmlformats.org/officeDocument/2006/relationships" ref="G108" r:id="rId104"/>
    <hyperlink xmlns:r="http://schemas.openxmlformats.org/officeDocument/2006/relationships" ref="G109" r:id="rId105"/>
    <hyperlink xmlns:r="http://schemas.openxmlformats.org/officeDocument/2006/relationships" ref="G110" r:id="rId106"/>
    <hyperlink xmlns:r="http://schemas.openxmlformats.org/officeDocument/2006/relationships" ref="G111" r:id="rId107"/>
    <hyperlink xmlns:r="http://schemas.openxmlformats.org/officeDocument/2006/relationships" ref="G112" r:id="rId108"/>
    <hyperlink xmlns:r="http://schemas.openxmlformats.org/officeDocument/2006/relationships" ref="G113" r:id="rId109"/>
    <hyperlink xmlns:r="http://schemas.openxmlformats.org/officeDocument/2006/relationships" ref="G114" r:id="rId110"/>
    <hyperlink xmlns:r="http://schemas.openxmlformats.org/officeDocument/2006/relationships" ref="G115" r:id="rId111"/>
    <hyperlink xmlns:r="http://schemas.openxmlformats.org/officeDocument/2006/relationships" ref="G116" r:id="rId112"/>
    <hyperlink xmlns:r="http://schemas.openxmlformats.org/officeDocument/2006/relationships" ref="G117" r:id="rId113"/>
    <hyperlink xmlns:r="http://schemas.openxmlformats.org/officeDocument/2006/relationships" ref="G118" r:id="rId114"/>
    <hyperlink xmlns:r="http://schemas.openxmlformats.org/officeDocument/2006/relationships" ref="G119" r:id="rId115"/>
    <hyperlink xmlns:r="http://schemas.openxmlformats.org/officeDocument/2006/relationships" ref="G120" r:id="rId116"/>
    <hyperlink xmlns:r="http://schemas.openxmlformats.org/officeDocument/2006/relationships" ref="G121" r:id="rId117"/>
    <hyperlink xmlns:r="http://schemas.openxmlformats.org/officeDocument/2006/relationships" ref="G122" r:id="rId118"/>
    <hyperlink xmlns:r="http://schemas.openxmlformats.org/officeDocument/2006/relationships" ref="G123" r:id="rId119"/>
    <hyperlink xmlns:r="http://schemas.openxmlformats.org/officeDocument/2006/relationships" ref="G124" r:id="rId120"/>
    <hyperlink xmlns:r="http://schemas.openxmlformats.org/officeDocument/2006/relationships" ref="G125" r:id="rId121"/>
    <hyperlink xmlns:r="http://schemas.openxmlformats.org/officeDocument/2006/relationships" ref="G126" r:id="rId122"/>
    <hyperlink xmlns:r="http://schemas.openxmlformats.org/officeDocument/2006/relationships" ref="G127" r:id="rId123"/>
    <hyperlink xmlns:r="http://schemas.openxmlformats.org/officeDocument/2006/relationships" ref="G128" r:id="rId124"/>
    <hyperlink xmlns:r="http://schemas.openxmlformats.org/officeDocument/2006/relationships" ref="G129" r:id="rId125"/>
    <hyperlink xmlns:r="http://schemas.openxmlformats.org/officeDocument/2006/relationships" ref="G130" r:id="rId126"/>
    <hyperlink xmlns:r="http://schemas.openxmlformats.org/officeDocument/2006/relationships" ref="G131" r:id="rId127"/>
  </hyperlinks>
  <pageMargins left="0.75" right="0.75" top="1" bottom="1" header="0.5" footer="0.5"/>
  <pageSetup orientation="landscape" fitToWidth="1"/>
</worksheet>
</file>

<file path=xl/worksheets/sheet9.xml><?xml version="1.0" encoding="utf-8"?>
<worksheet xmlns="http://schemas.openxmlformats.org/spreadsheetml/2006/main">
  <sheetPr>
    <tabColor rgb="0094A3B8"/>
    <outlinePr summaryBelow="1" summaryRight="1"/>
    <pageSetUpPr fitToPage="1"/>
  </sheetPr>
  <dimension ref="A1:A5"/>
  <sheetViews>
    <sheetView workbookViewId="0">
      <selection activeCell="A1" sqref="A1"/>
    </sheetView>
  </sheetViews>
  <sheetFormatPr baseColWidth="8" defaultRowHeight="15"/>
  <sheetData>
    <row r="1">
      <c r="A1" t="inlineStr">
        <is>
          <t xml:space="preserve">{"batch": {"batch_id": "2026-09-28", "title": "SwingScope batch 2026-09-28", "signal_date": "2026-09-28", "exit_date_est": "2026-10-27", "hold_sessions": 21, "universe": "liquidity top 400 of all NSE stocks", "capital": 139903.0, "est_costs": 859.0, "cost_pct": 0.6, "regime": "Down", "regime_note": "the signal's weakest regime historically", "warnings": "0 of 10", "evidence": ["Backtest, 2017\u20132026 | Replayed point in time on your survivorship-free archive. Not live results. | Signal strength | IC +0.041 | rank IC over 113 monthly dates, 2017-2026 (t 2.52); validated benchmark 0.026 | Top vs bottom decile | +1.89% | per 21-session hold, before costs (t 2.94) | Top-10 picks | +1.45% | per hold after 0.60% costs; Nifty 50 earned +1.02% before costs | Entry timing | Open wins | buying at the open beat all 30 support-entry rules (best -0.12% per hold) | Down markets | IC +0.009 | over 27 down-regime dates, against +0.050 over 86 up-regime dates", "Live record | No results yet | The first live result arrives when this system finishes its first batch. Live results are kept apart from the backtest and never mixed in."], "stocks": [{"rank": 1, "symbol": "TDPOWERSYS", "isin": "INE419M01035", "qty": 20, "last_close": 722.0, "amount": 14440.0, "spark_12m": "2.0,31.7 2.4,32.0 2.9,31.7 3.3,31.1 3.7,31.1 4.2,31.1 4.6,31.0 5.0,30.6 5.4,30.4 5.9,29.2 6.3,29.3 6.7,29.5 7.2,29.8 7.6,30.1 8.0,30.4 8.5,30.5 8.9,30.3 9.3,29.4 9.7,29.3 10.2,28.8 10.6,29.1 11.0,28.9 11.5,29.1 11.9,29.2 12.3,29.1 12.8,29.0 13.2,28.4 13.6,28.0 14.0,25.5 14.5,24.3 14.9,24.2 15.3,24.8 15.8,25.3 16.2,25.2 16.6,25.4 17.1,24.2 17.5,25.4 17.9,25.2 18.4,25.2 18.8,25.7 19.2,25.8 19.6,25.9 20.1,26.9 20.5,25.8 20.9,25.9 21.4,24.9 21.8,24.9 22.2,25.4 22.7,25.0 23.1,25.0 23.5,25.8 23.9,26.8 24.4,27.7 24.8,28.3 25.2,27.7 25.7,28.1 26.1,28.2 26.5,27.9 27.0,27.6 27.4,27.9 27.8,27.1 28.2,27.6 28.7,27.1 29.1,26.4 29.5,26.7 30.0,27.0 30.4,27.3 30.8,27.7 31.3,27.5 31.7,27.5 32.1,28.3 32.5,28.0 33.0,27.7 33.4,27.9 33.8,27.5 34.3,27.9 34.7,28.3 35.1,28.8 35.6,27.9 36.0,28.2 36.4,28.5 36.9,28.7 37.3,29.2 37.7,29.4 38.1,29.5 38.6,29.7 39.0,29.6 39.4,28.8 39.9,28.2 40.3,26.7 40.7,26.2 41.2,24.3 41.6,24.1 42.0,24.5 42.4,25.2 42.9,24.8 43.3,23.3 43.7,22.8 44.2,23.4 44.6,23.8 45.0,23.1 45.5,22.8 45.9,22.8 46.3,22.4 46.7,22.4 47.2,21.8 47.6,22.3 48.0,22.5 48.5,22.5 48.9,21.8 49.3,22.2 49.8,22.6 50.2,22.4 50.6,22.5 51.1,23.5 51.5,24.3 51.9,24.7 52.3,24.4 52.8,25.3 53.2,24.9 53.6,24.3 54.1,23.7 54.5,23.8 54.9,23.0 55.4,24.2 55.8,23.1 56.2,22.3 56.6,23.4 57.1,23.3 57.5,23.0 57.9,23.0 58.4,22.5 58.8,22.5 59.2,22.4 59.7,22.6 60.1,21.2 60.5,21.5 60.9,20.8 61.4,20.0 61.8,19.2 62.2,18.3 62.7,18.6 63.1,17.4 63.5,17.2 64.0,16.0 64.4,16.6 64.8,15.0 65.3,15.0 65.7,14.8 66.1,14.6 66.5,14.2 67.0,14.5 67.4,12.2 67.8,13.0 68.3,14.1 68.7,14.4 69.1,14.2 69.6,14.0 70.0,10.4 70.4,9.9 70.8,11.9 71.3,12.6 71.7,10.6 72.1,10.8 72.6,10.7 73.0,8.8 73.4,9.8 73.9,10.2 74.3,12.7 74.7,12.5 75.1,11.1 75.6,10.0 76.0,10.3 76.4,12.8 76.9,12.6 77.3,14.8 77.7,15.6 78.2,13.7 78.6,13.6 79.0,14.4 79.5,12.7 79.9,11.6 80.3,11.5 80.7,10.0 81.2,9.2 81.6,11.7 82.0,12.0 82.5,12.6 82.9,12.4 83.3,13.7 83.8,13.8 84.2,16.6 84.6,14.2 85.0,15.7 85.5,16.9 85.9,16.6 86.3,14.9 86.8,14.9 87.2,15.6 87.6,14.2 88.1,15.6 88.5,15.5 88.9,15.2 89.3,15.5 89.8,14.6 90.2,15.2 90.6,15.9 91.1,15.2 91.5,15.9 91.9,18.1 92.4,17.5 92.8,15.5 93.2,16.0 93.6,15.5 94.1,13.5 94.5,12.7 94.9,11.8 95.4,12.5 95.8,11.4 96.2,5.6 96.7,5.6 97.1,5.5 97.5,3.7 98.0,2.7 98.4,3.8 98.8,4.9 99.2,4.1 99.7,3.4 100.1,6.2 100.5,6.3 101.0,5.6 101.4,4.9 101.8,3.6 102.3,4.6 102.7,5.9 103.1,6.6 103.5,5.6 104.0,6.0 104.4,4.0 104.8,4.8 105.3,4.4 105.7,2.0 106.1,6.5 106.6,8.1 107.0,6.7 107.4,4.3 107.8,5.2 108.3,4.7 108.7,4.2 109.1,5.5 109.6,5.0 110.0,6.7", "ret_12_1": 177.0, "ret_6_1": 72.2, "ret_3_1": 19.6, "volatility": 60.1, "traded_daily_cr": 128.0, "watch": "Nothing flagged", "from_12m_high": -10.3, "signal_rank": 6, "data_quality": "Green"}, {"rank": 2, "symbol": "AEROFLEX", "isin": "INE024001021", "qty": 29, "last_close": 513.4, "amount": 14889.0, "spark_12m": "2.0,29.8 2.4,29.6 2.9,29.5 3.3,30.0 3.7,30.1 4.2,30.5 4.6,30.8 5.0,30.9 5.4,30.9 5.9,30.5 6.3,30.7 6.7,30.8 7.2,30.9 7.6,31.0 8.0,31.0 8.5,31.1 8.9,31.2 9.3,31.2 9.7,31.2 10.2,31.2 10.6,31.4 11.0,31.1 11.5,31.0 11.9,31.0 12.3,31.0 12.8,30.1 13.2,30.1 13.6,30.5 14.0,30.0 14.5,29.8 14.9,30.3 15.3,30.5 15.8,30.0 16.2,30.0 16.6,30.2 17.1,30.2 17.5,30.1 17.9,29.9 18.4,30.1 18.8,30.3 19.2,30.2 19.6,30.2 20.1,30.5 20.5,30.9 20.9,30.2 21.4,30.2 21.8,30.4 22.2,30.0 22.7,30.2 23.1,30.3 23.5,30.6 23.9,30.6 24.4,30.7 24.8,31.3 25.2,31.0 25.7,30.7 26.1,30.9 26.5,30.7 27.0,30.3 27.4,30.5 27.8,30.3 28.2,30.7 28.7,29.5 29.1,29.2 29.5,28.8 30.0,28.6 30.4,28.9 30.8,29.1 31.3,29.3 31.7,29.5 32.1,29.6 32.5,29.2 33.0,29.0 33.4,29.3 33.8,29.1 34.3,29.9 34.7,30.2 35.1,30.2 35.6,30.5 36.0,30.7 36.4,30.8 36.9,30.9 37.3,31.3 37.7,31.8 38.1,31.5 38.6,32.0 39.0,31.7 39.4,31.4 39.9,30.4 40.3,30.6 40.7,31.0 41.2,30.1 41.6,29.9 42.0,29.9 42.4,30.1 42.9,29.3 43.3,29.4 43.7,29.6 44.2,29.5 44.6,30.0 45.0,29.6 45.5,28.5 45.9,27.1 46.3,27.0 46.7,27.3 47.2,27.6 47.6,27.7 48.0,27.0 48.5,26.9 48.9,26.5 49.3,27.2 49.8,27.7 50.2,27.3 50.6,27.6 51.1,27.9 51.5,27.5 51.9,26.5 52.3,26.3 52.8,26.5 53.2,25.6 53.6,25.3 54.1,25.6 54.5,26.8 54.9,26.6 55.4,27.3 55.8,25.3 56.2,25.3 56.6,26.1 57.1,26.2 57.5,25.4 57.9,25.2 58.4,25.0 58.8,25.7 59.2,24.6 59.7,23.6 60.1,22.6 60.5,22.6 60.9,22.3 61.4,22.1 61.8,21.0 62.2,21.7 62.7,22.6 63.1,21.5 63.5,22.1 64.0,23.4 64.4,22.2 64.8,22.3 65.3,21.4 65.7,21.4 66.1,21.6 66.5,20.5 67.0,18.6 67.4,13.6 67.8,11.7 68.3,14.7 68.7,17.1 69.1,17.1 69.6,17.4 70.0,16.7 70.4,16.8 70.8,15.9 71.3,15.2 71.7,16.0 72.1,14.3 72.6,13.5 73.0,14.3 73.4,14.0 73.9,14.4 74.3,15.4 74.7,13.1 75.1,12.1 75.6,11.7 76.0,13.1 76.4,14.6 76.9,12.7 77.3,13.5 77.7,13.9 78.2,11.1 78.6,8.9 79.0,9.4 79.5,6.5 79.9,8.1 80.3,6.8 80.7,6.6 81.2,7.1 81.6,8.8 82.0,9.7 82.5,9.6 82.9,9.4 83.3,8.1 83.8,8.9 84.2,10.5 84.6,10.3 85.0,13.6 85.5,14.5 85.9,14.2 86.3,13.6 86.8,13.0 87.2,13.8 87.6,13.0 88.1,13.8 88.5,13.8 88.9,14.1 89.3,13.6 89.8,14.0 90.2,13.1 90.6,13.0 91.1,13.2 91.5,11.2 91.9,10.9 92.4,12.6 92.8,12.0 93.2,12.3 93.6,9.9 94.1,10.5 94.5,11.8 94.9,12.7 95.4,13.1 95.8,12.9 96.2,11.2 96.7,11.1 97.1,10.2 97.5,10.5 98.0,8.3 98.4,9.2 98.8,9.1 99.2,7.1 99.7,7.0 100.1,7.6 100.5,4.7 101.0,5.7 101.4,4.3 101.8,5.5 102.3,3.6 102.7,4.4 103.1,4.3 103.5,4.6 104.0,3.1 104.4,2.0 104.8,2.9 105.3,2.7 105.7,2.7 106.1,6.8 106.6,8.7 107.0,7.5 107.4,6.5 107.8,6.2 108.3,6.1 108.7,5.8 109.1,5.3 109.6,5.5 110.0,6.3", "ret_12_1": 175.0, "ret_6_1": 107.0, "ret_3_1": 10.7, "volatility": 67.3, "traded_daily_cr": 53.0, "watch": "Nothing flagged", "from_12m_high": -10.5, "signal_rank": 7, "data_quality": "Green"}, {"rank": 3, "symbol": "ATHERENERG", "isin": "INE0LEZ01016", "qty": 10, "last_close": 1454.9, "amount": 14549.0, "spark_12m": "2.0,30.9 2.4,30.7 2.9,31.2 3.3,30.9 3.7,31.6 4.2,32.0 4.6,31.0 5.0,31.4 5.4,30.8 5.9,30.7 6.3,30.0 6.7,29.7 7.2,29.5 7.6,29.9 8.0,30.6 8.5,30.2 8.9,30.1 9.3,29.6 9.7,28.2 10.2,28.1 10.6,27.4 11.0,26.3 11.5,27.1 11.9,27.8 12.3,27.1 12.8,27.0 13.2,27.8 13.6,27.8 14.0,28.2 14.5,28.2 14.9,28.8 15.3,29.6 15.8,29.1 16.2,29.8 16.6,29.0 17.1,29.8 17.5,29.5 17.9,29.2 18.4,29.3 18.8,28.7 19.2,28.3 19.6,28.0 20.1,28.1 20.5,28.6 20.9,28.3 21.4,28.1 21.8,27.7 22.2,27.5 22.7,27.7 23.1,28.3 23.5,28.4 23.9,28.7 24.4,28.6 24.8,28.5 25.2,29.2 25.7,29.3 26.1,29.3 26.5,29.3 27.0,28.3 27.4,28.6 27.8,28.9 28.2,28.9 28.7,27.9 29.1,28.0 29.5,27.8 30.0,27.4 30.4,27.7 30.8,27.5 31.3,27.1 31.7,26.6 32.1,27.0 32.5,26.9 33.0,28.3 33.4,28.1 33.8,28.1 34.3,28.6 34.7,29.6 35.1,29.5 35.6,29.1 36.0,29.3 36.4,30.0 36.9,29.8 37.3,30.3 37.7,30.1 38.1,29.7 38.6,29.9 39.0,30.0 39.4,30.3 39.9,30.4 40.3,29.9 40.7,30.3 41.2,28.6 41.6,28.0 42.0,27.6 42.4,27.8 42.9,27.3 43.3,27.3 43.7,27.5 44.2,27.3 44.6,27.7 45.0,27.7 45.5,27.3 45.9,27.2 46.3,27.1 46.7,27.7 47.2,27.5 47.6,28.0 48.0,27.8 48.5,27.9 48.9,27.7 49.3,27.8 49.8,27.9 50.2,28.3 50.6,28.6 51.1,28.4 51.5,28.1 51.9,27.9 52.3,27.7 52.8,27.8 53.2,27.6 53.6,27.3 54.1,26.7 54.5,26.6 54.9,25.9 55.4,26.7 55.8,26.5 56.2,26.0 56.6,25.5 57.1,26.6 57.5,26.2 57.9,26.4 58.4,25.8 58.8,26.4 59.2,26.2 59.7,24.9 60.1,23.8 60.5,22.7 60.9,23.6 61.4,23.7 61.8,24.1 62.2,23.2 62.7,23.0 63.1,22.7 63.5,22.9 64.0,23.3 64.4,21.8 64.8,22.1 65.3,21.9 65.7,22.0 66.1,22.0 66.5,21.9 67.0,23.0 67.4,22.7 67.8,22.5 68.3,21.1 68.7,22.3 69.1,21.6 69.6,21.9 70.0,21.9 70.4,22.6 70.8,22.6 71.3,22.7 71.7,23.2 72.1,23.3 72.6,22.3 73.0,21.6 73.4,21.5 73.9,21.3 74.3,21.9 74.7,21.4 75.1,19.8 75.6,20.7 76.0,19.5 76.4,20.3 76.9,19.5 77.3,19.3 77.7,19.7 78.2,19.6 78.6,19.7 79.0,20.4 79.5,20.6 79.9,21.1 80.3,21.1 80.7,21.4 81.2,20.2 81.6,20.6 82.0,20.4 82.5,18.2 82.9,16.8 83.3,17.1 83.8,16.7 84.2,17.1 84.6,17.2 85.0,16.8 85.5,15.3 85.9,14.8 86.3,14.6 86.8,15.7 87.2,15.3 87.6,12.9 88.1,13.6 88.5,13.2 88.9,12.9 89.3,13.1 89.8,13.6 90.2,14.5 90.6,15.1 91.1,14.9 91.5,15.2 91.9,14.1 92.4,14.3 92.8,13.8 93.2,13.5 93.6,9.0 94.1,8.4 94.5,8.9 94.9,8.2 95.4,8.6 95.8,7.1 96.2,6.0 96.7,7.0 97.1,7.4 97.5,8.1 98.0,8.6 98.4,9.3 98.8,9.0 99.2,8.7 99.7,8.9 100.1,9.2 100.5,7.8 101.0,7.8 101.4,4.8 101.8,2.2 102.3,2.0 102.7,3.0 103.1,4.2 103.5,5.6 104.0,5.2 104.4,5.7 104.8,5.7 105.3,3.7 105.7,3.8 106.1,6.0 106.6,6.0 107.0,6.4 107.4,4.2 107.8,5.4 108.3,6.6 108.7,7.7 109.1,7.7 109.6,7.8 110.0,8.8", "ret_12_1": 166.0, "ret_6_1": 97.5, "ret_3_1": 31.1, "volatility": 49.4, "traded_daily_cr": 493.0, "watch": "Nothing flagged", "from_12m_high": -15.7, "signal_rank": 9, "data_quality": "Green"}, {"rank": 4, "symbol": "THANGAMAYL", "isin": "INE085J01014", "qty": 2, "last_close": 5011.5, "amount": 10023.0, "spark_12m": "2.0,30.9 2.4,31.1 2.9,31.4 3.3,31.4 3.7,31.4 4.2,31.6 4.6,31.7 5.0,31.6 5.4,31.6 5.9,31.2 6.3,31.3 6.7,31.6 7.2,31.2 7.6,31.5 8.0,31.6 8.5,31.5 8.9,31.8 9.3,31.9 9.7,31.9 10.2,31.9 10.6,31.9 11.0,31.9 11.5,32.0 11.9,31.5 12.3,31.6 12.8,31.3 13.2,31.4 13.6,31.3 14.0,30.8 14.5,28.3 14.9,25.9 15.3,25.7 15.8,23.9 16.2,25.3 16.6,24.8 17.1,24.1 17.5,24.4 17.9,24.5 18.4,24.7 18.8,24.9 19.2,25.1 19.6,25.2 20.1,26.0 20.5,24.8 20.9,24.8 21.4,24.7 21.8,24.8 22.2,24.7 22.7,24.1 23.1,25.2 23.5,24.6 23.9,24.8 24.4,24.9 24.8,25.2 25.2,24.7 25.7,24.9 26.1,24.9 26.5,25.0 27.0,25.0 27.4,24.9 27.8,24.4 28.2,24.6 28.7,24.2 29.1,23.8 29.5,23.7 30.0,24.5 30.4,25.0 30.8,25.0 31.3,25.0 31.7,24.9 32.1,24.7 32.5,24.8 33.0,24.2 33.4,23.4 33.8,21.4 34.3,21.2 34.7,22.7 35.1,22.3 35.6,21.9 36.0,21.5 36.4,21.8 36.9,22.1 37.3,22.1 37.7,21.2 38.1,22.6 38.6,22.9 39.0,23.8 39.4,22.8 39.9,23.4 40.3,24.3 40.7,24.9 41.2,25.1 41.6,24.5 42.0,25.1 42.4,23.9 42.9,22.1 43.3,22.2 43.7,22.3 44.2,22.5 44.6,22.9 45.0,22.1 45.5,22.3 45.9,22.6 46.3,23.4 46.7,23.0 47.2,22.8 47.6,22.0 48.0,21.5 48.5,21.0 48.9,20.8 49.3,21.4 49.8,22.7 50.2,22.6 50.6,22.2 51.1,22.9 51.5,22.1 51.9,23.1 52.3,23.0 52.8,23.3 53.2,23.6 53.6,23.4 54.1,23.3 54.5,24.1 54.9,24.3 55.4,25.2 55.8,24.4 56.2,22.8 56.6,23.7 57.1,23.7 57.5,23.0 57.9,23.1 58.4,21.9 58.8,21.3 59.2,20.3 59.7,20.0 60.1,19.8 60.5,19.5 60.9,19.1 61.4,19.0 61.8,19.3 62.2,19.8 62.7,19.8 63.1,20.4 63.5,21.7 64.0,21.7 64.4,20.8 64.8,20.7 65.3,20.6 65.7,20.8 66.1,20.6 66.5,20.7 67.0,20.1 67.4,19.9 67.8,19.1 68.3,20.5 68.7,22.4 69.1,22.5 69.6,22.7 70.0,22.8 70.4,23.1 70.8,22.5 71.3,21.8 71.7,21.3 72.1,21.6 72.6,21.5 73.0,21.6 73.4,21.0 73.9,19.4 74.3,18.9 74.7,17.2 75.1,16.1 75.6,12.0 76.0,13.0 76.4,12.2 76.9,12.3 77.3,12.4 77.7,12.6 78.2,12.2 78.6,12.1 79.0,12.4 79.5,11.4 79.9,12.5 80.3,12.4 80.7,11.8 81.2,12.8 81.6,12.4 82.0,11.6 82.5,10.0 82.9,7.1 83.3,9.6 83.8,7.6 84.2,8.4 84.6,7.7 85.0,7.2 85.5,4.8 85.9,6.0 86.3,6.3 86.8,8.0 87.2,6.8 87.6,5.9 88.1,7.2 88.5,6.9 88.9,7.2 89.3,6.8 89.8,6.7 90.2,4.5 90.6,4.3 91.1,2.0 91.5,2.8 91.9,6.8 92.4,10.4 92.8,13.7 93.2,15.1 93.6,16.5 94.1,15.2 94.5,14.1 94.9,13.4 95.4,13.0 95.8,13.7 96.2,13.1 96.7,13.4 97.1,12.5 97.5,13.0 98.0,12.2 98.4,12.0 98.8,12.4 99.2,12.2 99.7,12.2 100.1,12.7 100.5,12.2 101.0,12.1 101.4,12.5 101.8,12.6 102.3,13.2 102.7,13.6 103.1,13.3 103.5,13.1 104.0,12.3 104.4,12.9 104.8,14.3 105.3,14.5 105.7,14.2 106.1,15.4 106.6,15.3 107.0,16.0 107.4,14.7 107.8,15.3 108.3,14.3 108.7,13.2 109.1,14.4 109.6,14.2 110.0,14.9", "ret_12_1": 154.0, "ret_6_1": 66.3, "ret_3_1": -14.0, "volatility": 59.8, "traded_daily_cr": 71.0, "watch": "Nothing flagged", "from_12m_high": -31.4, "signal_rank": 11, "data_quality": "Green"}, {"rank": 5, "symbol": "RRKABEL", "isin": "INE777K01022", "qty": 6, "last_close": 2459.8, "amount": 14759.0, "spark_12m": "2.0,31.3 2.4,31.1 2.9,30.7 3.3,31.2 3.7,31.2 4.2,32.0 4.6,31.8 5.0,31.2 5.4,31.1 5.9,31.4 6.3,31.1 6.7,31.1 7.2,31.3 7.6,31.4 8.0,31.0 8.5,31.2 8.9,31.3 9.3,31.3 9.7,31.0 10.2,31.2 10.6,31.4 11.0,31.2 11.5,31.4 11.9,31.5 12.3,30.1 12.8,28.7 13.2,28.4 13.6,28.6 14.0,28.6 14.5,29.0 14.9,28.4 15.3,28.8 15.8,29.2 16.2,29.8 16.6,29.6 17.1,28.8 17.5,29.3 17.9,29.3 18.4,29.1 18.8,29.7 19.2,29.5 19.6,29.4 20.1,29.7 20.5,29.7 20.9,29.5 21.4,29.0 21.8,29.1 22.2,28.8 22.7,28.8 23.1,28.8 23.5,29.0 23.9,28.9 24.4,29.4 24.8,29.5 25.2,29.1 25.7,28.6 26.1,28.7 26.5,28.4 27.0,27.8 27.4,28.1 27.8,28.3 28.2,28.3 28.7,27.3 29.1,26.5 29.5,26.6 30.0,27.1 30.4,27.5 30.8,28.1 31.3,28.2 31.7,27.9 32.1,27.6 32.5,26.9 33.0,26.4 33.4,26.3 33.8,26.4 34.3,26.7 34.7,26.9 35.1,27.3 35.6,27.0 36.0,27.1 36.4,27.5 36.9,28.0 37.3,28.6 37.7,28.6 38.1,28.4 38.6,29.7 39.0,30.0 39.4,29.7 39.9,30.3 40.3,29.3 40.7,29.6 41.2,28.4 41.6,27.8 42.0,27.5 42.4,27.7 42.9,27.6 43.3,28.5 43.7,28.2 44.2,28.3 44.6,28.7 45.0,28.7 45.5,28.4 45.9,28.5 46.3,28.4 46.7,28.1 47.2,27.9 47.6,27.0 48.0,26.9 48.5,26.7 48.9,26.0 49.3,26.5 49.8,27.3 50.2,27.1 50.6,26.6 51.1,27.2 51.5,27.8 51.9,28.4 52.3,28.2 52.8,29.8 53.2,29.3 53.6,28.9 54.1,28.1 54.5,28.9 54.9,29.0 55.4,30.3 55.8,29.7 56.2,29.7 56.6,30.3 57.1,30.7 57.5,30.0 57.9,30.0 58.4,30.0 58.8,30.2 59.2,28.8 59.7,29.1 60.1,28.9 60.5,29.3 60.9,29.0 61.4,27.8 61.8,27.5 62.2,27.6 62.7,27.8 63.1,27.7 63.5,28.3 64.0,28.1 64.4,26.9 64.8,25.1 65.3,24.8 65.7,25.8 66.1,22.2 66.5,22.1 67.0,21.8 67.4,19.6 67.8,19.3 68.3,19.7 68.7,19.4 69.1,19.0 69.6,17.6 70.0,19.1 70.4,19.2 70.8,19.7 71.3,18.9 71.7,19.2 72.1,19.2 72.6,18.5 73.0,18.7 73.4,19.1 73.9,17.3 74.3,17.8 74.7,17.9 75.1,15.6 75.6,14.4 76.0,14.4 76.4,15.6 76.9,15.2 77.3,15.3 77.7,16.0 78.2,15.3 78.6,15.0 79.0,14.8 79.5,14.6 79.9,13.1 80.3,12.7 80.7,12.1 81.2,11.8 81.6,10.6 82.0,9.7 82.5,9.5 82.9,11.4 83.3,11.6 83.8,11.4 84.2,12.3 84.6,13.1 85.0,14.9 85.5,15.0 85.9,14.7 86.3,14.3 86.8,11.7 87.2,12.2 87.6,13.2 88.1,11.2 88.5,13.1 88.9,12.4 89.3,12.2 89.8,10.7 90.2,11.7 90.6,9.6 91.1,9.1 91.5,8.2 91.9,8.5 92.4,8.4 92.8,7.7 93.2,7.2 93.6,7.0 94.1,4.4 94.5,4.9 94.9,5.0 95.4,5.0 95.8,4.0 96.2,4.4 96.7,3.7 97.1,4.5 97.5,5.2 98.0,4.5 98.4,2.5 98.8,2.6 99.2,2.2 99.7,3.0 100.1,4.2 100.5,4.1 101.0,3.7 101.4,2.4 101.8,2.0 102.3,3.0 102.7,7.2 103.1,7.5 103.5,10.3 104.0,11.5 104.4,10.4 104.8,10.9 105.3,10.6 105.7,10.8 106.1,11.6 106.6,11.3 107.0,11.4 107.4,10.4 107.8,11.1 108.3,10.0 108.7,9.9 109.1,9.0 109.6,9.0 110.0,10.2", "ret_12_1": 126.0, "ret_6_1": 110.0, "ret_3_1": 18.2, "volatility": 44.0, "traded_daily_cr": 93.0, "watch": "Nothing flagged", "from_12m_high": -16.0, "signal_rank": 15, "data_quality": "Green"}, {"rank": 6, "symbol": "ACUTAAS", "isin": "INE00FF01025", "qty": 4, "last_close": 3214.4, "amount": 12858.0, "spark_12m": "2.0,30.2 2.4,30.2 2.9,30.3 3.3,30.3 3.7,30.8 4.2,31.5 4.6,31.6 5.0,32.0 5.4,31.2 5.9,31.1 6.3,30.9 6.7,30.9 7.2,30.9 7.6,30.7 8.0,30.1 8.5,29.7 8.9,29.7 9.3,29.1 9.7,29.0 10.2,27.8 10.6,26.4 11.0,26.1 11.5,26.7 11.9,27.4 12.3,26.8 12.8,27.0 13.2,27.3 13.6,27.1 14.0,26.8 14.5,25.8 14.9,25.5 15.3,26.3 15.8,26.4 16.2,26.4 16.6,26.5 17.1,27.1 17.5,27.4 17.9,27.0 18.4,27.1 18.8,27.0 19.2,26.9 19.6,26.8 20.1,27.2 20.5,25.0 20.9,26.1 21.4,26.0 21.8,26.1 22.2,25.4 22.7,26.2 23.1,26.6 23.5,26.7 23.9,27.1 24.4,27.1 24.8,27.8 25.2,27.6 25.7,27.4 26.1,27.7 26.5,27.6 27.0,28.1 27.4,27.2 27.8,27.7 28.2,28.0 28.7,27.8 29.1,27.4 29.5,27.2 30.0,27.8 30.4,27.8 30.8,27.8 31.3,27.7 31.7,27.1 32.1,26.5 32.5,26.6 33.0,26.3 33.4,26.4 33.8,26.4 34.3,26.7 34.7,27.4 35.1,27.5 35.6,27.4 36.0,27.1 36.4,27.2 36.9,27.4 37.3,28.1 37.7,28.4 38.1,27.9 38.6,27.8 39.0,26.8 39.4,25.1 39.9,24.2 40.3,24.5 40.7,24.2 41.2,23.8 41.6,23.5 42.0,23.6 42.4,23.6 42.9,23.4 43.3,22.8 43.7,23.0 44.2,22.2 44.6,23.2 45.0,22.9 45.5,22.4 45.9,21.6 46.3,22.1 46.7,22.0 47.2,21.5 47.6,21.5 48.0,21.3 48.5,21.1 48.9,21.4 49.3,21.0 49.8,22.1 50.2,20.4 50.6,20.2 51.1,21.4 51.5,20.5 51.9,21.0 52.3,21.0 52.8,22.3 53.2,21.3 53.6,19.6 54.1,20.1 54.5,20.3 54.9,18.3 55.4,20.0 55.8,17.9 56.2,16.7 56.6,16.5 57.1,16.3 57.5,19.2 57.9,22.0 58.4,20.7 58.8,20.7 59.2,19.2 59.7,19.3 60.1,18.8 60.5,18.4 60.9,19.7 61.4,19.1 61.8,18.8 62.2,18.2 62.7,18.7 63.1,18.0 63.5,18.5 64.0,18.4 64.4,17.1 64.8,17.5 65.3,17.0 65.7,15.9 66.1,14.9 66.5,15.1 67.0,14.7 67.4,14.2 67.8,14.1 68.3,13.2 68.7,14.0 69.1,12.9 69.6,14.2 70.0,14.2 70.4,13.3 70.8,12.2 71.3,12.3 71.7,10.8 72.1,11.4 72.6,11.7 73.0,10.3 73.4,10.8 73.9,9.1 74.3,10.5 74.7,10.3 75.1,9.1 75.6,8.7 76.0,6.6 76.4,6.8 76.9,8.3 77.3,8.2 77.7,9.2 78.2,8.9 78.6,9.5 79.0,10.8 79.5,10.8 79.9,9.0 80.3,7.7 80.7,7.6 81.2,7.3 81.6,7.4 82.0,7.0 82.5,3.6 82.9,4.1 83.3,3.6 83.8,2.0 84.2,2.0 84.6,4.3 85.0,5.8 85.5,5.0 85.9,5.0 86.3,5.7 86.8,4.5 87.2,5.0 87.6,3.9 88.1,3.4 88.5,3.0 88.9,2.5 89.3,2.2 89.8,2.4 90.2,5.0 90.6,7.5 91.1,6.1 91.5,7.0 91.9,6.9 92.4,7.8 92.8,9.4 93.2,9.3 93.6,7.9 94.1,7.2 94.5,7.5 94.9,7.0 95.4,7.2 95.8,7.7 96.2,8.8 96.7,9.4 97.1,7.8 97.5,8.3 98.0,5.8 98.4,7.9 98.8,8.1 99.2,8.6 99.7,8.6 100.1,6.8 100.5,7.5 101.0,6.6 101.4,7.2 101.8,8.7 102.3,8.6 102.7,9.1 103.1,8.2 103.5,8.6 104.0,8.5 104.4,8.5 104.8,7.7 105.3,5.1 105.7,5.9 106.1,7.4 106.6,6.4 107.0,6.8 107.4,5.2 107.8,5.4 108.3,8.1 108.7,7.4 109.1,7.2 109.6,7.3 110.0,8.1", "ret_12_1": 126.0, "ret_6_1": 36.7, "ret_3_1": -5.6, "volatility": 46.7, "traded_daily_cr": 101.0, "watch": "Nothing flagged", "from_12m_high": -13.0, "signal_rank": 16, "data_quality": "Green"}, {"rank": 7, "symbol": "DIACABS", "isin": "INE989C01038", "qty": 44, "last_close": 339.25, "amount": 14927.0, "spark_12m": "2.0,27.2 2.4,27.3 2.9,27.2 3.3,27.4 3.7,28.0 4.2,28.4 4.6,28.2 5.0,28.6 5.4,28.5 5.9,28.3 6.3,28.7 6.7,29.2 7.2,29.3 7.6,29.4 8.0,29.4 8.5,29.6 8.9,29.5 9.3,29.2 9.7,29.3 10.2,29.4 10.6,29.2 11.0,29.1 11.5,29.1 11.9,29.3 12.3,28.1 12.8,28.5 13.2,28.1 13.6,28.2 14.0,28.2 14.5,28.1 14.9,27.9 15.3,28.6 15.8,28.3 16.2,28.8 16.6,28.9 17.1,28.8 17.5,28.4 17.9,28.4 18.4,28.4 18.8,28.7 19.2,28.3 19.6,28.7 20.1,29.1 20.5,29.5 20.9,29.6 21.4,29.4 21.8,29.4 22.2,28.5 22.7,28.6 23.1,28.9 23.5,29.2 23.9,29.3 24.4,29.1 24.8,29.4 25.2,29.4 25.7,29.7 26.1,29.7 26.5,29.5 27.0,29.4 27.4,29.6 27.8,29.6 28.2,29.5 28.7,29.5 29.1,29.2 29.5,29.3 30.0,29.5 30.4,29.6 30.8,29.8 31.3,29.8 31.7,29.8 32.1,29.8 32.5,29.9 33.0,29.3 33.4,29.3 33.8,29.1 34.3,29.7 34.7,30.2 35.1,30.1 35.6,30.5 36.0,30.7 36.4,30.6 36.9,30.4 37.3,31.0 37.7,30.9 38.1,30.8 38.6,31.4 39.0,31.4 39.4,31.1 39.9,31.4 40.3,31.5 40.7,31.7 41.2,31.2 41.6,30.8 42.0,31.3 42.4,31.3 42.9,30.9 43.3,30.4 43.7,30.2 44.2,30.3 44.6,30.5 45.0,29.5 45.5,29.8 45.9,29.8 46.3,30.2 46.7,30.1 47.2,30.2 47.6,30.4 48.0,30.0 48.5,29.6 48.9,29.9 49.3,29.9 49.8,30.4 50.2,29.9 50.6,30.1 51.1,30.2 51.5,29.7 51.9,29.9 52.3,30.0 52.8,30.8 53.2,31.0 53.6,31.2 54.1,30.7 54.5,31.4 54.9,31.0 55.4,32.0 55.8,31.7 56.2,30.9 56.6,31.5 57.1,31.9 57.5,31.2 57.9,31.2 58.4,30.8 58.8,30.9 59.2,30.3 59.7,30.4 60.1,29.9 60.5,29.8 60.9,29.5 61.4,28.7 61.8,28.6 62.2,27.4 62.7,27.2 63.1,27.5 63.5,27.5 64.0,27.3 64.4,26.8 64.8,27.1 65.3,27.3 65.7,27.7 66.1,26.8 66.5,26.6 67.0,25.6 67.4,26.4 67.8,26.0 68.3,25.8 68.7,26.4 69.1,25.9 69.6,24.0 70.0,23.5 70.4,24.0 70.8,24.2 71.3,23.6 71.7,23.8 72.1,23.8 72.6,23.5 73.0,22.4 73.4,23.3 73.9,23.7 74.3,25.0 74.7,23.7 75.1,24.3 75.6,23.9 76.0,22.7 76.4,23.3 76.9,22.8 77.3,23.4 77.7,23.8 78.2,22.9 78.6,21.4 79.0,22.4 79.5,22.6 79.9,22.9 80.3,22.1 80.7,22.3 81.2,22.9 81.6,22.6 82.0,22.4 82.5,22.2 82.9,22.1 83.3,22.2 83.8,22.0 84.2,23.2 84.6,21.1 85.0,20.4 85.5,19.7 85.9,18.9 86.3,20.0 86.8,20.1 87.2,20.4 87.6,20.2 88.1,20.4 88.5,20.7 88.9,18.3 89.3,15.6 89.8,15.6 90.2,15.1 90.6,12.8 91.1,11.5 91.5,10.0 91.9,8.2 92.4,9.2 92.8,9.7 93.2,9.8 93.6,10.5 94.1,8.8 94.5,7.0 94.9,5.3 95.4,5.7 95.8,5.5 96.2,4.9 96.7,5.0 97.1,4.8 97.5,5.8 98.0,4.9 98.4,5.8 98.8,6.4 99.2,6.2 99.7,6.5 100.1,8.0 100.5,8.1 101.0,8.1 101.4,6.9 101.8,7.1 102.3,7.9 102.7,8.9 103.1,9.8 103.5,8.8 104.0,8.7 104.4,8.3 104.8,8.5 105.3,6.7 105.7,4.8 106.1,2.8 106.6,2.0 107.0,4.0 107.4,5.0 107.8,4.0 108.3,4.6 108.7,3.8 109.1,5.7 109.6,6.4 110.0,8.0", "ret_12_1": 124.0, "ret_6_1": 180.0, "ret_3_1": 61.7, "volatility": 53.6, "traded_daily_cr": 51.0, "watch": "Nothing flagged", "from_12m_high": -14.1, "signal_rank": 17, "data_quality": "Green"}, {"rank": 8, "symbol": "KIRLOSENG", "isin": "INE146L01010", "qty": 7, "last_close": 2141.2, "amount": 14988.0, "spark_12m": "2.0,30.3 2.4,30.3 2.9,30.5 3.3,30.2 3.7,30.7 4.2,31.2 4.6,31.1 5.0,31.1 5.4,31.0 5.9,31.4 6.3,31.6 6.7,31.8 7.2,31.8 7.6,31.8 8.0,31.6 8.5,31.7 8.9,32.0 9.3,31.9 9.7,31.8 10.2,31.6 10.6,31.8 11.0,31.6 11.5,31.5 11.9,31.5 12.3,30.7 12.8,29.6 13.2,29.4 13.6,29.4 14.0,29.7 14.5,29.4 14.9,29.4 15.3,29.9 15.8,30.3 16.2,30.5 16.6,30.7 17.1,28.7 17.5,28.2 17.9,28.1 18.4,27.7 18.8,27.2 19.2,26.6 19.6,26.5 20.1,26.8 20.5,27.4 20.9,26.9 21.4,27.1 21.8,27.2 22.2,27.5 22.7,27.6 23.1,27.7 23.5,28.2 23.9,26.8 24.4,27.4 24.8,28.0 25.2,27.5 25.7,27.7 26.1,27.6 26.5,27.1 27.0,27.3 27.4,25.7 27.8,24.7 28.2,24.6 28.7,25.4 29.1,24.2 29.5,24.4 30.0,25.0 30.4,24.9 30.8,25.8 31.3,25.7 31.7,25.8 32.1,25.6 32.5,25.1 33.0,25.2 33.4,25.3 33.8,25.8 34.3,26.5 34.7,26.9 35.1,27.5 35.6,27.0 36.0,26.7 36.4,26.7 36.9,27.4 37.3,27.9 37.7,27.9 38.1,27.7 38.6,28.0 39.0,28.0 39.4,27.7 39.9,27.6 40.3,26.6 40.7,27.0 41.2,26.5 41.6,25.6 42.0,26.2 42.4,26.7 42.9,25.8 43.3,25.0 43.7,23.9 44.2,23.7 44.6,23.0 45.0,22.4 45.5,22.1 45.9,22.3 46.3,22.2 46.7,22.3 47.2,22.6 47.6,22.7 48.0,22.5 48.5,22.7 48.9,22.7 49.3,22.5 49.8,22.3 50.2,21.4 50.6,20.6 51.1,21.6 51.5,21.9 51.9,21.7 52.3,21.4 52.8,21.7 53.2,21.4 53.6,21.9 54.1,22.0 54.5,22.2 54.9,23.0 55.4,24.6 55.8,23.9 56.2,22.7 56.6,23.5 57.1,23.9 57.5,23.2 57.9,22.9 58.4,22.3 58.8,22.6 59.2,21.4 59.7,21.6 60.1,21.3 60.5,21.1 60.9,19.1 61.4,18.8 61.8,18.7 62.2,18.4 62.7,17.9 63.1,18.4 63.5,18.9 64.0,19.2 64.4,17.6 64.8,16.9 65.3,17.3 65.7,17.3 66.1,16.9 66.5,16.6 67.0,17.1 67.4,16.8 67.8,16.8 68.3,18.0 68.7,19.8 69.1,19.1 69.6,19.1 70.0,16.6 70.4,17.3 70.8,18.0 71.3,17.9 71.7,17.7 72.1,17.8 72.6,17.2 73.0,16.4 73.4,15.0 73.9,13.3 74.3,13.4 74.7,14.5 75.1,13.9 75.6,12.9 76.0,13.5 76.4,14.6 76.9,14.6 77.3,15.2 77.7,15.6 78.2,13.9 78.6,13.2 79.0,13.4 79.5,12.2 79.9,12.3 80.3,12.1 80.7,5.1 81.2,3.0 81.6,2.0 82.0,3.4 82.5,4.2 82.9,5.5 83.3,5.9 83.8,6.3 84.2,7.9 84.6,7.3 85.0,7.2 85.5,7.1 85.9,4.5 86.3,3.3 86.8,4.3 87.2,5.6 87.6,4.6 88.1,5.0 88.5,7.5 88.9,8.1 89.3,8.1 89.8,8.7 90.2,8.8 90.6,8.7 91.1,7.0 91.5,8.6 91.9,8.8 92.4,9.6 92.8,8.6 93.2,8.0 93.6,7.1 94.1,7.7 94.5,7.6 94.9,9.1 95.4,9.7 95.8,10.2 96.2,11.0 96.7,10.9 97.1,10.2 97.5,10.2 98.0,9.8 98.4,10.6 98.8,9.3 99.2,10.2 99.7,10.8 100.1,11.5 100.5,11.3 101.0,10.2 101.4,9.8 101.8,10.2 102.3,9.5 102.7,9.1 103.1,7.2 103.5,8.4 104.0,8.9 104.4,7.1 104.8,8.1 105.3,8.3 105.7,9.0 106.1,11.2 106.6,11.3 107.0,9.8 107.4,9.1 107.8,9.6 108.3,9.1 108.7,8.1 109.1,9.1 109.6,9.6 110.0,9.5", "ret_12_1": 123.0, "ret_6_1": 58.2, "ret_3_1": -11.2, "volatility": 49.9, "traded_daily_cr": 87.0, "watch": "Nothing flagged", "from_12m_high": -16.5, "signal_rank": 18, "data_quality": "Green"}, {"rank": 9, "symbol": "E2E", "isin": "INE255Z01027", "qty": 23, "last_close": 625.9, "amount": 14396.0, "spark_12m": "2.0,25.4 2.4,24.4 2.9,23.5 3.3,24.3 3.7,23.7 4.2,22.9 4.6,23.7 5.0,24.4 5.4,23.4 5.9,22.4 6.3,21.3 6.7,21.1 7.2,21.2 7.6,22.8 8.0,23.1 8.5,23.8 8.9,24.4 9.3,24.4 9.7,24.3 10.2,24.1 10.6,24.5 11.0,24.4 11.5,24.3 11.9,25.2 12.3,24.5 12.8,24.9 13.2,25.1 13.6,24.9 14.0,25.0 14.5,25.3 14.9,24.9 15.3,25.3 15.8,25.1 16.2,25.3 16.6,26.1 17.1,26.1 17.5,26.8 17.9,27.8 18.4,28.0 18.8,28.1 19.2,28.0 19.6,28.1 20.1,28.8 20.5,29.7 20.9,29.7 21.4,29.6 21.8,29.8 22.2,30.1 22.7,30.0 23.1,30.5 23.5,30.9 23.9,30.5 24.4,31.0 24.8,31.6 25.2,30.8 25.7,31.2 26.1,31.1 26.5,31.1 27.0,31.1 27.4,31.5 27.8,31.6 28.2,31.7 28.7,31.3 29.1,31.2 29.5,31.1 30.0,31.2 30.4,31.4 30.8,32.0 31.3,31.9 31.7,31.8 32.1,31.7 32.5,31.6 33.0,31.2 33.4,31.5 33.8,31.6 34.3,31.5 34.7,31.5 35.1,31.6 35.6,31.8 36.0,31.6 36.4,30.3 36.9,30.2 37.3,30.8 37.7,31.3 38.1,31.2 38.6,31.5 39.0,31.5 39.4,31.3 39.9,31.5 40.3,31.0 40.7,29.0 41.2,28.0 41.6,29.0 42.0,29.5 42.4,28.7 42.9,27.8 43.3,28.2 43.7,27.9 44.2,28.4 44.6,28.8 45.0,28.2 45.5,28.3 45.9,26.5 46.3,25.8 46.7,26.4 47.2,28.2 47.6,29.0 48.0,28.3 48.5,28.0 48.9,28.2 49.3,28.9 49.8,29.7 50.2,29.7 50.6,29.8 51.1,29.9 51.5,29.1 51.9,29.4 52.3,29.6 52.8,29.9 53.2,30.4 53.6,30.5 54.1,30.1 54.5,30.0 54.9,30.1 55.4,30.7 55.8,30.7 56.2,30.2 56.6,30.9 57.1,31.4 57.5,30.8 57.9,30.2 58.4,29.9 58.8,29.6 59.2,28.9 59.7,29.1 60.1,29.0 60.5,28.9 60.9,28.1 61.4,27.4 61.8,26.8 62.2,27.4 62.7,26.6 63.1,26.0 63.5,26.2 64.0,26.2 64.4,25.3 64.8,25.7 65.3,26.0 65.7,26.3 66.1,26.6 66.5,25.8 67.0,24.9 67.4,23.9 67.8,23.0 68.3,21.9 68.7,23.0 69.1,24.1 69.6,24.0 70.0,24.9 70.4,25.5 70.8,24.5 71.3,23.6 71.7,23.1 72.1,22.1 72.6,21.3 73.0,20.2 73.4,19.8 73.9,20.0 74.3,18.8 74.7,17.5 75.1,18.8 75.6,17.6 76.0,16.3 76.4,17.6 76.9,19.0 77.3,20.2 77.7,21.4 78.2,20.3 78.6,21.1 79.0,20.6 79.5,20.3 79.9,19.1 80.3,17.9 80.7,16.6 81.2,17.5 81.6,18.4 82.0,18.7 82.5,19.8 82.9,19.7 83.3,19.3 83.8,20.2 84.2,20.6 84.6,20.6 85.0,21.3 85.5,20.8 85.9,19.6 86.3,19.6 86.8,20.3 87.2,19.8 87.6,18.8 88.1,18.1 88.5,19.2 88.9,18.0 89.3,16.7 89.8,15.3 90.2,13.9 90.6,12.4 91.1,10.8 91.5,12.4 91.9,13.9 92.4,13.8 92.8,12.3 93.2,10.8 93.6,9.1 94.1,7.4 94.5,6.9 94.9,8.8 95.4,7.1 95.8,5.6 96.2,5.3 96.7,5.1 97.1,3.2 97.5,2.0 98.0,3.3 98.4,5.4 98.8,5.8 99.2,5.9 99.7,6.5 100.1,7.5 100.5,6.5 101.0,6.2 101.4,6.3 101.8,6.1 102.3,6.0 102.7,6.8 103.1,7.7 103.5,7.2 104.0,5.4 104.4,6.2 104.8,7.0 105.3,6.9 105.7,6.6 106.1,8.5 106.6,7.3 107.0,7.0 107.4,6.8 107.8,7.7 108.3,7.0 108.7,5.1 109.1,4.4 109.6,4.1 110.0,5.7", "ret_12_1": 109.0, "ret_6_1": 186.0, "ret_3_1": 56.0, "volatility": 56.2, "traded_daily_cr": 49.0, "watch": "Nothing flagged", "from_12m_high": -8.8, "signal_rank": 20, "data_quality": "Green"}, {"rank": 10, "symbol": "LAURUSLABS", "isin": "INE947Q01028", "qty": 7, "last_close": 2010.7, "amount": 14075.0, "spark_12m": "2.0,29.5 2.4,30.2 2.9,30.1 3.3,30.1 3.7,30.4 4.2,32.0 4.6,31.8 5.0,31.8 5.4,31.0 5.9,31.2 6.3,31.2 6.7,31.2 7.2,31.5 7.6,31.2 8.0,30.9 8.5,31.0 8.9,30.9 9.3,30.9 9.7,31.0 10.2,30.3 10.6,29.8 11.0,29.7 11.5,29.5 11.9,29.7 12.3,29.3 12.8,28.8 13.2,28.8 13.6,28.6 14.0,29.0 14.5,28.4 14.9,28.2 15.3,28.3 15.8,28.3 16.2,27.8 16.6,28.2 17.1,28.1 17.5,27.9 17.9,27.8 18.4,27.3 18.8,27.6 19.2,28.1 19.6,28.1 20.1,28.4 20.5,28.3 20.9,28.4 21.4,28.1 21.8,27.7 22.2,27.0 22.7,27.1 23.1,27.3 23.5,27.4 23.9,27.5 24.4,27.2 24.8,27.7 25.2,27.3 25.7,27.4 26.1,27.3 26.5,27.5 27.0,27.7 27.4,27.8 27.8,27.6 28.2,27.4 28.7,26.7 29.1,26.2 29.5,26.1 30.0,25.7 30.4,25.7 30.8,25.8 31.3,25.5 31.7,25.1 32.1,25.1 32.5,25.2 33.0,25.2 33.4,24.9 33.8,24.6 34.3,25.3 34.7,25.7 35.1,26.7 35.6,26.4 36.0,25.6 36.4,25.9 36.9,26.2 37.3,26.9 37.7,28.1 38.1,27.7 38.6,27.4 39.0,27.8 39.4,27.8 39.9,28.5 40.3,28.7 40.7,29.0 41.2,28.4 41.6,28.3 42.0,28.7 42.4,29.0 42.9,28.2 43.3,28.7 43.7,27.5 44.2,27.3 44.6,27.5 45.0,27.5 45.5,27.5 45.9,26.9 46.3,27.3 46.7,27.3 47.2,27.4 47.6,27.1 48.0,25.9 48.5,25.5 48.9,25.9 49.3,26.2 49.8,27.0 50.2,26.7 50.6,27.2 51.1,27.3 51.5,26.9 51.9,26.8 52.3,26.6 52.8,27.7 53.2,28.8 53.6,28.6 54.1,28.2 54.5,29.2 54.9,28.1 55.4,28.8 55.8,28.0 56.2,27.2 56.6,27.6 57.1,28.0 57.5,26.8 57.9,26.7 58.4,26.4 58.8,26.4 59.2,25.8 59.7,25.7 60.1,25.4 60.5,25.6 60.9,24.9 61.4,24.6 61.8,24.4 62.2,24.6 62.7,25.0 63.1,25.4 63.5,24.6 64.0,25.0 64.4,24.7 64.8,25.6 65.3,25.2 65.7,25.3 66.1,23.7 66.5,23.7 67.0,23.4 67.4,22.7 67.8,22.1 68.3,21.2 68.7,21.1 69.1,20.8 69.6,19.9 70.0,19.7 70.4,19.6 70.8,19.2 71.3,18.8 71.7,19.1 72.1,19.2 72.6,18.9 73.0,18.5 73.4,18.3 73.9,18.8 74.3,18.1 74.7,18.3 75.1,18.0 75.6,17.1 76.0,16.7 76.4,17.7 76.9,17.2 77.3,18.2 77.7,18.1 78.2,18.0 78.6,18.1 79.0,18.4 79.5,18.6 79.9,18.6 80.3,17.5 80.7,16.9 81.2,15.8 81.6,16.5 82.0,16.6 82.5,15.3 82.9,14.9 83.3,15.5 83.8,14.6 84.2,14.3 84.6,14.6 85.0,15.9 85.5,16.1 85.9,15.1 86.3,14.4 86.8,13.9 87.2,13.8 87.6,14.0 88.1,13.9 88.5,14.6 88.9,13.9 89.3,13.0 89.8,13.4 90.2,13.6 90.6,12.8 91.1,10.0 91.5,8.9 91.9,8.3 92.4,8.3 92.8,7.4 93.2,7.6 93.6,6.6 94.1,7.0 94.5,7.1 94.9,6.7 95.4,6.5 95.8,6.4 96.2,6.6 96.7,6.6 97.1,8.2 97.5,7.6 98.0,7.5 98.4,7.8 98.8,7.2 99.2,7.8 99.7,7.8 100.1,6.2 100.5,5.7 101.0,4.6 101.4,4.4 101.8,5.0 102.3,6.3 102.7,6.2 103.1,6.1 103.5,6.8 104.0,5.9 104.4,4.2 104.8,4.4 105.3,4.2 105.7,3.6 106.1,4.7 106.6,5.2 107.0,4.1 107.4,4.0 107.8,2.4 108.3,2.7 108.7,2.0 109.1,2.2 109.6,2.7 110.0,2.6", "ret_12_1": 109.0, "ret_6_1": 94.4, "ret_3_1": 27.2, "volatility": 28.1, "traded_daily_cr": 300.0, "watch": "Nothing flagged", "from_12m_high": -1.1, "signal_rank": 21, "data_quality": "Green"}]}, "prices": {"TDPOWERSYS": {"2026-09-28": {"open": 730.05, "close": 722.0, "src": "yahoo"}, "2026-09-29": {"open": 719.0, "close": 777.35, "src": "bhavcopy"}, "2026-09-30": {"open": 783.0, "close": 786.05, "src": "bhavcopy"}, "2026-10-01": {"open": 779.9, "close": 792.15, "src": "bhavcopy"}, "2026-10-05": {"open": 801.0, "close": 812.9, "src": "bhavcopy"}, "2026-10-02": {"open": 792.15, "close": 792.15, "src": "yahoo"}, "2026-10-06": {"open": 810.0, "close": 816.0, "src": "bhavcopy"}, "2026-10-07": {"open": 818.0, "close": 821.1, "src": "bhavcopy"}, "2026-10-08": {"open": 835.0, "close": 793.5, "src": "bhavcopy"}}, "AEROFLEX": {"2026-09-28": {"open": 524.25, "close": 513.4, "src": "yahoo"}, "2026-09-29": {"open": 511.3, "close": 539.6, "src": "bhavcopy"}, "2026-09-30": {"open": 539.6, "close": 536.6, "src": "bhavcopy"}, </t>
        </is>
      </c>
    </row>
    <row r="2">
      <c r="A2" t="inlineStr">
        <is>
          <t>"2026-10-01": {"open": 540.0, "close": 521.35, "src": "bhavcopy"}, "2026-10-05": {"open": 524.0, "close": 544.35, "src": "bhavcopy"}, "2026-10-02": {"open": 521.35, "close": 521.35, "src": "yahoo"}, "2026-10-06": {"open": 549.7, "close": 560.75, "src": "bhavcopy"}, "2026-10-07": {"open": 566.4, "close": 563.85, "src": "bhavcopy"}, "2026-10-08": {"open": 572.05, "close": 529.0, "src": "bhavcopy"}}, "E2E": {"2026-09-28": {"open": 650.0, "close": 625.9, "src": "yahoo"}, "2026-09-29": {"open": 619.55, "close": 651.8, "src": "bhavcopy"}, "2026-09-30": {"open": 655.05, "close": 650.5, "src": "bhavcopy"}, "2026-10-01": {"open": 647.0, "close": 648.0, "src": "bhavcopy"}, "2026-10-05": {"open": 659.9, "close": 656.1, "src": "bhavcopy"}, "2026-10-06": {"open": 665.0, "close": 688.9, "src": "bhavcopy"}, "2026-10-07": {"open": 678.9, "close": 723.3, "src": "bhavcopy"}, "2026-10-08": {"open": 744.0, "close": 714.15, "src": "bhavcopy"}}, "LAURUSLABS": {"2026-09-28": {"open": 2000.0, "close": 2010.7, "src": "yahoo"}, "2026-09-29": {"open": 2020.7, "close": 1979.0, "src": "bhavcopy"}, "2026-09-30": {"open": 1993.0, "close": 1980.0, "src": "bhavcopy"}, "2026-10-01": {"open": 1973.6, "close": 1984.0, "src": "bhavcopy"}, "2026-10-05": {"open": 1994.0, "close": 1971.4, "src": "bhavcopy"}, "2026-10-02": {"open": 1984.0, "close": 1984.0, "src": "yahoo"}, "2026-10-06": {"open": 1968.9, "close": 2050.0, "src": "bhavcopy"}, "2026-10-07": {"open": 2052.0, "close": 2052.8, "src": "bhavcopy"}, "2026-10-08": {"open": 2055.0, "close": 1997.9, "src": "bhavcopy"}}, "NIFTY50": {"2026-09-28": {"open": 23064.9, "close": 22780.25, "src": "yahoo"}, "2026-09-29": {"open": 22732.45, "close": 22716.2, "src": "bhavcopy"}, "2026-09-30": {"open": 22665.0, "close": 22620.45, "src": "bhavcopy"}, "2026-10-01": {"open": 22543.7, "close": 22421.95, "src": "bhavcopy"}, "2026-10-05": {"open": 22532.4, "close": 22555.75, "src": "bhavcopy"}, "2026-10-06": {"open": 22603.25, "close": 22776.1, "src": "bhavcopy"}, "2026-10-07": {"open": 22690.45, "close": 22603.05, "src": "bhavcopy"}, "2026-10-08": {"open": 22599.05, "close": 22231.8, "src": "bhavcopy"}}, "ATHERENERG": {"2026-09-28": {"open": 1495.0, "close": 1454.9, "src": "yahoo"}, "2026-09-29": {"open": 1460.2, "close": 1407.0, "src": "bhavcopy"}, "2026-09-30": {"open": 1416.5, "close": 1425.0, "src": "bhavcopy"}, "2026-10-01": {"open": 1422.0, "close": 1406.1, "src": "bhavcopy"}, "2026-10-05": {"open": 1411.1, "close": 1409.9, "src": "bhavcopy"}, "2026-10-02": {"open": 1406.1, "close": 1406.1, "src": "yahoo"}, "2026-10-06": {"open": 1408.7, "close": 1446.0, "src": "bhavcopy"}, "2026-10-07": {"open": 1436.0, "close": 1455.0, "src": "bhavcopy"}, "2026-10-08": {"open": 1454.5, "close": 1406.0, "src": "bhavcopy"}}, "THANGAMAYL": {"2026-09-28": {"open": 5100.0, "close": 5011.5, "src": "yahoo"}, "2026-09-29": {"open": 5010.0, "close": 5204.5, "src": "bhavcopy"}, "2026-09-30": {"open": 5210.5, "close": 5062.0, "src": "bhavcopy"}, "2026-10-01": {"open": 5087.5, "close": 4861.0, "src": "bhavcopy"}, "2026-10-05": {"open": 4870.0, "close": 4747.0, "src": "bhavcopy"}, "2026-10-06": {"open": 4794.0, "close": 4758.5, "src": "bhavcopy"}, "2026-10-07": {"open": 4758.5, "close": 4803.0, "src": "bhavcopy"}, "2026-10-08": {"open": 4840.0, "close": 4810.5, "src": "bhavcopy"}}, "RRKABEL": {"2026-09-28": {"open": 2530.4, "close": 2459.8, "src": "yahoo"}, "2026-09-29": {"open": 2459.8, "close": 2523.2, "src": "bhavcopy"}, "2026-09-30": {"open": 2530.0, "close": 2518.6, "src": "bhavcopy"}, "2026-10-01": {"open": 2524.0, "close": 2518.2, "src": "bhavcopy"}, "2026-10-05": {"open": 2541.5, "close": 2648.0, "src": "bhavcopy"}, "2026-10-06": {"open": 2667.0, "close": 2789.7, "src": "bhavcopy"}, "2026-10-02": {"open": 2518.2, "close": 2518.2, "src": "yahoo"}, "2026-10-07": {"open": 2785.0, "close": 2722.5, "src": "bhavcopy"}, "2026-10-08": {"open": 2701.0, "close": 2696.4, "src": "bhavcopy"}}, "ACUTAAS": {"2026-09-28": {"open": 3272.5, "close": 3214.4, "src": "yahoo"}, "2026-09-29": {"open": 3290.0, "close": 3304.1, "src": "bhavcopy"}, "2026-09-30": {"open": 3334.1, "close": 3279.4, "src": "bhavcopy"}, "2026-10-01": {"open": 3249.0, "close": 3196.5, "src": "bhavcopy"}, "2026-10-05": {"open": 3204.1, "close": 3122.2, "src": "bhavcopy"}, "2026-10-02": {"open": 3196.5, "close": 3196.5, "src": "yahoo"}, "2026-10-06": {"open": 3140.0, "close": 3156.7, "src": "bhavcopy"}, "2026-10-07": {"open": 3160.0, "close": 3174.2, "src": "bhavcopy"}, "2026-10-08": {"open": 3174.6, "close": 3056.7, "src": "bhavcopy"}}, "DIACABS": {"2026-09-28": {"open": 353.0, "close": 339.25, "src": "yahoo"}, "2026-09-29": {"open": 336.9, "close": 352.05, "src": "bhavcopy"}, "2026-09-30": {"open": 349.5, "close": 354.2, "src": "bhavcopy"}, "2026-10-01": {"open": 355.0, "close": 345.0, "src": "bhavcopy"}, "2026-10-05": {"open": 350.0, "close": 350.8, "src": "bhavcopy"}, "2026-10-06": {"open": 350.0, "close": 368.3, "src": "bhavcopy"}, "2026-10-02": {"open": 345.0, "close": 345.0, "src": "yahoo"}, "2026-10-07": {"open": 367.0, "close": 369.15, "src": "bhavcopy"}, "2026-10-08": {"open": 374.9, "close": 371.9, "src": "bhavcopy"}}, "KIRLOSENG": {"2026-09-28": {"open": 2138.1, "close": 2141.2, "src": "yahoo"}, "2026-09-29": {"open": 2141.2, "close": 2402.0, "src": "bhavcopy"}, "2026-09-30": {"open": 2358.0, "close": 2304.2, "src": "bhavcopy"}, "2026-10-01": {"open": 2310.7, "close": 2242.7, "src": "bhavcopy"}, "2026-10-05": {"open": 2265.0, "close": 2243.7, "src": "bhavcopy"}, "2026-10-06": {"open": 2258.8, "close": 2266.1, "src": "bhavcopy"}, "2026-10-02": {"open": 2242.7, "close": 2242.7, "src": "yahoo"}, "2026-10-07": {"open": 2270.0, "close": 2230.8, "src": "bhavcopy"}, "2026-10-08": {"open": 2230.0, "close": 2163.0, "src": "bhavcopy"}}}, "entry_override": {}, "news": {"fetched": "2026-10-08 12:35", "days": 7, "items": [{"symbol": "MARKET", "title": "Sensex Plunges 1,045 Points, Nifty Hits 52-Week Low Amid FII Selling, RBI Tightening", "link": "https://news.google.com/rss/articles/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oc=5", "source": "Rediff", "published": "2026-10-08 10:49", "score": -0.542, "label": "Negative"}, {"symbol": "MARKET", "title": "Sensex settles 1,050 pts lower, Nifty ends below 22,250: Surging crude prices among key factors behind...", "link": "https://news.google.com/rss/articles/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oc=5", "source": "Moneycontrol.com", "published": "2026-10-08 10:35", "score": -0.421, "label": "Negative"}, {"symbol": "MARKET", "title": "Sensex Today Tanks 1,177 Points | Nifty Below 22,250 | 4 Reasons Why Indian Share Markets Are Falling", "link": "https://news.google.com/rss/articles/CBMi0wJBVV95cUxQTWNJOENZdFhYSThjQ2c0VXcteFZJd21NLVdmZ0xjZ1l6MUVUY2g3ZjYyRG05VUI0UnJaaVFEUWJDQjFwU3NicWxqWWNCOHhUSThHbl8xVnNwQ3BidGlSQkZTSjFheDFxdGRJdlAxQTdVUTMwV2MtR0VPY1ZrdGZEZjBlanJaeDNYUEV6QWhPX2tIemtwQnljX2FrUVhXa3VmZ0llYXdJY3JzMXVNd1RJSWk1bXdBZWpRX2p3eExjVzE1YngwRXVfdjlLU0lSSGthUEtNbXI4d1d0X21MX3lNV3lHUWlDX2xPWGVQTC0tUkQtQVpvcExQVGZ4cGNxRkEwTnVVN3hLYmgxT2t0R2JJaUhXbWZQeU52NjNWT1pMdk1wRWFJYklmX3ZNWWxuRUdwbVFLUm9DS2lScVlJeDBpZEJMVjB5S2hEdlZRRzRxMDlVaGM?oc=5", "source": "Equitymaster", "published": "2026-10-08 10:35", "score": -0.273, "label": "Negative"}, {"symbol": "MARKET", "title": "Stock market prediction for tomorrow: Sensex, Nifty outlook for Friday | Kospi, Taiwan cues to watch | 9 Oct 2026", "link": "https://news.google.com/rss/articles/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oc=5", "source": "Livemint", "published": "2026-10-08 10:24", "score": 0.402, "label": "Positive"}, {"symbol": "MARKET", "title": "From the dot-com bust and 2008 financial crisis to COVID, war, inflation and the 2026 oil shock, Sudarshan Kumar tracks six major events that shook the Indian markets over 26 years. Sudarshan Kumar #IndianMarket #StockMarket #Nifty #Sensex #CNBCTV1", "link": "https://news.google.com/rss/articles/CBMiqAFBVV95cUxOT240M3EtalNqQlJLUFFBVURGNmhRM3J4MVg4NnBiVlpHejZVSVdybUNhYkhMcWhVRm9mM0lMbG5maWZhMzlmSUNhaGEtQXUxMVRLWjh6cWo0U1FaZ1ByLVk5VzVVblkxUGZjWDk5ZXFLUGxwT0VBLVR4bzMxRzEybHZKNllTQ2NnNFVfbUgtUU1UMUVuYjdWeWxsNGZiWTRUd3k2M0pCWTA?oc=5", "source": "LinkedIn", "published": "2026-10-08 10:02", "score": -0.861, "label": "Negative"}, {"symbol": "MARKET", "title": "Nearly Rs 11,00,00,00,00,000 Wiped Out! Investors Lose As Sensex Crashes 1,232 Points, Nifty Slips Below 22,200", "link": "https://news.google.com/rss/articles/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oc=5", "source": "NDTV Profit", "published": "2026-10-08 09:30", "score": -0.4, "label": "Negative"}, {"symbol": "MARKET", "title": "Why is the stock market down today? 3 factors behind Sensex, Nifty 50 fall", "link": "https://news.google.com/rss/articles/CBMiyAFBVV95cUxNRWpGS3RydlZCR2xQdGhoeE5oTm9WSG1QVkZPc2MyRW9sS0JTV1hOWmt5MlJnRkZqbTAtZDdUM250NjZxcldnV1h3NWwyX1JRdGlOLVB0QnFVNDE4Sm1YY3lYT3ZsNGZfeno0ejlUczFXc3ROZktva0hxRHZnYzZqbmJfUzFvWGhVZnlRbjVBUkpFdjJMVHpBb0dNODJMQlFUeVRWQkpZUllwZmx6V1pLMDV5ZlQzVlVLdDRHZE9MRUF4TmVsWkdaTw?oc=5", "source": "TradingView", "published": "2026-10-08 08:33", "score": 0.077, "label": "Neutral"}, {"symbol": "MARKET", "title": "Sensex fell 1,000 points: 5 reasons why stock market crashed today", "link": "https://news.google.com/rss/articles/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oc=5", "source": "India Today", "published": "2026-10-08 08:19", "score": 0.0, "label": "Neutral"}, {"symbol": "MARKET", "title": "Stock Market Crash: Why Did Sensex Plunge Nearly 1,000 Pts &amp; Nifty Cracked Below 22,300", "link": "https://news.google.com/rss/articles/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oc=5", "source": "ETV Bharat", "published": "2026-10-08 08:15", "score": -0.681, "label": "Negative"}, {"symbol": "ATHERENERG", "title": "Ather Energy (NSE:ATHERENERG): What Does Its Reg 74(5) Certificate for Q2 FY27 Mean?", "link": "https://news.google.com/rss/articles/CBMiwwFBVV95cUxOQ3N1TTcwb0xyUnNlQnM2M0ZEOG1uSFhtY2FlN1Z4Mk9NTjdzUklmTUVEMm1WeEExYVNqa21uOWt3b0NRSk1mWkFhNm0yd0ZHLWs0cHJnS3FwdXJub01sV1NBUHNMclUyVDRjaWlOVnU0Sl9nUUZOV2hKSnRQbmlwMUdCVUl4cHJFRWZDXzhNaFJtNzgzaDlrMlBNcEZCS1BxRkhwbXgtUEp2eHN3X0xXZWI0cWNXbFdTYkphT1ZZaW9wajA?oc=5", "source": "Kalkine India", "published": "2026-10-08 07:46", "score": 0.273, "label": "Positive"}, {"symbol": "MARKET", "title": "Stock Market Crash: Rs 7 Lakh Crore Wiped Out, What Went Wrong", "link": "https://news.google.com/rss/articles/CBMiswFBVV95cUxOTW1saGpBaGYtTHdqbl9vblU3QkFLRkpWSHJXbEI3M1lLcTYtLUNJdDlvZzNNRVNiUUlmZVV6YzRmWVE0TVM4MElLMTVkSDFkV0Y5cFBXRFpFQS05cEo2bGxVX1RQcXljY2xOcHdIMHlwX1ZJb2VCU21pMnlOUXFrVWZTLW9YeUp1M08wazBHVFZ4VDVsdXNVVm9OeFhoNW5YMWlYM1NSOWVVU1M1Z3Jxd0ZjRQ?oc=5", "source": "Univest", "published": "2026-10-08 07:18", "score": -0.784, "label": "Negative"}, {"symbol": "MARKET", "title": "Stock Market Outlook Today, 8 Oct: Sensex, Nifty Prediction", "link": "https://news.google.com/rss/articles/CBMiswFBVV95cUxOSEFzSlpidTNUeUtWTkJtR3AxMmF4emJNN004WUduT0VmVnJKLUt3REtrN0Z1bVY3THgwd0pLbTlyYXc3WWJudy1WdldVUEljRnhuWUdWekZTeFFJejhlTUM5N3VTVXRHMENKWHhXZjV4V1JnVTBmeERMVFZQS3kwQThENi1ORTdHLTMxSS1GUDZrcXNSbXoxTFpmVlFMS1V1cmhqS3FxTzBsaXVVSjFXeG1DUQ?oc=5", "source": "Univest", "published": "2026-10-08 07:14", "score": 0.402, "label": "Positive"}, {"symbol": "MARKET", "title": "Stock market crash: Terrible Thursday for Sensex, Nifty as over \u20b97 lakh cr investors' wealth eroded - what went wrong?", "link": "https://news.google.com/rss/articles/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oc=5", "source": "Livemint", "published": "2026-10-08 06:53", "score": -0.625, "label": "Negative"}, {"symbol": "MARKET", "title": "Stock market crash today: BSE Sensex tanks over 1,000 points; Nifty50 at 22,231 - top reasons for fall", "link": "https://news.google.com/rss/articles/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oc=5", "source": "The Times of India", "published": "2026-10-08 06:43", "score": -0.823, "label": "Negative"}, {"symbol": "MARKET", "title": "D-St meltdown erodes \u20b910.2 trn in investor wealth; what caused market rout?", "link": "https://news.google.com/rss/articles/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oc=5", "source": "Business Standard", "published": "2026-10-08 06:32", "score": 0.494, "label": "Positive"}, {"symbol": "TDPOWERSYS", "title": "TD Power Systems (NSE:TDPOWERSYS): What Does the Reg 74(5) Compliance Certificate Mean?", "link": "https://news.google.com/rss/articles/CBMixwFBVV95cUxQZTBMSm5wUXNua2Y0dG81UUxKVWlLRzNYaDBuLVRLQnVsMWlnc19ZVVVjQjNQNUsxUTNOSTFvekFQS013aUY3NWstWXlKSjMxR1BtVXhYbGViWkdJUU9nREIwMTIyMXFaOGViMmRWYU1mT2tGY2dtUWxlY01BUkJVdXVTdmp2VXQ0TEVOdjk5OUhnUjFpejVweDhTZ1hLYV9BQ3R1WjV2VFc2d2FUZmJXeGpRaGV3ZEp2ZUZSMXk4RGVPT0JoazMw?oc=5", "source": "Kalkine India", "published": "2026-10-08 05:45", "score": 0.0, "label": "Neutral"}, {"symbol": "MARKET", "title": "Sensex, Nifty fall in early trade as RBI signals tighter monetary policy", "link": "https://news.google.com/rss/articles/CBMiwwFBVV95cUxQTFdnbEJlcXY2UEExbmhLbjFmbmhualRQMjhIaWx6T2h1SElnMl9XYlowaG9PVEZtNi1VREVrZVhkQ3RnZklSWVRvRUJCc2RIZ2U3ZTB1VUpxRFVkSEN4djVGS0U0MDJDeUNxVmpkYks5VmoycFNxZUhWV2hyQmVjcUpzSG50RVdEbF9VRVQ4Tnhfd2xhUFZqSWh2Y2h4S3NZMmR5Vi1pMWJxUXdxLV9nT1JaWTdzaGtYakJRNmEwamItWFHSAcMBQVVfeXFMUExXZ2xCZXF2NlBBMW5oS24xZm5obmpUUDI4SGlsek9odUhJZzJfV2JaMGhvT1RGbTYtVURFa2VYZEN0Z2ZJUllUb0VCQnNkSGdlN2UwdVVKcURVZEhDeHY1RktFNDAyQ3lDcVZqZGJLOVZqMnBTcWVIVldockJlY3FKc0hudEVXRGxfVUVUOE54X3dsYVBWaklodmNoeEtzWTJkeVYtaTFicVF3cS1fZ09SWlk3c2hrWGpCUTZhMGpiLVhR?oc=5", "source": "National Herald", "published": "2026-10-08 05:27", "score": 0.077, "label": "Neutral"}, {"symbol": "MARKET", "title": "Why did market crash today? Nifty hits fresh 52-week low, Sensex tanks over 1,000 pts. 7 triggers behind R", "link": "https://news.google.com/rss/articles/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oc=5", "source": "The Economic Times", "published": "2026-10-08 05:16", "score": -0.691, "label": "Negative"}, {"symbol": "MARKET", "title": "Why Is Stock Market Crashing Today? Crude Jitters, RBI Tone Among 3 Reasons Behind D-Street Selloff", "link": "https://news.google.com/rss/articles/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oc=5", "source": "NDTV Profit", "published": "2026-10-08 05:01", "score": -0.572, "label": "Negative"}, {"symbol": "MARKET", "title": "Stock Markets Today: Sensex, Nifty Deciline Amid Rising Crude &amp; FII Selling", "link": "https://news.google.com/rss/articles/CBMiywFBVV95cUxQUTNPY2xYYnZyQWdURzRZd0VmaFRCNWJtcDhSc0Y3OEJmbm8tejZKUE5Cczg0ZnNkNkZ6YlZQM3l5a2k3WFRUaUFQbVh4U3dFczVtWlotVk5DeXhKOGFmTEM3NTk4N1RlcGhsUEQ5SFhTZ1ptUGQyaWdCZGVBZHNjM0pKWnQzdmJZNkJTZmt2S2EzSTloOTFlUW1kOW1jTVBzNUZPeDNTR3ZsN2lfUmpxN0x2RGprTlU0c0JLVnNsRXdQOG00RE55ZG9aTdIBywFBVV95cUxQUTNPY2xYYnZyQWdURzRZd0VmaFRCNWJtcDhSc0Y3OEJmbm8tejZKUE5Cczg0ZnNkNkZ6YlZQM3l5a2k3WFRUaUFQbVh4U3dFczVtWlotVk5DeXhKOGFmTEM3NTk4N1RlcGhsUEQ5SFhTZ1ptUGQyaWdCZGVBZHNjM0pKWnQzdmJZNkJTZmt2S2EzSTloOTFlUW1kOW1jTVBzNUZPeDNTR3ZsN2lfUmpxN0x2RGprTlU0c0JLVnNsRXdQOG00RE55ZG9aTQ?oc=5", "source": "ETV Bharat", "published": "2026-10-08 04:58", "score": -0.25, "label": "Negative"}, {"symbol": "MARKET", "title": "Stock markets decline in early trade as RBI signals more tightening", "link": "https://news.google.com/rss/articles/CBMiwAFBVV95cUxNYU5jQVhPUTRPb0I1MnBTNU45MzlqaXZ3UDdieFNyaGY1V3JHRHVHWjBka2FoNDZZb0dMZHhqbmx6YzU2dHVBZ0pab0RWSFhlRktwVW5QNno5b3Y3eXBvc3cyWExmSnJSQXhQeGFwTk84aWlaOGRDQTJ6eWJxc1BHU0tocVd4ZGNzRk9UVW5yN3BtQW9HR3d1NEtvTzBlWUI2SVc4Q2lhb3kyeVFCempBQUNXaF9GZXRSYVFENEJHemrSAc4BQVVfeXFMUDNRZ3VzeW9MdGRVdGI3MnNvbUljT1BubHZOWE0wVEZBajFPOFZubHdRc0U4YUo0S1NjSHRQUkFDbFdyYWtmZ0dELTdKMFFOa3dKUFdWUndtaDZKYUNrTFRWUnktQUFhOHRQXzJaV2hlSlFpcUR4MXctbnFFOTJpY3VoWGJGTkNQSVE0Q2hseFROX0VfVXZBdFByWXpId21yR09qWEsxVmVMWGlid29tenlBTU0tRkZkZG91Vl9kRmFBU3NITXNQUzdjV1k1NXc?oc=5", "source": "The New Indian Express", "published": "2026-10-08 04:54", "score": -0.382, "label": "Negative"}, {"symbol": "MARKET", "title": "Sensex, Nifty Fall After RBI Hikes Repo Rate to 5.5%", "link": "https://news.google.com/rss/articles/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oc=5", "source": "HDFC Sky", "published": "2026-10-08 04:53", "score": 0.077, "label": "Neutral"}, {"symbol": "MARKET", "title": "Sensex Today Trades Lower | Nifty Below 22,500 | ITC &amp; Bharat Elec Top Losers", "link": "https://news.google.com/rss/articles/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oc=5", "source": "Equitymaster", "published": "2026-10-08 04:43", "score": -0.178, "label": "Neutral"}, {"symbol": "MARKET", "title": "RBI Rate Hike Triggers Market Sell-Off; Sensex Drops 429 Pts, Nifty Slips Below 22,650", "link": "https://news.google.com/rss/articles/CBMisAFBVV95cUxQQnJqYVVYNmM1RVNSX2J4UlVsY3p1aVpNUVpBQ0M0Rm01NFZTUm9naldKS21HakZTWE5IMjViSm1Td214X21OX1RxVUoxLWtHWU4zMWV5T2dTUFBaQzdfMlhrdXhTRV9hRWtVYzBLVnR4UThCeHBuaU5xeU82VUdYU2Q4SU5HdDJYTjVVOTlmT0VXclgzWVIxZ3ZueGtaQUplTHpISDk5WWJUYmJWa1dmeg?oc=5", "source": "The Indian Awaaz", "published": "2026-10-08 03:45", "score": 0.077, "label": "Neutral"}, {"symbol": "MARKET", "title": "Stock Market Today: All You Need To Know Before Going Into Trade On Oct 8", "link": "https://news.google.com/rss/articles/CBMirgFBVV95cUxPRi1hQnVVc1NraEx1a3VTbURRTk91cVFiVW9va2V3UzlPZHZfVF9OaUs4M0xjb0dhdFFNVExOeC1ndFJHb3FOSmpZVzN5dG9JYm44T0dCdk42Tkh6VVAwbTNEbGl6ZlRXYi1nOXlpZXBvNTdHNEdzZUxUanRNMjdzV2Mxb3pqY1ZsQ3E0b0lzWmVJM3dyQlMydm9ucmxGT3hJdEJWbXJwZFI2OE5KWHfSAbYBQVVfeXFMTVVJWEtlYWhEUU9jXzd3bXBlS08yYWU1TTNDUWpENkowNHFDLUU0bnlyNEtDdHFFbTlHaVB4X2dMQ1lCRFd6QThkNS1jS3NXek9QNGFZcW9yTlVIMC1QeUFaUHNKWTk1M2pUWURfVW9Mc09ZT1NHNmd6ZG5zZmdMY3l4QlpfYi1fOHRfMlh4bmx5WktRU1lBdE1BSDZJQ3JFNGZ0YTBPdGpVZzRzNGZnRkE5T2owc3c?oc=5", "source": "NDTV Profit", "published": "2026-10-08 03:35", "score": 0.0, "label": "Neutral"}, {"symbol": "LAURUSLABS", "title": "Trade Spotlight: How should you trade PNB Housing, Adani Green Energy, Leela Palaces Hotels, MCX India, Restaurant Brands Asia, and others on October 8?", "link": "https://news.google.com/rss/articles/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oc=5", "source": "TradingView", "published": "2026-10-08 02:26", "score": 0.273, "label": "Positive"}, {"symbol": "MARKET", "title": "India's Sensex slumps to 32-month low on oil surge, foreign exodus", "link": "https://news.google.com/rss/articles/CBMirwFBVV95cUxPRGc3d3VfemdCVm9OMG8tZFo3MFpXMmtQR3paUW9yMWFia0txelBIS0w2M3RSeDdRdzV2WkR0WmU2ZFdNVkUyUWJMbWQ1YVA0M3d0Y3hRQkMxa3FlMDMtSXZ1OHF6UWNaTzRmTklWVnpSNHp2bzdRT0F3SlNvVzVFQ0trU21MeHlOMmU4R3U1c0NNTmw0dGtoT1lORzRBOGdTaUMyRjFtWFc4bXdsemFV?oc=5", "source": "Reuters", "published": "2026-10-08 02:23", "score": -0.273, "label": "Negative"}, {"symbol": "MARKET", "title": "Indian stock markets today: Sensex, Nifty likely to open weak", "link": "https://news.google.com/rss/articles/CBMi0AFBVV95cUxPQkQtNmxoYVlFemRfNUd0Qm9FS291cm95bEJMaUszTkpuYzV5eGRkNDRhQmNFUHpwZm9iLUlHSjBESTktZ2MyWFMyd2c0cmFqUG5ldERPTWM1VXA0c1dMMEp3TTBSVEh3R1J0eGhMbGZsd0otU1RhTV95cE1kVmo5cEZ6STRxYUowTldwR3JXZ29GZXoyNkFvTUNRbGNxbEYyalUtUGl2NmVuT2NhRDhlTkcxVDlDRC03TGxyRkZfUmlZcThJTHZ4OVg3c1lZdHp50gHXAUFVX3lxTE05SGdoSTZRaGw5cmhfSnJlMHkyOVF3eEdkVUk1YUplLVhhSlMxT0RkM1M4c1BJWVYwb1o0eThkY3ZyTHQwdU1fOUs5cW9BUk0wOHJ2ajM2cXhfOHB6M2FkY3ZzRmNKbk5wTWJfWnhjYk8wRUVvRGJqSW9HWXRjSllQMlg2bkhWdVRSaks4U2tSaFpxLTI1bDFpWld0WnF1a3BRSDdGLUZYa3p1Mkxoc1VPWGhXaGNVcHZNZ2h5NUI2WThSMVk2Zk0xQ1dwZWVJVG4xbDdobFdZ?oc=5", "source": "BusinessLine", "published": "2026-10-08 02:10", "score": 0.026, "label": "Neutral"}, {"symbol": "MARKET", "title": "Stock Market Today: Gift Nifty, US Fed Minutes To Dollar \u2014 Five Key Factors For Sensex, Nifty 50 On October 8", "link": "https://news.google.com/rss/articles/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oc=5", "source": "NDTV Profit", "published": "2026-10-08 01:37", "score": 0.807, "label": "Positive"}, {"symbol": "MARKET", "title": "Stock market outlook today, 8 Oct: Sensex, Nifty prediction - DJIA, S&amp;P, NASDAQ, GIFT Nifty, Nikkei, Kospi, Taiwan cues", "link": "https://news.google.com/rss/articles/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oc=5", "source": "Livemint", "published": "2026-10-08 01:20", "score": 0.842, "label": "Positive"}, {"symbol": "RRKABEL", "title": "RR Kabel Share Price Falls 2.4%: Valuation Check", "link": "https://news.google.com/rss/articles/CBMic0FVX3lxTFBfZUw0Z3FFMW5wMEh2Y3hDQWYzaXBDdjYwOTU0U0F5QUhQOUJrOVBwaklBamt2WlZRV3BpSVk2cllvR1h5OUZuZ1JIX0UzWVllUEJfRVhGM3dFZzdRenlJMXpwbVp6WmhsZ0ZfdVY5bEdyaVU?oc=5", "source": "Univest", "published": "2026-10-07 23:11", "score": -0.382, "label": "Negative"}, {"symbol": "MARKET", "title": "Stock Market Today: Sensex Falls 429 Points, Nifty Below 22,650 After RBI Rate Hike", "link": "https://news.google.com/rss/articles/CBMiigFBVV95cUxQWXZJcDhpRDNTYkkwc0lBd0FsbFpsVnY3OWJrazA2eVBGa3JaemVpazFQRDIxZDhpWWI4NUE2TFdiSHBSc1dRVjc4eFFWYlpfdE5DaHc1S0wybGdJZjNRcDk1VW9tZ1hZZ0x6N2R1X0hOTjF2M2puaXVsajJaejBsZWVtelpYZHJLM1E?oc=5", "source": "APAC Media", "published": "2026-10-07 11:12", "score": 0.026, "label": "Neutral"}, {"symbol": "MARKET", "title": "Small-cap stock un</t>
        </is>
      </c>
    </row>
    <row r="3">
      <c r="A3" t="inlineStr">
        <is>
          <t>der Rs.50: IT share jumps 14% despite volatility in Sensex, Nifty 50", "link": "https://news.google.com/rss/articles/CBMi1wFBVV95cUxPb25QcE8tUEx1X1RFc1UxVHR5Q1NoVGF2VXpOUFRLMENjMEprQWF1WG16QWFyTllOX2d1ZTZHZEplNU1uSDZjSGc5S0lkN19OcVNrLTJLMm56ci1JbUl4ZXp6a3J3djdnTldlRVI4U0pBRk9LdTN1MTBudlJWdTREenFJQS1IVC05MVBsRHZBQTUyV1NydmdpQWlHRkxTelpMbUNfYlRBS2Y5bFRRenR3YnNzUlpZNTZiTnZwOFNwM28yY2tKVzBTTjNnVFJkUUc1WWZ4dHNhNA?oc=5", "source": "TradingView", "published": "2026-10-07 11:05", "score": 0.691, "label": "Positive"}, {"symbol": "MARKET", "title": "RBI MPC 25 bps rate hike impact on stock market: Sensex, Nifty crash - Experts reveal what investors should do now", "link": "https://news.google.com/rss/articles/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oc=5", "source": "Livemint", "published": "2026-10-07 11:02", "score": -0.273, "label": "Negative"}, {"symbol": "MARKET", "title": "Sensex Today Ends 429 Points Lower | Nifty Below 22,650 | NALCO Down 5%", "link": "https://news.google.com/rss/articles/CBMixwFBVV95cUxObV9keUR4Ymh6a2xXajRZVWdRWk9HZ1NJSlM2Y3AyVTg3TGNXSzVRZ3VFNzVYc2k2Qi1HSXVQNHBQQVBnQ2pEX0NkYXVza01LRDJXRTl2ajRiT1FBRjFDT1JfS0FRQjNSbkptUUpPX29ScVVNNU4wbDF1c2d2MVVSRmc4cWRVNkJwM3B6eDV3S0trRFhzQjBGcXVSbzEtTWFJVG9icGdDQUdDYUxFSHRUUHMxOEJOQ0drZWplYmxTbVNjOVByeGVF?oc=5", "source": "Equitymaster", "published": "2026-10-07 10:32", "score": 0.226, "label": "Positive"}, {"symbol": "MARKET", "title": "Nifty, Sensex end lower amid RBI rate hike, rupee hits 5-month low", "link": "https://news.google.com/rss/articles/CBMitgFBVV95cUxPMmZUcHJrclM3Q3FCQS1RVGNJLWp3amY0dXFxc3p4eWtqT1owSks0YzBFSU5reGdmQmY2RmZRSjg0SWl6NEwwSm0tR1djbVYtaW1mODZzalEySUhURzd6WVNhaHl4YXFVVFA1Z1JwdkJLTzJoOTJQczU3OUx6RHFtd1liSnJ6NXNKNGpWLWtIcXlCS09kNkNCTXByUEtrbExsbzNkNXBtcjhEZkhpU1NWT1RfSEd5dw?oc=5", "source": "ANI News", "published": "2026-10-07 10:31", "score": -0.202, "label": "Negative"}, {"symbol": "MARKET", "title": "Stock market prediction for today: Sensex, Nifty outlook for Thursday | Kospi, Taiwan cues to watch | 8 Oct 2026", "link": "https://news.google.com/rss/articles/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oc=5", "source": "Livemint", "published": "2026-10-07 10:27", "score": 0.402, "label": "Positive"}, {"symbol": "MARKET", "title": "RBI rate hike shakes Indian markets: Sensex, Nifty end lower amid renewed tightening concerns", "link": "https://news.google.com/rss/articles/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oc=5", "source": "The New Indian Express", "published": "2026-10-07 10:24", "score": 0.226, "label": "Positive"}, {"symbol": "AEROFLEX", "title": "Aeroflex Enterprises Slips 2.72% to \u20b9128.96 \u2014 Range Support at \u20b9122.51 in Focus - Triangle Correction", "link": "https://news.google.com/rss/articles/CBMitAFBVV95cUxOczI2dWtrQXZnOWd0OGRKenBjWWZzZHNsSmFhV0FORmZENnZYM09yVVFCSlJaU0hxWFY5S0VoVkhaTXV2Rm5rcFpxMEo2QUh4Q0hxT1pUaUdURVZBMXBIX2JvZmdMLWVSMmExSUh0U3lSaFFINnBmN2dGbWdLMEFjTHFlM0dlalBDSUJ6THJTM25BT2J0VWZud0JCR1RpR0JYT1pZWnVhellBZVhNZG02UExOZlg?oc=5", "source": "https://www.siam.in/", "published": "2026-10-07 08:47", "score": 0.077, "label": "Neutral"}, {"symbol": "MARKET", "title": "RBI MPC 25 bps rate hike impact on stock market: Sensex, Nifty fall - Experts reveal what investors should do now", "link": "https://news.google.com/rss/articles/CBMi-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oc=5", "source": "TradingView", "published": "2026-10-07 08:05", "score": 0.077, "label": "Neutral"}, {"symbol": "MARKET", "title": "Bank stocks rebound as RBI hikes repo rate; Sensex, Nifty trim early losses", "link": "https://news.google.com/rss/articles/CBMivgFBVV95cUxOWnBzZWZjcHJib0NUcFVNWldhaFZxbVV3RVdKa184dkl5QlVKWDd3ZHBvYk9sSXhOX2hwOW80RG5wRy1McFVrRDhaREZDcndUb2dZSUJqMXBmel9pOS1fQzR1U2pna0lNREFLODY1U3dFaklCRzI3ZWtNT2FWQWlaLXBLeGVxZHc0dzhLa0JNZDR3WEJZa0NrX3BRbGhmTGpiNnpORFdFVmtYUllnc3VzMUZBVUg3cGVZVFlJb19B?oc=5", "source": "The Federal", "published": "2026-10-07 07:58", "score": -0.026, "label": "Neutral"}, {"symbol": "MARKET", "title": "Nifty, Sensex pare losses; banks stage recovery as RBI turns hawkish", "link": "https://news.google.com/rss/articles/CBMirwFBVV95cUxNTjF3c0hmRXdCZHN5ZFJoSTl5MU52bW8zS1dnNzFxNElUZDJWRUNxTTVGWkhJMVZsTjF1Um5GSW5wSGRGanZESGdsTVp3UnFYRE9Va2R3ZkxHSzBHeE5wY0MyMDRrZHl0N0hrb1RVYjEzVkY4VVc4dUthVHFTN3pTVEpHMl9tRDMxR29FWGFiRVJmNzhyTXdBaGJUYngzZmNIZmRBZFZzeU9JNmdOQWUw0gG8AUFVX3lxTE1UWExDYWdXd09FZ3V1cU9TQy1pcnFDb0xRSExWNkRhRWlKcDlBSzJrM2gwMUhwaWtOQTJHTFROcVpWd2FHajhVZGdhc3ZJNTYtZGdBTEQyN2lZejNMZ3RFT1FuQ2ZHTTZNQ1hjLWZuYnVNMzlURWxBRTNSQzJmVkZhWmlxT3JaWHJxUERxWU5vdkpKLTgwLWtkTEFjZ01LRnFfOWtoMmhHbnpqckZtVm1qMlJaa3RqLXQxSzR4?oc=5", "source": "Fortune India", "published": "2026-10-07 07:37", "score": -0.026, "label": "Neutral"}, {"symbol": "MARKET", "title": "Markets fall in early trade after two days of rally; Sensex falls 460 points", "link": "https://news.google.com/rss/articles/CBMi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dIB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Q?oc=5", "source": "The Hindu", "published": "2026-10-07 06:46", "score": -0.25, "label": "Negative"}, {"symbol": "RRKABEL", "title": "Nuvama initiates coverage on RR Kabel with \u2018Buy\u2019: Sees 20% upside on export surge", "link": "https://news.google.com/rss/articles/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oc=5", "source": "The Financial Express", "published": "2026-10-07 06:21", "score": 0.718, "label": "Positive"}, {"symbol": "MARKET", "title": "Stock Markets Today: Sensex, Nifty Decline as Crude Prices Surge", "link": "https://news.google.com/rss/articles/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oc=5", "source": "Rediff", "published": "2026-10-07 05:29", "score": -0.103, "label": "Neutral"}, {"symbol": "MARKET", "title": "Stock Market Open Report Today, October 7, 2026: Sensex, Nifty Decline as RBI Hikes Repo Rate by 25 bps to 5.50%", "link": "https://news.google.com/rss/articles/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oc=5", "source": "HDFC Sky", "published": "2026-10-07 05:19", "score": 0.026, "label": "Neutral"}, {"symbol": "MARKET", "title": "Sensex rises 450 pts from day's low, Nifty above 22,700: Key reasons behind sharp market recovery", "link": "https://news.google.com/rss/articles/CBMi8gFBVV95cUxOOXlBUU1vbHk1V0hRMjY3TkhVa2hVTEo1MkpwMHl3V3U2QlBFMGhEZUVkVVZQempQYi1wUGdpdXJudUdhR2NsbTluRHdZOVdFM0J0NFZNY21MaW1BaWFqb0lOU04wTnpOcW1qc2RmOTBKUmtVLXlPdEtzSDdlbmVrTVU0MmRIU25xWmZhSDM2SEthQ0NvWXNBVE9KZ3F5d0I2R2tSRkpSdExMRlVEUUE5ZVJ6RjdfVTB6bVpXRE1XQVF4aEVrZ0hEYlN2MGh3b0RNY3hmRHRaaXF1OTd1b2ttY0hjRDJ3NjdRZXhMN0JTVElLZ9IB9wFBVV95cUxOZTZlWkZqU1FlY3JSVmpDZDJCMnJzX1RmZ2dLYmdaUFJHQ3NsM3c4VzFIWHhhVkg0aG1ETkpISmlEQWlyYnh1Yi1ITDEteXZhOTI1TlBMYlVtMkNVMXZZN3NEeENzRU1uWGlzNFlpOWpibjhHYklJM3o4emI3VUp3WXc5aDE4MEt1LUx1Ym9OMXVYbUlWMm5fd1Ryd2pPeEZvSl9BVnh3OFFpNjJFcmxlUE84RDFiVWo3ZjMxRW1YMUFfQVY4VjkzSEJ2X3otandEZTQ1REpGZ2JGTVdGa011a2paU2lvVjRuU3BEV2xmTWhZWFU1Q21n?oc=5", "source": "Moneycontrol.com", "published": "2026-10-07 04:59", "score": 0.153, "label": "Neutral"}, {"symbol": "MARKET", "title": "Stock Markets Today: Sensex, Nifty Decline After Two Days Of Rally", "link": "https://news.google.com/rss/articles/CBMiywFBVV95cUxOQ3RtVXlOVm5oVDN6UmhwMUlBaGZPQTNLUm9rc2FIXzBKOFBOSXBHZzhVSXNlbU9BXzUxcGNYN0RsTHJ4eENyN3VBVnN2SUNhU0lMN1JLZ3cxWFNuRGVFX0RJWWRzNE5tejA1NDlvcnRybzZTcnBKQ2VPeGJrRzE1TDZSZ3BycWFwTG9NUXhnYlFMcmZ2N3h4SUwxNmU4bHhURTdnaF9OcU5CWXB4MUY1Um01NkxYMDRJUUNxaTFwZ0VVUkl1UjNxUVMySdIBywFBVV95cUxOQ3RtVXlOVm5oVDN6UmhwMUlBaGZPQTNLUm9rc2FIXzBKOFBOSXBHZzhVSXNlbU9BXzUxcGNYN0RsTHJ4eENyN3VBVnN2SUNhU0lMN1JLZ3cxWFNuRGVFX0RJWWRzNE5tejA1NDlvcnRybzZTcnBKQ2VPeGJrRzE1TDZSZ3BycWFwTG9NUXhnYlFMcmZ2N3h4SUwxNmU4bHhURTdnaF9OcU5CWXB4MUY1Um01NkxYMDRJUUNxaTFwZ0VVUkl1UjNxUVMySQ?oc=5", "source": "ETV Bharat", "published": "2026-10-07 04:57", "score": 0.477, "label": "Positive"}, {"symbol": "MARKET", "title": "Sensex Today Trades Lower | Nifty Below 22,650 | Asian Paints &amp; Axis Bank Top Losers", "link": "https://news.google.com/rss/articles/CBMi1wFBVV95cUxQWVhlcmc1NHJGNVpFNmc0YWxkS2J3YVdMMEhHa2NTTXE2Y2VNamk4Q3B1QkRNSWNndi01MnhabkdhbW1aU1FvTzIzVVpLRkhOTUlsbnZlSVhpMGJzZjN4cGdaRFRNX0hXX0FSdkF0OUkyQkRLVk9pVi1Oa24zbS1sVzJMU3NTNHZiMVJTT3d5RUp2N0laTDdiQWN3bmhrTFAyc2p4V1d0X0ZvNUQzajVmekVBSWI1ZGNRTW9Cd3BVSmhkbTg1UWxlWUxqQU5Eb3IzcE9UdWRqQQ?oc=5", "source": "Equitymaster", "published": "2026-10-07 04:44", "score": -0.178, "label": "Neutral"}, {"symbol": "MARKET", "title": "Nifty, Sensex open in pressure ahead of RBI policy as investors cautious on growth-inflation dynamics", "link": "https://news.google.com/rss/articles/CBMixwFBVV95cUxOaHdtMmlBYlcxWV9oYlg2enVYa0dGWHN5QmZHTXFObDhzN3hFVFFGMjJaRmxSSW8tVXBwaUcxNk1PWEpiMENhQXZwMFI3TlVZLXZkV3VzcVpNYzU4MTFnTTI4d2ozOXJqdTdQX1pYa21BRHVCay05d1E2UXpPOExzX0FoUnVtU2NYR3JRb20tTF9paGxJRWJwaFY4TXdRV2NqVE1GdmlBNkFSOVNwR29fT1pWbFNLV2pkalFiRzBrQlhPYWZsbC1B?oc=5", "source": "ChiniMandi", "published": "2026-10-07 04:33", "score": 0.296, "label": "Positive"}, {"symbol": "E2E", "title": "E2E Networks Share Price hits fresh 52-week high at Rs 720", "link": "https://news.google.com/rss/articles/CBMiiAFBVV95cUxPNDBzTWZXYUdHWE1DYWFzdmx2QVJOeWZCUFFocF9zWDJiZEJCX01uN011SHNBVTA2SjJ5WGs1NTBnb0VLWHVpSUZQaTFvNTBFNEx3aUs0Rlo5d0VQZFo2U094bHQ3MnFXUklYWm1FdlpwWUpVdkFkVkxXNGFBSl9PYXpMVEJGVk5M?oc=5", "source": "Univest", "published": "2026-10-07 04:06", "score": 0.361, "label": "Positive"}, {"symbol": "MARKET", "title": "Why is stock market down today? Sensex crashes 500 points - Top 3 factors behind market selloff explained", "link": "https://news.google.com/rss/articles/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oc=5", "source": "Livemint", "published": "2026-10-07 03:58", "score": 0.202, "label": "Positive"}, {"symbol": "MARKET", "title": "Sensex settles 400 pts lower, Nifty ends near 22,600: RBI rate hike among key factors behind market...", "link": "https://news.google.com/rss/articles/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oc=5", "source": "Moneycontrol.com", "published": "2026-10-07 03:58", "score": 0.226, "label": "Positive"}, {"symbol": "LAURUSLABS", "title": "Laurus stock funds renewable investment as earnings stay strong", "link": "https://news.google.com/rss/articles/CBMivwFBVV95cUxPOEZ0d3B1TmtudmI5LTFlS1doNmJkNVB5QV9jM19nSjB0cnJFRWNvR2V5MHBUM3hrbW1Na3V3V3JjQm1SM21tY18tekVSUkZaMDItdjcyTldsX21VMVNZMDdZaTdsWkpyUTlUVjJkbVZkOFJ0RzItN1NHM0Zyd201SWNqWVYwZktRVi1Kd3RzUWFqNHFWOExzSWZjYjVodU1nRzJhV212c3BSRlFJRE1heTM3OEN0X2RWRFlmdEZuOA?oc=5", "source": "AD HOC NEWS", "published": "2026-10-07 03:52", "score": 0.382, "label": "Positive"}, {"symbol": "LAURUSLABS", "title": "Trade Spotlight: How should you trade Laurus Labs, BHEL, ACME Solar Holdings, Indian Hotels, Britannia,...", "link": "https://news.google.com/rss/articles/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oc=5", "source": "Moneycontrol.com", "published": "2026-10-07 02:24", "score": 0.0, "label": "Neutral"}, {"symbol": "MARKET", "title": "Stock market outlook today, 7 Oct: Sensex, Nifty prediction - DJIA, S&amp;P, NASDAQ, GIFT Nifty, Nikkei, Kospi, Taiwan cues", "link": "https://news.google.com/rss/articles/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oc=5", "source": "Livemint", "published": "2026-10-07 01:45", "score": 0.842, "label": "Positive"}, {"symbol": "MARKET", "title": "Stock Market Today: Gift Nifty, RBI Policy To Gold Rate \u2014 Five Key Factors For Sensex, Nifty 50 On October 7", "link": "https://news.google.com/rss/articles/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oc=5", "source": "NDTV Profit", "published": "2026-10-07 01:28", "score": 0.807, "label": "Positive"}, {"symbol": "MARKET", "title": "RBL Bank Q2 FY27 Results | Laser Power Wins Transmission Infrastructure Contract | Top Buzzing Stocks Today", "link": "https://news.google.com/rss/articles/CBMi-AFBVV95cUxQWktrVDVkM1I1eTRZSlpMbnh0bkRuOFJ1bnpkRThmRDUxYVVvWXI2S3FET2FaOGRXWUZMbFJxWV9Zak1OSTFCV251R0NkX1VlV1NtemNiaEM3LUZBQkZ0YV9qc2s3dUduM1pLMDVLbFRoclZVWE4zSTlpRk5GRExxNGZ3QmdDMnFRMHh1alJ1ZG9DeTZTQzBMNWFrODVmNHFhSDRpcnpkYV94ZzNZbnREaVgwREZ5eW1SU2U1WGxTRXZMdXlYVXk3NGJVeWM4c2hzd1dwNkx6QldGS3B6RU9lbkNQZFZrcER5d2lFQ3hrSFhvVDJaeG9LWg?oc=5", "source": "Equitymaster", "published": "2026-10-07 00:30", "score": 0.66, "label": "Positive"}, {"symbol": "RRKABEL", "title": "RR Kabel - Nuvama Wealth Management among 5 stocks showing RSI trending up", "link": "https://news.google.com/rss/articles/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oc=5", "source": "The Economic Times", "published": "2026-10-06 16:08", "score": 0.494, "label": "Positive"}, {"symbol": "MARKET", "title": "Ahead of Market: 10 things that will decide stock market action on Wednesday", "link": "https://news.google.com/rss/articles/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oc=5", "source": "The Economic Times", "published": "2026-10-06 15:40", "score": 0.0, "label": "Neutral"}, {"symbol": "MARKET", "title": "Sensex, Nifty close higher ahead of RBI policy outcome; capital goods, banks, pharma stocks lead gains - BusinessToday", "link": "https://news.google.com/rss/articles/CBMi4gFBVV95cUxPLTU4TUNGOFRwN0cyN0hDTll6VEdsX21SSmlzUTBpTnVQRUhUTVVTWnVEMVVzazhTWno1RjJVT2x5Wk9ZelFuTDlJUDM3cU96TWUzd0lZcFB1TkY1M1c4alVqQXNzNkpHbWJWX3FUWERyUlBuai01QU9CLWVaQzl3dUNkeGtQTTdYRGJkTVdkMTVEcV8zbld3NE03NWNSN3Z5eHdFZTZOcFBIWmp1X2VGQjd4MS1pSGVzMkJyblRWZXVFZE4ySTRzMml5N1hhN2g1TDhpeGx3Q2ZlblhId255eFF3?oc=5", "source": "IndiaIPO", "published": "2026-10-06 14:33", "score": 0.649, "label": "Positive"}, {"symbol": "LAURUSLABS", "title": "Laurus Labs invests \u20b912.09 crore in Kurnool Renewables via rights issue", "link": "https://news.google.com/rss/articles/CBMiwgFBVV95cUxQLXZBYm5NNUVmOVNNRHpFS3dlaGx4STZhQkMtX0FidWlMbTdRYjJNZGJYOFZwVjF1M2ctRDEzLV9LWGkzWDdjTld2dHJ5OXJibzVBVHNXRXV0b1dYNTFmSy1iQWw5LVk1dloxZGk0WHM4SmhaYzFYbjhYc3NiVHFTdWFCZU05eTRBd0J3eEx5SEV6ek1hUGs1MXhvemdRZTVoeFI5aTBQZFNIeGJpN2ZGMmhuMFhWV205OVlXczVDWS1UQQ?oc=5", "source": "scanx.trade", "published": "2026-10-06 12:59", "score": 0.0, "label": "Neutral"}, {"symbol": "RRKABEL", "title": "RR Kabel - Netweb Technologies among 3 stocks showing White Marubozu Pattern", "link": "https://news.google.com/rss/articles/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oc=5", "source": "The Economic Times", "published": "2026-10-06 12:08", "score": 0.0, "label": "Neutral"}, {"symbol": "MARKET", "title": "Market wrap: Trent, BSE, Coal India, Tech Mahindra top gainers and losers on Nifty and Sensex on Tuesday", "link": "https://news.google.com/rss/articles/CBMihAJBVV95cUxPQWVMMEhXd095Z3UxMlhGVy10S0lrRFJ6Wm5YREdvanh4bElfWVFLLWkyOGVyTF9Hb1lnZTRRcWV1aE5UUHhtWk15YVhXdm9ZNUpYZHc1MGhJYlVFeFV6RC1CN1RtOWpBTU1McUd3RFFqZ3BZekgtSWJzSjZqMjdzZmdpZ0VZbERENVFFYm54Y3QybkNkdkpzZUJkU0JLQVpNNVR0WVlUVTViLThZQmlUQmJaZTZ2bWdVaFFES2VLdkkxeXUxTUthREd1QjhWajFXMEZJSlNJOEd6dHZhNnRDaTkyZGkwN1Q4MEd6elNJZkZEUnpqTF9jcjZfdlludzNVSEhZNdIBigJBVV95cUxNVG91Wk0wNnVNNTdjNHJSSVludTZCbmRsbDZzbTcwUFBSWm16WkF4bENrUEVleWlYbkdVRXpIQUExMW54RUN3WTV2VUFWMFh0ajBZRktoVkxnaUl1bTc5N3hhOU5nRUk5RWlHcmVuTml2OUk2Y2U4Zi1vWExySS02T2c4Z3M2bVhtVnFCQ1NLcWZOUWFjVTFOZmM4NUxpTlZYNTQ3ckxvWVRFOWNjZUhCMmxUV1R3bGpSdWhpYXozNWtIcmtNU3dRanR0Wi1WSlNGLTFadHRVTm5waUc1Y2NWRWRvSzBTY3VETFJoYUJQNVFxdk0tU3Eya09sSWhjYTBlelBYRHhjYVBRdw?oc=5", "source": "The Economic Times", "published": "2026-10-06 11:58", "score": 0.026, "label": "Neutral"}, {"symbol": "MARKET", "title": "Indian stocks rebound strongly as Asia firms; RBI decision holds the key to market momentum", "link": "https://news.google.com/rss/articles/CBMi3AFBVV95cUxQSE5EbFFtT016ODBSVG1IaW1FR0MyOElmblhlUWw5QnppSHRkMEtUcnIwM1hMU2NuU2c1RzRZWS04NlZIa3N0ZDZrakVLX1pnMWI0Nl9iWHJ1M25pckRRODdfcVBOaVktMFlEYW9nRWZ0WEV6V3I4NThjel9KWGpLSWR1b1VPM05mdGF2MVl0MC0zV2RFRURaZUw3OVYyT1piQ1RVWTNBWE5FamZuSk1FN2FxMVdaR0J3RkJqOE9mT2lHUHRIcGlNRkQzbkFneU5KSFYzU3ZlZ05LLVpi0gHqAUFVX3lxTE5VbDhhdGk2bjVBYWRzRlFmc2hVRzVjQ1RZNzRFWVhvTzZvb2xSaXBnZjdoc1JQWVdjbGF0LUFNZWYwWWdoWHhOVzFKd3JGNGJRRkhLOGlpX0dLbjFNcUE2Um9UYkxXaXdTTzNMb3FTTWcyNXhWZ01MRXlXZ2Y0Q0JTQTFSOWVhRU1YdU9QNkRzSHJidjVwczl1b1loejZOekRXZUM0SWJNQWgyN25DZDFid3hreXBFUnhmbEUwNnJGcV9wLUlpbzhWcmJ5TEdPSV80N3hLV1k2STEwU3c0dWRaM1NkRkNXZnRTdw?oc=5", "source": "The New Indian Express", "published": "2026-10-06 11:43", "score": 0.273, "label": "Positive"}, {"symbol": "MARKET", "title": "Sensex, Nifty surge on falling crude, bank stocks rally", "link": "https://news.google.com/rss/articles/CBMi0AFBVV95cUxPRmdFU2M4RThEY05Odm1kOFpLbU1oYWc2WHNaVmZzaU02Y09NOEdySDB5TEZxdndKbEM0RkhCVnlNZFlLYlBpMTgxdThpcmt0Zl95OG4wb3RWTXp3V2htOGhIOXFjanJEczFYam83X2pmNWcxamt4M1VUYTdGUnlCMjItRjVjdjhfWU50bFBCY2NRZjhGNEl4Rm9oSVNsVnNqT0lVZmgyR0JNY3JxeXo1eU5ISXdHcGhadWxwZHBYWThqTnphSTc5ZkZrOGpORFRD0gHTAUFVX3lxTE13TkpUcnEwbldvXzZTekhfc09aU0pYdE9SSWh1RG85S0lSZnpod0FCUFdSMjF5SXdPR2psUGh0RHg4OXRPSUhhWmtWWk80X3h0aFp1cVdYeG1lOG96bGVEbHFOQzZrSXAtZm1SQU5RT1NQaU1WLTF3TzlTYWctSnZYZmRsWkFHX1ZYck9wSExBcWlFMHBLM195VUY0d2t5ZlBBRnY2a1RObVJjOEdKNkwtcU1YZVFvaGhPVlFYWmYwU2kzeU9VcDd3NmRWUVY2SXkyWEU?oc=5", "source": "Rediff", "published": "2026-10-06 10:57", "score": 0.557, "label": "Positive"}, {"symbol": "MARKET", "title": "Why Is the Indian Stock Market Rising Ahead of the RBI MPC?", "link": "https://news.google.com/rss/articles/CBMioAFBVV95cUxOZS1GWEJFV29qTHduMnpnTS10ZnNqaElCQ0NuNFJvQkxiX08wRW9TR3cyV3JNUy0tRC1hdTA0ZjNaTzdlbFg1a1oyUW5HZjJlV200UVZSRldVd014Z05xT05xdFNnam5CUWVSenJyZVFzN0Z4T2F1b0xOS3VwVW5GZHpmdjgyMDQ3T0h1cjZvSmtFWmtsM0l0RFpsM2c0S3Ja?oc=5", "source": "Univest", "published": "2026-10-06 10:54", "score": 0.0, "label": "Neutral"}, {"symbol": "MARKET", "title": "Sensex, Nifty Surge 2nd Day on Easing Oil, Bank Stock Buying", "link": "https://news.google.com/rss/articles/CBMipAFBVV95cUxPWHVNQk5rbFFGZEtlam93TG5zOU1QYUJxc2V5NWpSSVVwc1VSbE9BSkZBQ0hXdF9EbHNYZzhncG0zMGxCenZrWXN1eVBjdkl1aEpwWi1RRXpJYU9zNlI2aDZpYVRrVWZ2RlZ2TEdUU1VGaWw5VW1KZ281elRsVTF0RjhUbGZuUkJ2QmYzUjFXWGpSckY1dzlzLWxxVzVRejc2YkdIZNIBqgFBVV95cUxNRGpoVUxreDZKZV9jZTNBUHhEQlZURmZ2b1VoMnVqbmREdDRRTGRERncwZWtVZDhQLU04STVuZHFfVUg3OEl3RmZHdXA0OUxlNWdEdzBpWnp1NTgyMlVqRWZtV3lYZk1JZHV3YmlOQkZfbDNaNVdncWJlVUM0TzR0dGZ5c1BKelk3ZWJ3OVRSVmYxT2dXUlV1YzYyRERoU2cwLUpzT3lOYk4tQQ?oc=5", "source": "Rediff MoneyWiz", "published": "2026-10-06 10:48", "score": 0.784, "label": "Positive"}, {"symbol": "MARKET", "title": "Sensex Today Rallies 685 Points | Nifty Above 22,750 | 3 Reasons Why Indian Share Markets Are Rising", "link": "https://news.google.com/rss/articles/CBMi7gFBVV95cUxNWDdRSTJOV2JWV05LbHZnUFdRektvcmZLbXZHd01nVlFfV21nNzg1NWlxcUZMQzlZTF9DRGYyajNzYXRUbnJJMGh5RzFPT2RaOHVJUkJia0RRMU9YWmVuaEhjVVp0LTVjcTdYdVpaQTFWT2YxSGFCRU5SYm83RUkxX21tWGxoNkdEanpxa0Nna0Q2WEIwZUc2WTlUcl8wUHZGdENFS0dsWHZsdm1qWE1SZ1BZVVh1d2VuOVF5WFRtaGRmSTRsbTZHT21FODhuempPYWJBZTcwSE14bFpranhiWEtlZmJHMFdoSUJlUG53?oc=5", "source": "Equitymaster", "published": "2026-10-06 10:35", "score": 0.691, "label": "Positive"}, {"symbol": "MARKET", "title": "Sensex, Nifty end higher for 2nd straight day: 5 reasons why market rallied today", "link": "https://news.google.com/rss/articles/CBMitgFBVV95cUxOM1M1LWdKOG5CZE1FX1NOWk1PcWRtajNKaXo2djkySS1oTV9QWlE3LVRTaFpWWGdueG9tLXc4a1ZCT0YyM2FtWmUwQ3J6dWlfRjc3S2REc1JLT0F4UnVNaklkZExaYkVyaklvNmJqM1E0aDRtYXZJY1IzUWxTbzdxb3BOZGJ0SHAtTHB2V1Y3X2NiczNud2ZiLTh4RGxfdXJyUF95TWk3MlhnM2xyMnNtT0w4N3M2dw?oc=5", "source": "IndiaIPO", "published": "2026-10-06 10:33", "score": 0.557, "label": "Positive"}, {"symbol": "E2E", "title": "E2E Networks (NSE:E2E): What Does Its Q2 FY27 Demat Compliance Filing Mean?", "link": "https://news.google.com/rss/articles/CBMiugFBVV95cUxPQzJiUG82SDYxWFNBak5vWjBReGlfbzFrWTRyTlk2eFZsT2FkYnQ2cGtJUUpRZFFDT0dseEFlRHkybzhFd2VMNU0tc3BYWWZkVHQ4YjFvc29GU3M5VDY3RzN2OGwtVUVmT1JUMFJGdlc2b2dxU3JoQlF5ZDRDWlA1OG56RTZMWDMzSk5wMmZoeFFFVWlZX2swVUpPM19hSms0a0Y5SDFZOEJUMEFYQVhKR0p5b2hDTFM0bUE?oc=5", "source": "Kalkine India", "published": "2026-10-06 10:31", "score": 0.0, "label": "Neutral"}, {"symbol": "RRKABEL", "title": "Is R R Kabel the Best Stock in Its Sector? A Look at the Numbers", "link": "https://news.google.com/rss/articles/CBMia0FVX3lxTE9IenNIWk9nSmpoVEY0US1CYkZRcF9KWDVobkY5MHlRNlc5eHlNb1doVi1RMlFHY2d5NmstWER6NE8ybTR3TmFXd0ViUmpRMlZsNU8zT2FBdFg0UVhDaGpoeVl0SGpXU3VPMDln?oc=5", "source": "Univest", "published": "2026-10-06 10:27", "score": 0.637, "label": "Positive"}, {"symbol": "MARKET", "title": "Stock market prediction for today: Sensex, Nifty outlook for Wednesday | Kospi, Taiwan cues to watch | 7 Oct 2026", "link": "https://news.google.com/rss/articles/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oc=5", "source": "Livemint", "published": "2026-10-06 10:19", "score": 0.402, "label": "Positive"}, {"symbol": "ATHERENERG", "title": "Ather Energy Limited Share Price Today: key price action", "link": "https://news.google.com/rss/articles/CBMigwFBVV95cUxOQXNPV281ZnNwaXYtVTZSNFdEcFlGVFU5YkRvT2JqQVJCRkU3QjZ1UXRLdm5YWGFEOG8yM3VaU196dlQ3MEctM1dWelVXaGtxNFkwNS1YdERRaXFkSERoTVJ1Z2lfb2ZRZXBIcWFlWjlQbVMyWTVkejRXREZOVHp5aUtJZw?oc=5", "source": "Univest", "published": "2026-10-06 10:15", "score": 0.052, "label": "Neutral"}, {"symbol": "MARKET", "title": "Sensex, Nifty Rally Decoded: Three Big Reasons Fueling The Pre-RBI Policy Upswing", "link": "https://news.goog</t>
        </is>
      </c>
    </row>
    <row r="4">
      <c r="A4" t="inlineStr">
        <is>
          <t>le.com/rss/articles/CBMiwAFBVV95cUxOWThVcnJlSWpkU0QzNDF0WnY1Q0IybkhlSVRmdGpFMFE1dDFvZ2lxYnpXVnVoclVpbUFneTA5cDJ2Y3k1akphYkhYaEl6MU4tc3paVjZLQ25Xa2oyN3dadFJVemtDYmlHbzA1dVZfaU9iYnFDOHN0QklwRmdmWkpLTDVkcW8zZlpYZDNvVEE5amlIYlR3VnRkR0xFYWtsRW90MGN4dmxxa1p3U09ud1FLcGxsS25DQW1IVkNCbWxiX1jSAcgBQVVfeXFMUGtCLTkyQlZmNFhiNWYxY2dnUnVYOU15WGp3Zlp5RUJNLTNReU5uTWlXNHZ6Qk5XMVZXdzNFQWp6MkhHamFZRWVmay03bTV0RjlTdWIySUloSU16ckdtckt5SEI0Yk9HOG9BWnRoSG5EMTJKeENZaTRpZEZpMzJPZFFoLWtvb0lCVXllcFFaWlZlNTRRUE9obXdFSlNSNjF3QktiTjhJUTFENEk1VExSUUV3RmI2amxuVC02YW43VEd3UnVQemJrZHY?oc=5", "source": "NDTV Profit", "published": "2026-10-06 09:48", "score": 0.691, "label": "Positive"}, {"symbol": "MARKET", "title": "Sensex, Nifty up today: Why is Indian stock market rising ahead of RBI MPC meeting outcome? Explained with 3 reasons", "link": "https://news.google.com/rss/articles/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oc=5", "source": "Livemint", "published": "2026-10-06 08:45", "score": 0.402, "label": "Positive"}, {"symbol": "RRKABEL", "title": "R R Kabel (NSEI:RRKABEL) Stock Forecast &amp; Analyst Predictions", "link": "https://news.google.com/rss/articles/CBMiiAFBVV95cUxQNGxTOExuMUFDS0lWOXFkeEJtX1FrY24wT0hJQVFNbjlvT2hiRTltb2Fad1VCWV8wZTBvNE56VDdqOEpRbzcwejNkQVYwTHFfMm1HY1FXN0NsNUJCczVqVEd6b3lhMzBpLThjZG1GV3dnc2MyVUFSY0JXeVdrV1QxZlp2OExZX2pB?oc=5", "source": "Simply Wall Street", "published": "2026-10-06 07:00", "score": 0.0, "label": "Neutral"}, {"symbol": "MARKET", "title": "Stock market outlook today, 6 Oct: Sensex, Nifty prediction - DJIA, S&amp;P, NASDAQ, GIFT Nifty, Nikkei, Taiwan cues", "link": "https://news.google.com/rss/articles/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oc=5", "source": "Livemint", "published": "2026-10-06 05:33", "score": 0.842, "label": "Positive"}, {"symbol": "MARKET", "title": "Stock Markets Today: Sensex, Nifty Higher on Bank Stocks, RIL", "link": "https://news.google.com/rss/articles/CBMizAFBVV95cUxPSnR3MGd6Rl9sSDBDNzE4Nkx2ajJ0bDNVVUtnQ24tZEIxQVB3Skg5NW41NkFWTUdFQ1hMTjhWd3JtS2o3MEZYSWNNV2p6ajNtaFdneWxaekZ0SzJNS21mU1RDSEZCVXBpenVsMllNaVlPM3YwcGhTekstTEFCcGtpZXFGLXlRanM2TkpZWDJVckRlOUVNUEZZQ0ZZVlRQZU1SMjdiUElXMXZlM3dEQmhyQlU1dnE4QVhDc1l2Z25laHdneVNicWd1aEdoS3HSAc8BQVVfeXFMTUx2Q1VvMThaMGpVcWwxdUtZeHYwN20yLVhIT01rRldiYkwzSC14NUVCaTNKbFlORHJrU1dINURIOWdoT3JxVThiU0ptME5kMTlKVkE1dHJTUXphcTdjWU1fVmdLUW5BTnBnQUs3YzdabkRTalg0ektoQjMyM05ON1RTSW56TDJKM0pqcVlvdDkzdGxzLWxObEVTaFNIMXA4NEpoNzZmTjZERnJJRGJpc3gxZDBwV21pZWVna2JsZTQ2RFQ0UjRGNFU5d21DWVh3?oc=5", "source": "Rediff", "published": "2026-10-06 05:21", "score": 0.402, "label": "Positive"}, {"symbol": "MARKET", "title": "Explained: How RBI rate hike may impact Sensex, Nifty after 8-week losing streak", "link": "https://news.google.com/rss/articles/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oc=5", "source": "The Economic Times", "published": "2026-10-06 05:12", "score": 0.026, "label": "Neutral"}, {"symbol": "RRKABEL", "title": "RR Kabel Ltd. (RRKABEL) Share Price Rise Streak: Stock gains for second straight session", "link": "https://news.google.com/rss/articles/CBMigAFBVV95cUxNX0ZxTVJ5UmMwMlRnYnNaLUdtc3BpYjBZOEY4MEdlTEt2V2FnNWpEOTJSRzdLZ2NxakhSU1ctRlVpZmNrS2lUbVoxVm9YNG0zOENucmcwWWl6NFJKM1c2d2VuQW03anhnU2ptQ2xjY3RCM3ZlN014VWRwZkFmeXoxaw?oc=5", "source": "Univest", "published": "2026-10-06 05:08", "score": 0.542, "label": "Positive"}, {"symbol": "E2E", "title": "E2E Networks Share Price Rise: Market Cap and Valuation", "link": "https://news.google.com/rss/articles/CBMifkFVX3lxTE9ScUtUMWZiMldaN2ZsUXNxWlN0WGZaU20yengtYV8xZWN2djBYdlZseVVDaldod3YtUUh1RlZZX29ZYUxPMWp5U1VGN3dlVXZVc2N1M2doMFFHTWlzZmFpMWhhRGUwZjdmaWxrVnNycGtBMmpjZDBfNHN3VklZZw?oc=5", "source": "Univest", "published": "2026-10-06 05:00", "score": 0.0, "label": "Neutral"}, {"symbol": "MARKET", "title": "Stock markets trade higher led by bank stocks, Reliance Industries", "link": "https://news.google.com/rss/articles/CBMiuwFBVV95cUxQRmJCSlF1UVlhWFA4QXI4YnA4NlVPMFBTb3loX0hGTEtoNG0td3FsZW9FX2Z2N19qTkRBOFZDOVR5Vzl4MXFTU3A3Y1dxQUVKcVVpNmRKZEpjaGlRdExrdzBiZ1BVTnJDa3hIdkNma1NuTENLZFljSVBWUFotZXJ2STRMTXduT2JFTEdUUkREazc5NHdpZmkzTG55dFJEODFEbG94ZjZpMDRiOXQwUVkzcDl6Q2thS3dTQ0Y00gHIAUFVX3lxTE9BZkNWN1gyVzhJSmlqZ3AyZ3B3amhfLWxLUkE1LUN4alpVYVpKMjUydzRYdlZySGRFelRaWjh4eE5GaXk4c2JfR0NyaURPUzRZLVRJcnUxWGlxRnA0QzVqdks1T1dDcnVxcHJ2SmRrVlluSTZlTW0yTzE4WU5VNUx1UVdPc0pGSWlCQjFrZXZFakI0TmZZczR3VTBnclpFT1NQSGJPendEcXdYU0xRZjhZdmdvWnBCbmo4bnVkbm05d25Wa0tCQ3N2?oc=5", "source": "The New Indian Express", "published": "2026-10-06 04:59", "score": 0.0, "label": "Neutral"}, {"symbol": "MARKET", "title": "Stock Market Open Report Today, October 6, 2026: Sensex, Nifty Edge Higher as Investors Await RBI Rate Decision", "link": "https://news.google.com/rss/articles/CBMixwFBVV95cUxQYXlXS3EwSzRVZ3puMU4xc0w5V0IzRWR0bkQ4UmtNQnVkLUVFSlk2N3Bma1hlMXYtUFAtcFppa1laeWFjT3I2WUpZRlQxUTlRZXVSMTVJX0M5aFIxVlpSUUZnZWpyYTQzTjFXRU5TQk9WdmdfV20xRHNFaTBGWGRKa0liNjhqeGs5SlFFTV8tR3daZHVZZjFaSmNGVExoVjl6eXhtbURYaHpKaE8xV2U4eWl2NkVRbklBZmxJd0lmcGNxaGlfWTln?oc=5", "source": "HDFC Sky", "published": "2026-10-06 04:43", "score": 0.477, "label": "Positive"}, {"symbol": "DIACABS", "title": "Diamond Power Infrastructure Ltd. (DIACABS) Share Price Rise Streak Extends in Second Straight Session", "link": "https://news.google.com/rss/articles/CBMimwFBVV95cUxQZ1BOMU5hNW9FU2hKWE1POGtjZWg2RVZ4QnI1UGw2R2hhaEpVQVhrR1lwWnFSU09Za0UtWThyWHRKbl9KMlR1SFpNemFjcGhGanFUWWVfbGFYWWcxSExGS2VCdUV5QjJMeE1EcTduVUhxQlBseWpTcWhGbk5NVmhWUkdkZ1U2X2tnV2NfQWFWLS1FMVFFaEdNUmxIUQ?oc=5", "source": "Univest", "published": "2026-10-06 04:41", "score": 0.586, "label": "Positive"}, {"symbol": "MARKET", "title": "Sensex Today Trades Higher | Nifty Above 22,550 | Asian Paints &amp; Bharti Airtel Top Gainers", "link": "https://news.google.com/rss/articles/CBMi3wFBVV95cUxOU2tncDltd1k1R3NIWGV5S2FyS1BQR1JWckd6STAwUnRaQ3YzeENMUWIxb0d2UEp0U1ZTYXFObVROTEd5WVZWNmJVai13V3ZzTDhPdl9scU1xeXFaZmJtbEFQQnE4Y0t6eWpreV9OWVloZXBxTjREcnJ6RVlzYTZfSmtVbDJpUEJHZkJQZXcxUFNCNC1qanE1Yl9iQlFyYmM4aXRad0JZcDRpdktXMFY2ZGF1U01neUdQT1JZT2VQQUh4U2VMQnlGOVF0MlU5UVlMOUVSblh3MTdhOUtMWHdJ?oc=5", "source": "Equitymaster", "published": "2026-10-06 04:37", "score": 0.542, "label": "Positive"}, {"symbol": "MARKET", "title": "Capital markets related stocks in demand: BSE, MOFSL, Groww jump up to 3%", "link": "https://news.google.com/rss/articles/CBMi0gFBVV95cUxPSWVIdTVWZFNIOXVDU2xZbElLZVBYZzFSa18xYzFQSEkwUl9YVkJPM1ZYRzdkMnlxenFHOVA5QU1LaHFrRUJFUWRjNGJHSnR1UnExcF9NaWdHcjJ3SFlPNnZoUjJ1Ulg0QndSWE1hUjVWRDRXUHhUNVItN2hkWkFNMnJ6RERrMlllSDZ1aTBnb3FvMVZ4cFhiRlp2TlFYdFhIcDJSOWFBS2Y1WlV0Ul9oWHR4Y3BibFl6dzRkREFHNExsNXNPV3VsU3AyV3dPWHl4bXfSAdcBQVVfeXFMTjlrRGZNd0pyTVkzbTd2WVVoUnh5aVhORzh4RXlUTWREZDA2SjU3eE5aU1FLWkpLT1A2RzVKVXVBN2VRTUZfeS1rVzAzY1FtT2NDZWdiUEZTc0ZTa1h1azVkMDNXX045WE5BWHRDYTNrUnpPdXBfRm81UUhXZG1NU253eS1LZjhKY0ZTcVN4b0piSkl4LTJLSFAwODJ6RmxYZXI2WnRGMThIVTV4N203anlzZHotNXlZZW14WlJkTTZFTGt5cXdUY2tIS05vb0w5NnpiS1NsYzA?oc=5", "source": "Business Standard", "published": "2026-10-06 04:36", "score": 0.318, "label": "Positive"}, {"symbol": "E2E", "title": "E2E Networks Share Price Today Near Yearly High at Rs 685", "link": "https://news.google.com/rss/articles/CBMijwFBVV95cUxPdndmMFhWZ3pncW12S25NcDllS2NWRmFQWnRCZ0VVWHJ4b3FveTU2MzNzYkZwa0pXUzdVR1F1X09LanlDNjRGNUM3alRUMkVkUmkzN1g3UWxleVNWUGY3aF9DempIS0xreVh4QlhaNUdWUHczWE1Ub1Vzd0VuVDRlbVdCUUt5dzBhdi1DMDJRWQ?oc=5", "source": "Univest", "published": "2026-10-06 04:35", "score": 0.202, "label": "Positive"}, {"symbol": "MARKET", "title": "Sensex, Nifty rise as bank stocks gain ahead of RBI policy", "link": "https://news.google.com/rss/articles/CBMi0wFBVV95cUxOcHljcnZVX3gtMFJDcHVmekZLVGpIbUczN3h2WHFPUUh1NUdEMVVHVmZkdDJCZmg0bUlxNHpwaU8wbjdGRTRzRjVJVklRWXZ2YXhIUlcwVFhDVGoyRHhxenNMcXdlQmNfMFY0dHVZZUhMN2NTM2JYNzRJLXlGV19lbzJ6VHVYSFNlRl9adGE1Q0d6NlhjY2c4cFlrYTRuMTlmdDhEZE5RU2pOSG1OZ3lJSXJHRnJDU21PX0daWGM4UmFYN0lyUV9xWFJOUnlWU0g5UXdN0gHYAUFVX3lxTFB0TVZiczh3R0ZSNE41TF81UW9tTmVxRWsyRWlXTVUtOUtMdmtBaEExMGFqbVVUb01IRmJJOVRfaHZIcWFxUGMxbTN6a3pOaktQYUMtM2tTMmJwWEFoOVJsVVFoWVpFLUwzaFNDLWpBaDNjMlEyRkc0UmJTM3Q4b013Y1JXSFl1ZktlTnN5WVBFcUZfd1V2SzQxck9KZFNEZTR6T0JNblpiZERkSkRiRkE1MHRaMG11NGR6WnNza3lFVmtsTlpLUjkwbjdQZnU0U19pdUZkZ2p1VQ?oc=5", "source": "India Today", "published": "2026-10-06 04:26", "score": 0.625, "label": "Positive"}, {"symbol": "MARKET", "title": "SEBI likely to partly reverse CAS rules? BSE, NSE, other capital market stocks rise up to 3%", "link": "https://news.google.com/rss/articles/CBMi6AFBVV95cUxPSUU0bkZnd0JpRzFmazNqVEVWM3Y0X0VlVkdZcm5GTmFVSnZ4ckFDQzdUQ1c5NU5zYnBvcG1wcWpvTnNiMUhzTFhOS25YWkZlOHVoTGg2U0tqV1k2Tk1nQXBlN0lqbi0xZHNMeHEwUjNRdUdQOWN4QmZHMUJ2U29TOEdrSjR6cVZ2MVpsR19ZbktQQ0NEQURlcGluV3g0R3JsMFNLVm03d0s3UDNIZkpwenNOMnJ1U3B3SDBDcm9QLUVfYzRpS3dsUTB3RENvRzlUYVpsN01veVFJY0g4blRNSlVvNXY2ZWJF0gHuAUFVX3lxTE02TTRtYllVU2pqYkU3YjJYazUzV1RPYW5HRXhRbUY1dnNHcEFCaHY1UWdFVTZJMDFTSUM1bVJ3bFRBRmVJN24teWdUdURYZnlzZzUxMElJQU50OXJvSFdWWU5CSWFPa2V1WkFiZ0dkSWNnX2NVSEJ5OUZibWxjYmV4YlI3ZGlGTjc3Q3d3czVhRW5ZUF9uMy1VaGhHOHozMVVWNGtFX3gyc2lrWXlBeUdGSnY3SkUwcE9IeGJnVzRvSmktMzBDZDJMQmhTNWoxT3J5Wk5jX3hPLWR5YTJwNHNZNG1Ga00zT1RZbTk1MVE?oc=5", "source": "Moneycontrol.com", "published": "2026-10-06 04:22", "score": -0.258, "label": "Negative"}, {"symbol": "MARKET", "title": "Sensex settles 700 pts higher, Nifty ends near 22,800: Buying in private bank shares among key factors...", "link": "https://news.google.com/rss/articles/CBMi8gFBVV95cUxPTk1JVWJXNWVJeUxkWUxMX0UyVFhBX2pYZkxkUmROLXlrU0Y3SVg4VGZvaWFGek41T0xxUld6czBpZW02amN5NzlHSTNqb3FzYWNiUElvRW5mOXFSQUJIbmpqclFlS3pzWXlnVlBidEZ3X2pyMnZPcjRXb0NnZ0dfQ2NLV20tYnlaTjdIQUtPRGZ5VUdIcUVzQzRsUGpreVZyQ2pqR3lnSksxb25ObUFBdXZELWo2cEVFaWZTZDA2eUk1eDM3MnVienVaR0x0ZmlRYTZQNVBDaldwNUkwTlNJQlRBODJpVnEtSHlWN0lTNktUd9IB9wFBVV95cUxONHRNNVFtWkdLWlM3blA3VjBtZElVMnE4NkxJd1hJRUpOSU5hWjJpckpNN0pucFdyUXNPNk40RHk0WHJEQzRHQ0VWd1o0STQxemFZb1ZFZFU1OHpzQTlYaHF0dHNQLUxkczFGNmt4RkotU3VLTTRaTUJXb00ybUg1N2VmcmR2c0RDX1o3Sk13WTJwWEw0VTI2Zi0xYzFxSWg3OGlOTkZpbGdMN19fdW9BY3hRX25tWndfUnVlRG55b3Y0U0JVeE53VnlCRXFUUTFsaHlIcEdXSDNLcWNBdTAwTW9tNUJrMHhndzhodzBqWHlHelRPQ1lZ?oc=5", "source": "Moneycontrol.com", "published": "2026-10-06 04:09", "score": 0.402, "label": "Positive"}, {"symbol": "MARKET", "title": "Sensex rises over 100 points, Nifty above 22,600 as market extends gains. Why caution is warranted", "link": "https://news.google.com/rss/articles/CBMiigJBVV95cUxNNUNtQk4xTENzdlgyS2dqZ2ZETkJUNzRWMFZyWjVaYXE1anFXZS1uYXhtcXBiWW9LMVJmTXliaHVLTjlKVjdsQVR0YjhmbEF5U3QyTkp3bHVKZ09KclhfVXQ5S01ZdnJGM3pHT3JXalNuV3k4S1ZzM3VFeHFqdGlFb1VCYlA5bFJYTFozazNVUGRlUG41aGlCdkpNRTVPRTFTWXdQMGR1MXN1RG9pSTdwQ1hQZFpHSFZkZlRnUHZUSXhhQkVGZk1OaTRiUG55d3VraVdyWmNTY01EcThnVG8wS1o3S3JTZWQ5TlRXd0RwQzJKcGx2UVh2VmdzVUFtSmk4UmRtSVF4OUl4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oc=5", "source": "The Economic Times", "published": "2026-10-06 04:08", "score": 0.7, "label": "Positive"}, {"symbol": "MARKET", "title": "Sensex Opens 78 Points Higher Ahead Of Repo Rate Announcement Tomorrow", "link": "https://news.google.com/rss/articles/CBMisAFBVV95cUxOV3BrckgwbThRdzBkc2VLUHRmVmMwdG9Cem5IRGtwX1h2YXl1bTBWMlZjMXZOemt5OS05NHBXSVhZOUxqTFBSQllqTTJmZ0FvbVlCQjZ6QXJrLWw5VVN1M2kzWEJxam5DM0RzX01pZk9ZOHNTYkhhbVhfM1oxTUxpbnRPMXFEMVNvSm9GMlFkRkhXOUhCQWt2YzdodWtzOWp0Z0hQNURFcTBSX0tqMVJmVtIBuAFBVV95cUxQQUZSODQ1S3VROTh5a0FqSERpTEhuU2dLSzJiOXE3Zk1oaGt3UkI0MmFGWEdLRkVPYU04UjN0MUdyc3hmZ2JBUkVjLVpTbTJzQmFxOEg0WkQxNFBRcGFreGQ4SThJUTJuVUctU056bU5jUHZmRnNGOEk1aUo3ZHVWSDVZcE0tbWFoNlp6d2QydmI5bVNjSjc4Y3c3bThHZ1F0a3VCQUx0S3E0R1BYejA1VmlJaHpVVVpW?oc=5", "source": "NDTV", "published": "2026-10-06 03:49", "score": 0.0, "label": "Neutral"}, {"symbol": "MARKET", "title": "GIFT Nifty up, signals positive start for Sensex, Nifty; Asian gains, softer oil support sentiment", "link": "https://news.google.com/rss/articles/CBMi8AFBVV95cUxQTHpHTDdETHB2NjlFMGszUzl1UjdBQ195QXdIWGRpTnhJRlI3Z0xiR0syRmFuNzJ2VUhzSlZtek0td2RwTnVFekVDUUZqZ1BBUnItSjFqa2lUUUVoNzdCcTZVaE5pLUUyNXA0OUFYNllUZ2Uwa1hYbUhXemRtZjhMekhCVXlPbGtXakJfLXk5VEpuN2dHQURnODg1cnEwdjVfRF8wSmpORFVzSDRuN29weEZObzhCR1JJdzZqdnBNdF9DeUw1OUVvWjY0V1dFVlN2RDdPNTZRNXJTQ2JEQS13TndiMUNOWmZsTUJvZTdUaDPSAfYBQVVfeXFMUGxVT3dZX2RQU203ZXdSNjFZb3h2RHA2dnlOcEJ6OWp3Yl9NQkdLM3lyNUpFa0F5elZxa1otQ29uT0VzdEVRQzFpYzdvMlRFcEZaMkJPZlk5ZjR2LUREMXQ2cDl6STRTWDJ0NUgzLVlvdG9vZV9kSUpjNDl6X2FZOHZ4ajB2aUZmUDRjRGsyeVJZcmc0TmVCUEdqc0VyMHp6SC1QWTcwQXd4dlpfYkNVMGROMHB6cnZIUkFFVE5uNHlfU2Y4RGVJdlpPMmVIVlFIWUFzVGxEd25rT2VlMm1VVVYwNTNaYWFTM1F2TUs5c0JVZEpTNG93?oc=5", "source": "Moneycontrol.com", "published": "2026-10-06 02:41", "score": 0.951, "label": "Positive"}, {"symbol": "MARKET", "title": "Indian shares extend gains ahead of RBI rate decision", "link": "https://news.google.com/rss/articles/CBMirAFBVV95cUxOUFdSdW1FbkhzY3J5Y04zU1VhQnN6MWpGazU1dXBDMU9md1Q3RjlLRUlwNEJHWW9rbzRXdGRqQ1FxQ24waTVZWEM0X0hmY0FySmVxNEpBQVJOamhEc2VNcmFvM3hTcUFVdzhGN1cycmt6Wk15U09iTk1uOFcybFVOcDVJUEVwMlFIMk5mUnlxdUhKR3ltY1czVkRUdU13dmxMUjNjWVVMRFgta2ZG?oc=5", "source": "Reuters", "published": "2026-10-06 01:54", "score": 0.511, "label": "Positive"}, {"symbol": "MARKET", "title": "Sensex Today | Stock Market LIVE Updates: Nifty at 22,450, Sensex up 110 pts; HCL Tech, Asian Paints", "link": "https://news.google.com/rss/articles/CBMiyAFBVV95cUxOT0R5YUpfUTZVQldYYWVSUGg5ai1nME56TTBXNXdyTEZCWHFvNVZ5cWhKNjRZMEJiaHEzSUpWcGpPQ09BejJFNlZhbXNoNU9HQm9BZnQ5OEVWY2dabzhYWU5xcUItMklhNjhSRzJNOWNTdC1YS3JKMHFqZmFSZUZtXzVPWG1YLTh2blB1RDBVdGJtR1NYVzBULUk3ckl0NUpjQmotdE5tazFsTE96VjhTMWs5cFZJRDRicXNZV2RzMG9tMjR1dUdxQg?oc=5", "source": "IndiaIPO", "published": "2026-10-06 01:45", "score": 0.402, "label": "Positive"}, {"symbol": "MARKET", "title": "Stock Market Today: Gift Nifty, Nasdaq To AI Stocks Rally \u2014 Five Key Factors For Sensex, Nifty 50 On October 6", "link": "https://news.google.com/rss/articles/CBMi8gFBVV95cUxORmdPaFREQ0lrNzg0b0NsbVktMmFTMjd5SG1PUGRuSFowajhYSzlxa0VZMnJKTjE4aGNjZDlPNmsxLTROQVA3ZndPLVRiU2xkUjZuNHk3QjNFaUh5R2VMZkR6YUZ4aFZZekoxX3RZV0t4aXI3d3NYSDZkWFp5X0Y3d2hmeG10dXR0TTl2QzNWTmV1VmpiOXIycTVER2ZfUms3ekxrOXhXRjdxNXMtZXpwUURaZUo3Tk5RUlh6V0cyUmhQUWwtWFFJWm9zRGp3NWJXcUZMMTNidjQ1QUN2S18tQ2t3NGhsQm9mNGp0dVExQjFFQdIB-gFBVV95cUxOTC1KMnFWYk40ZkpnbEpQOEduMUxtSmZYd1FJMkxWRTF0dGJFbjRwWmc1SWZQWVZwYlkxd2NGdUU4Zlo2NDR2ckNxZzNYdGdyN3lvemZCVVdMQTBRWHBwd2Q4MWdKTjhMQ1VZUWJFNmh5ZmVnTlBUWDhPekJTS2lrTmFoT0ktZWJPR2pRb1dTOTVTcFdueDZrdkdVZUdqeTktT2EweWMyQjFtd2RGU3dLdEJqTzJ1ZEdvUHBaMmdNTmdkdlpJZjI4cXhOMzdQUFM5WTdfeFUyT0NXZnBHLThYazZ4MEN0X2NwcWJYNkhwWHdENFk3UWJKX2Nn?oc=5", "source": "NDTV Profit", "published": "2026-10-06 01:27", "score": 0.883, "label": "Positive"}, {"symbol": "MARKET", "title": "Yes Bank Q2 FY27 Results | Bank of India Q2 FY27 Results | Top Buzzing Stocks Today", "link": "https://news.google.com/rss/articles/CBMi2AFBVV95cUxPYlBPUkEwNHZxZjRMcmJaMnpmZEVUZmprSWNZWnE1MGxXS01zYkhPTUx0MnplVktkVFdMamN6Nlh2YWpBS1BwcWVSMHhTbFEySi1KX0VUREVuRE01WnBJTk9YbVE0M29WWFNQR3pEdkJBTHJIRjZPMmpGNnROQWhJYWs0RnV4RTQwYU1DWUFTYTAwczJsbGh0bDFfV1J1c25sMGFYTGQtdE9OOFRvYXEzRURnWm1jVEswTE5iOUphejZVOVFDcHozRFV4SjJ0ejJ1YnJUQTl0OUM?oc=5", "source": "Equitymaster", "published": "2026-10-06 00:30", "score": 0.542, "label": "Positive"}, {"symbol": "MARKET", "title": "Five reasons India's stock market is sinking even when its economy is growing", "link": "https://news.google.com/rss/articles/CBMiXkFVX3lxTE1EdEhaMjJGMk1DR0ZaZkZfOVJ6V1pNODA0VlBGQ2p2eEtSNHc3ZzZ6d01sZVAwWE1HUkctaHk1aUNBTUY5ZXMxbVUxYWVFeFZHdU9aQW93UjlKbXhCSUE?oc=5", "source": "BBC", "published": "2026-10-05 23:14", "score": 0.178, "label": "Neutral"}, {"symbol": "DIACABS", "title": "Diamond Power Infrastructure bags \u20b943.26 Cr cable supply order from Adani Power", "link": "https://news.google.com/rss/articles/CBMitgFBVV95cUxQZzVzMk9uc3VSN080aktTMVlwZTAzcUJaak9BQVJaMlJtYVZ4Z25YdGYtSDJzQXlSc1BicEZiay13UHc5dS1kbFZMZG1fQ0E0UlFSV1ZfaGRsRFp5RGZIcXZYalB1OUlJZi1kcUZkLTh2STNFMXRCOEc1YjNJSlg5Z3ZWcUtVYmxCSVZJU1BQQlRIVjNZcEktZGZMUFNoWkNRcXlqTVhXTnpzSkxic2h2bHdaZVF2dw?oc=5", "source": "Alice Blue", "published": "2026-10-05 22:01", "score": 0.735, "label": "Positive"}, {"symbol": "RRKABEL", "title": "Power Stocks Rise: What's Driving CESC, TD Power, RR Kabel?", "link": "https://news.google.com/rss/articles/CBMif0FVX3lxTFB4eE1jUG9mbl9oOVNybUE1Tld1ZDFxWDNzMk1nemwtbUUxaTFKZlhENndYYTQ5b296SFJMaktaSW00cTlwQzFybVdpWlB4Q2o0ZktBOFlIZ1ltLWxMdFl2VlpYWnY4UXgzM2NHQzVJbG5wbzU3TTZqQ3FTX2p6LXM?oc=5", "source": "Univest", "published": "2026-10-05 11:48", "score": 0.0, "label": "Neutral"}, {"symbol": "MARKET", "title": "Stock market prediction for today: Sensex, Nifty outlook for Tuesday | Kospi, Taiwan cues to watch | 6 Oct 2026", "link": "https://news.google.com/rss/articles/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oc=5", "source": "Livemint", "published": "2026-10-05 10:22", "score": 0.402, "label": "Positive"}, {"symbol": "MARKET", "title": "Taking Stock: Markets snap 4-day losing streak; Nifty ends above 22,500, Sensex up 473 pts", "link": "https://news.google.com/rss/articles/CBMi4AFBVV95cUxOZXNrUFhhSmVLTllxbWc2NzB6SjFac1RrZDQ1ZnVWYWlVODN1Q0JMQzFlVHhaZk9mdzhxd200cE1EXzNEQzhQWVUtZTJobGVrd05lM1pnbzBCcmlJYmVvSlc0bGtCZS03UUNaM2I5TU5QbXpuYWNvaWd0YU9aZnFleXJJeUJiSE1VS2hsUHVYcTlNTE1BS3lFRGhoQmxnZ2tRTTNDY2FGYi1VU3Y0cTJ0Mk5mUEU5d19mS1BMNEdSRldvN3VUNU5yVUZoX0dkMXZvb1A4ODVCUGcxSWdKQVZUStIB5gFBVV95cUxOZ2dBbk9sbEt6bVdqdjhIcmtOSjREdUc0S1lPUlJiS25IM1VhNUplOXdXM3FRYjdFV2hrY2pfbDJUWkRJS3lUV3NJM1RYWDhhWGVxUnM5VGNIcGkybFM1bEVnejA1SldoeklhcGVjZ1RkbGpDU09uSW9pTFpKNTF3RmdFdzhHVXpsbS0xWEV4M3NGbGxBNDhrUEUwS0xDdndpZnZWLWFZUy13ci03QlpXdkx2WThtUmdtcGttRTNGeFBxNnhMS3VGUWcwT0ZEM3ZSNW9GVkRNRndnX2oxbGxtS0JkY3hyQQ?oc=5", "source": "Moneycontrol.com", "published": "2026-10-05 10:19", "score": 0.026, "label": "Neutral"}, {"symbol": "MARKET", "title": "Gold, silver or stocks: Where should investors put fresh money after the Sensex, Nifty crash?", "link": "https://news.google.com/rss/articles/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oc=5", "source": "Livemint", "published": "2026-10-05 08:36", "score": 0.052, "label": "Neutral"}, {"symbol": "TDPOWERSYS", "title": "TD Power Systems Ltd. 52 Week High Streak and Valuation", "link": "https://news.google.com/rss/articles/CBMilAFBVV95cUxQZGxUMDA2QWVvRjlORjJPUTVkOVVneVh5UFIzTmM3blBpZUd3VUVjSE9PU19MdVZDbndrQ1VieHhacGpGb2NLVy04Zndqczl3QnJPS2lhREh0aERYZ01kdHBYSm1vMkxvYy00dl9QQnB5VnlMRWcyRkRtYUhPcEljeUwtQXZPQnFpMGU3WEZ1ekt5alAx?oc=5", "source": "Univest", "published": "2026-10-05 07:25", "score": 0.202, "label": "Positive"}, {"symbol": "E2E", "title": "Larsen &amp; Toubro (NSEI:LT) Stock Forecast &amp; Analyst Predictions", "link": "https://news.google.com/rss/articles/CBMihwFBVV95cUxQbmZGX3Fjei1iMFA4RGU4cDl2LU9UTUQyWW9DdUp5T1VjMDhVaVM5NFNZTThGaEVwelRJaFdqRDdxZURYdkZldDBJQXV0al9WOGhoTVZ2SXNlU0ExVjI0Zy01ZG5WczhUdjdmT0U0akJBTHo2aVdITVp4VkpCVGJPLTgyVjFDeTQ?oc=5", "source": "Simply Wall Street", "published": "2026-10-05 07:00", "score": 0.0, "label": "Neutral"}, {"symbol": "AEROFLEX", "title": "Top 3 Ranked Performers in Ashish Kacholia\u2019s Portfolio in 2026", "link": "https://news.google.com/rss/articles/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oc=5", "source": "The Financial Express", "published": "2026-10-05 06:49", "score": 0.202, "label": "Positive"}, {"symbol": "MARKET", "title": "Why is stock market up today? Top 3 factors behind the rally in Sensex, Nifty today", "link": "https://news.google.com/rss/articles/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oc=5", "source": "Livemint", "published": "2026-10-05 04:03", "score": 0.758, "label": "Positive"}, {"symbol": "MARKET", "title": "Why did market rise today? Sensex jumps 473 points, Nifty closes above 22,550: 6 key factors driving rebou", "link": "https://news.google.com/rss/articles/CBMihwJBVV95cUxQUGRJM2YwcWlGNzgwM0s5dXo4WEljLTVqdlk5OEo0WHY3c2MyeC1IYnhUYlNyN2NETmZ4OEtlVGQ5engySzdHT3Bia1A3dFV4T0RWSjJVSlZTN0dRTnJCN05WT29NOXd4SzFlYWszWlgwN0hLR3pwTVNQOVhkdkw5Q2p0X2ZuUENnSVZaX05ULTBqa1RkTTRXYXc2S3hreHJpa3BNeUZxaHBCRlVyM1d3QlV0RU1FLVNhYnRQWi1ZZHh5Q09zZ1Z6bDJUV1F6UHJxVGg0dGFPTFVTNXpYTzV5SGh1enNTdlBkVmJGTHg1UkxFRzhySnVaNnZjYnJLcmoxRU43MmpiMNIBjAJBVV95cUxNMlBfRlFDRE92MGN3dnV5ZjBYaTVZWGp4WlN2MDc5VUlSVzh2X0RlWHY2eW5xQS1YUXRGT1RrWm5sdUhaSzV2VjdobEtMX1BncTVfWlhvX01IbE8zRGthSHZrTC1KVG45ekh1cWlJR19YS0JLem16NlZZZTJtRTdJbzZ0dVFvVkg3MTI5SURfOXBLajhZdmZlVFg2SmhpdEpSVXZhZ0NmWURYbnViX1l3M0VFbEtOX2lhVkJrblJMNlMwaVRBeFR0Vnl1bm15a1F1dGUtdVpxSnh1NWN3bkZKMnB3UU9ESzU5MEhDSW5OcjVPMXF4MExxYk5iOTBUek5GczBNTjlDZ25NZ3dP?oc=5", "source": "The Economic Times", "published": "2026-10-05 04:02", "score": 0.691, "label": "Positive"}, {"symbol": "MARKET", "title": "Stock Market Today: Gift Nifty, US Jobs Data To Oil Prices \u2014 Five Key Factors For Sensex, Nifty 50 On October 5", "link": "https://news.google.com/rss/articles/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oc=5", "source": "NDTV Profit", "published": "2026-10-05 02:24", "score": 0.807, "label": "Positive"}, {"symbol": "MARKET", "title": "Stock market outlook today, 5 Oct: Sensex, Nifty prediction - DJIA, S&amp;P, NASDAQ, GIFT Nifty, Nikkei, Taiwan cues", "link": "https://news.google.com/rss/articles/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oc=5", "source": "Livemint", "published": "2026-10-05 01:28", "score": 0.842, "label": "Positive"}, {"symbol": "MARKET", "title": "Sensex, Nifty, Bank Nifty prediction: What will happen in the Indian stock market on Monday? 3 reasons tell the scene", "link": "https://news.google.com/rss/articles/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oc=5", "source": "Livemint", "published": "2026-10-04 11:18", "score": 0.66, "label": "Positive"}, {"symbol": "LAURUSLABS", "title": "Laurus Labs - 7 midcap stocks with rising EPS for four straight quarters. Are they in your portfolio?", "link": "https://news.google.com/rss/articles/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oc=5", "source": "The Economic Times", "published": "2026-10-04 09:09", "score": 0.226, "label": "Positive"}, {"symbol": "MARKET", "title": "Stock market prediction for today, 5 Oct Monday: Sensex, Nifty outlook; Dow Jones, Nasdaq, Kospi, Nikkei, Taiwan cues", "link": "https://news.google.com/rss/articles/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oc=5", "source": "Livemint", "published": "2026-10-04 04:39", "score": 0.402, "label": "Positive"}, {"symbol": "MARKET", "title": "Will Nifty, Sensex plunge for 9th straight week? TCS Q2, RBI MPC among 4 factors to drive Dalal Street fro", "link": "https://news.google.com/rss/articles/CBMigAJBVV95cUxNSlpCZHRtdU1mRHhwdmZTUWZFd3lpN3A2bU</t>
        </is>
      </c>
    </row>
    <row r="5">
      <c r="A5" t="inlineStr">
        <is>
          <t>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oc=5", "source": "The Economic Times", "published": "2026-10-04 03:44", "score": 0.026, "label": "Neutral"}, {"symbol": "LAURUSLABS", "title": "Laurus Labs to host Q1 FY27 earnings call on July 24", "link": "https://news.google.com/rss/articles/CBMirgFBVV95cUxOMTN1ZnFndVJWS25ybjFfblNPT2JQUThIRUxKR096TWxlUDhlSVQ3U3Y2dmZQZ2wwRkt3Z0owaWRxWXFPNUZVcDNEQTl0UHJkT0dDdFhPd280OG04VFBpMmREUDM3N0xxZE5MNTRYRWlmMzY1X05mdkt5S1AtTEdLb1ZJd0pIZFVGeWZmcWlWaFJ2QmthcjhYRzBKazBpeFBucll4YlFLNl9ENGRCZXc?oc=5", "source": "scanx.trade", "published": "2026-10-04 02:58", "score": 0.0, "label": "Neutral"}, {"symbol": "ATHERENERG", "title": "Tesla Delivery Beat Lifts Ather Energy Stock And EV Shares Back Into View", "link": "https://news.google.com/rss/articles/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oc=5", "source": "Simply Wall Street", "published": "2026-10-04 01:36", "score": 0.572, "label": "Positive"}, {"symbol": "LAURUSLABS", "title": "Laurus Labs NCLT hearing for composite scheme set for Sep 10", "link": "https://news.google.com/rss/articles/CBMiuAFBVV95cUxNR2loRVl4VmFmUTQwUnNVdTJoMnFBZGFfU2M1UDRhUVpIUUpneGN3amZOeEtZZlpkVWl4U1hULUVjdEJWYVJlZDJJLWk4UHpFaUpHeF9wRG93Wno2aUN2amJXTGtZd2dfa3hNOTBJbmNYajNqVXNWOUZXV180blQ5SWtBMG5xR2tiWXlrUUdmRWdIX2dncU9ra3ZlTjhNZUpRNjh5aHRWRXJDdHg3ZU5UeVZqZld5WFRh?oc=5", "source": "scanx.trade", "published": "2026-10-04 00:59", "score": 0.0, "label": "Neutral"}, {"symbol": "E2E", "title": "1:10 Stock Split Alert! L&amp;T Backed Small Cap Stock Fixes Stock Split Record Date | How To Get Eligible?", "link": "https://news.google.com/rss/articles/CBMiwgFBVV95cUxPWmhhOV9UbzdzUnl1d3d3UWJ0WHdUVTFnVy1CRDlOaEtJRURFeG9MdzYwemoxblZHVFEyU3ZsSUpfd2R1QUVmRFhDakRUbWJvYTg1MVByOEtJZzhuZndaRkdHaU1BdGQ5bWVIMzRudUxYU0lvRk82UkFqd2tId2JMSDNVT1oxUzVPRWRsamprWWo2a0QxRXdGUUxhME03RWNTMmwwSmMxUkNkQS1yRmI0WUJ4X09BZWlTY2JxNG00X0Mydw?oc=5", "source": "Goodreturns", "published": "2026-10-03 11:24", "score": 0.624, "label": "Positive"}, {"symbol": "E2E", "title": "Indian Listed New-Age Tech Company Tracker: Market Cap, Revenue &amp; More", "link": "https://news.google.com/rss/articles/CBMimgFBVV95cUxPVU94dFhyMVNPZFBOeklEbER6NHMwNzZpZDdzamhwdXpTYWZjWkh1cVN6WFhGV2UxZWlyVEZrOUlRak5NSFQ5UWstcjFjMHNzWFNuTzZaRUFVWXVhM0YzU0F6clJYMWp1VlBSOTV2SEdTYlVFbTZkYTJQMzYyNzRZWllNaWhDWFduSmhKcmxicm51d1JuMGVjR3R3?oc=5", "source": "Inc42", "published": "2026-10-03 07:00", "score": 0.0, "label": "Neutral"}, {"symbol": "TDPOWERSYS", "title": "TD Power Systems (NSE:TDPOWERSYS): What Does the Listing Approval for 12.5 Lakh Preferential Shares Mean?", "link": "https://news.google.com/rss/articles/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oc=5", "source": "Kalkine India", "published": "2026-10-02 09:20", "score": 0.421, "label": "Positive"}, {"symbol": "MARKET", "title": "Weekly market wrap: NIFTY50, SENSEX fall up to 3% marking 8th week of loss; Bajaj Auto, Max Health among top losers", "link": "https://news.google.com/rss/articles/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oc=5", "source": "Upstox", "published": "2026-10-02 04:58", "score": -0.778, "label": "Negative"}, {"symbol": "MARKET", "title": "Gandhi Jayanti: Are NSE, BSE closed for trading on October 2?", "link": "https://news.google.com/rss/articles/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oc=5", "source": "The Times of India", "published": "2026-10-02 03:57", "score": 0.0, "label": "Neutral"}, {"symbol": "LAURUSLABS", "title": "Top 2 stocks to buy or sell for short-term: Laurus Labs, Canara Bank by Chandan Taparia - Check stop-loss, targets", "link": "https://news.google.com/rss/articles/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oc=5", "source": "Livemint", "published": "2026-10-02 03:53", "score": 0.153, "label": "Neutral"}, {"symbol": "MARKET", "title": "Stock market holiday: BSE, NSE closed today for Gandhi Jayanti", "link": "https://news.google.com/rss/articles/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oc=5", "source": "Business Standard", "published": "2026-10-02 01:50", "score": 0.402, "label": "Positive"}, {"symbol": "MARKET", "title": "Stock market holiday today on October 2: BSE, NSE to remain closed for Gandhi Jayanti", "link": "https://news.google.com/rss/articles/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oc=5", "source": "Moneycontrol.com", "published": "2026-10-02 00:47", "score": 0.402, "label": "Positive"}, {"symbol": "MARKET", "title": "Indian firms defy stock market slump with record $25 billion half-year equity fundraise", "link": "https://news.google.com/rss/articles/CBMiwgFBVV95cUxPVnZXMEtCQ2VsTnJuekwxaU9nbFhTN1prekljby1EMHNqc052QVRVM3Q5SWEzZzgxaEpjdmtSUlY0dXRRd0xXQXdQb3hYeXRYbm9MUURDR0dsclZVMmNwUG1RWm5tT21FU0tsdnl0OGM4TVZwdy1QSDc5cXl5aUkxbjhmR1lyV0pnU2tVZXh1cU1xREVYZVNfbXBNRHdCOUY4d1FlVVlCaFdmeVlzMmkxSUZZS05lbHkxYkIwdTBTajJVZw?oc=5", "source": "Reuters", "published": "2026-10-01 14:09", "score": -0.178, "label": "Neutral"}], "errors": []}, "created": "2026-09-28T13:27:26", "last_updated": "2026-10-08T12:35:33", "research": {"method": "notes", "generated": "2026-09-28 13:27", "title": "Stock by stock", "stocks": {"TDPOWERSYS": {"symbol": "TDPOWERSYS", "name": "TD Power Systems", "view": "Bullish", "view_score": 1.5, "tone": "bull", "summary": "The stock is 10% below its high, a shallow pullback within a strong uptrend.", "why": "Guidance raised, shallow pullback. Check for a fundraise.", "points": [{"text": "The stock is 10% below its high, a shallow pullback within a strong uptrend.", "kind": "context", "source": "", "url": ""}, {"text": "Q1 FY27 revenue rose about 72% YoY.", "kind": "catalyst", "source": "5paisa", "url": "https://www.google.com/search?q=TD%20Power%20Systems%20site%3A5paisa.com"}, {"text": "It raised its FY27 revenue guidance to \u20b92,600 crore.", "kind": "catalyst", "source": "fyers", "url": "https://www.google.com/search?q=TD%20Power%20Systems%20site%3Afyers.in"}, {"text": "A board meeting on 14 Aug was set to consider raising funds, so check whether a dilutive QIP is pending.", "kind": "risk", "source": "5paisa", "url": "https://www.google.com/search?q=TD%20Power%20Systems%20site%3A5paisa.com"}, {"text": "Valuation is stretched (P/E around 70).", "kind": "risk", "source": "5paisa", "url": "https://www.google.com/search?q=TD%20Power%20Systems%20site%3A5paisa.com"}], "short_view": "Bullish"}, "AEROFLEX": {"symbol": "AEROFLEX", "name": "Aeroflex Industries", "view": "Bullish, high risk", "view_score": 1.25, "tone": "bull", "summary": "Q1 FY27 revenue grew 72.4% and PAT rose 162%.", "why": "Strong growth, expensive, volatile, thin liquidity", "points": [{"text": "Q1 FY27 revenue grew 72.4% and PAT rose 162%.", "kind": "catalyst", "source": "sahi", "url": "https://www.google.com/search?q=Aeroflex%20Industries%20site%3Asahi.com"}, {"text": "Liquid-cooling skid capacity was raised 50%, with further expansion planned.", "kind": "catalyst", "source": "sahi", "url": "https://www.google.com/search?q=Aeroflex%20Industries%20site%3Asahi.com"}, {"text": "P/E is about 102, volatility is the highest of the ten (67%), and liquidity is thin (\u20b953 cr/day).", "kind": "risk", "source": "share", "url": "https://www.google.com/search?q=Aeroflex%20Industries%20share"}, {"text": "That makes it the most fragile in a falling market.", "kind": "risk", "source": "share", "url": "https://www.google.com/search?q=Aeroflex%20Industries%20share"}], "short_view": "Bullish, risky"}, "ATHERENERG": {"symbol": "ATHERENERG", "name": "Ather Energy", "view": "Bullish, mid-pullback", "view_score": 1.25, "tone": "bull", "summary": "Q1 revenue grew 89% and the loss narrowed 71%.", "why": "Strong catalysts and brokers, but still pulling back", "points": [{"text": "Q1 revenue grew 89% and the loss narrowed 71%.", "kind": "catalyst", "source": "indmoney", "url": "https://www.google.com/search?q=Ather%20Energy%20site%3Aindmoney.com"}, {"text": "It was also added to the MSCI India Domestic Small Cap Index.", "kind": "catalyst", "source": "indmoney", "url": "https://www.google.com/search?q=Ather%20Energy%20site%3Aindmoney.com"}, {"text": "Hero MotoCorp is lifting its stake to about 32.8%.", "kind": "catalyst", "source": "freepressjournal", "url": "https://www.google.com/search?q=Ather%20Energy%20site%3Afreepressjournal.in"}, {"text": "A global broker raised its target to \u20b91,926.", "kind": "catalyst", "source": "hdfcsky", "url": "https://www.google.com/search?q=Ather%20Energy%20site%3Ahdfcsky.com"}, {"text": "The stock has slid about 16% from its early-September high, so the story is intact but the price is digesting a big run.", "kind": "context", "source": "", "url": ""}, {"text": "High oil prices are a tailwind for the EV theme.", "kind": "catalyst", "source": "", "url": ""}], "short_view": "Bullish"}, "RRKABEL": {"symbol": "RRKABEL", "name": "RR Kabel", "view": "Moderately bullish", "view_score": 1.0, "tone": "mod-bull", "summary": "Q1 PAT jumped 129% and EBITDA doubled.", "why": "Strong Q1, moderate volatility", "points": [{"text": "Q1 PAT jumped 129% and EBITDA doubled.", "kind": "catalyst", "source": "5paisa", "url": "https://www.google.com/search?q=RR%20Kabel%20site%3A5paisa.com"}, {"text": "CLSA initiated at Outperform with a \u20b92,850 target.", "kind": "catalyst", "source": "fyers", "url": "https://www.google.com/search?q=RR%20Kabel%20site%3Afyers.in"}, {"text": "The stock is 16% off its high, so it is consolidating.", "kind": "context", "source": "", "url": ""}, {"text": "Volatility is moderate (44%), which is better than most here.", "kind": "catalyst", "source": "", "url": ""}], "short_view": "Moderately bullish"}, "E2E": {"symbol": "E2E", "name": "E2E Networks", "view": "Speculative, neutral to bullish", "view_score": 0.5, "tone": "spec", "summary": "Q1 revenue was \u20b9156.76 crore vs \u20b936.11 crore a year earlier, with a profit of \u20b943.88 crore, on GPU cluster expansion.", "why": "Big revenue jump, P/E near 400", "points": [{"text": "Q1 revenue was \u20b9156.76 crore vs \u20b936.11 crore a year earlier, with a profit of \u20b943.88 crore, on GPU cluster expansion.", "kind": "catalyst", "source": "angelone", "url": "https://www.google.com/search?q=E2E%20Networks%20site%3Aangelone.in"}, {"text": "P/E is about 398 and the stock fell 11.8% in the month to 18 Sep.", "kind": "risk", "source": "anandrathi", "url": "https://www.google.com/search?q=E2E%20Networks%20site%3Aanandrathi.com"}, {"text": "It has bounced since.", "kind": "context", "source": "anandrathi", "url": "https://www.google.com/search?q=E2E%20Networks%20site%3Aanandrathi.com"}, {"text": "It is an AI-theme stock with thin liquidity and gap risk in both directions.", "kind": "risk", "source": "", "url": ""}], "short_view": "Speculative"}, "ACUTAAS": {"symbol": "ACUTAAS", "name": "Acutaas Chemicals", "view": "Neutral", "view_score": 0.0, "tone": "neutral", "summary": "It received PLI approval for an electrolyte additives plan and commissioned a high-potency API pilot plant.", "why": "No catalyst, sideways trend", "points": [{"text": "It received PLI approval for an electrolyte additives plan and commissioned a high-potency API pilot plant.", "kind": "catalyst", "source": "fyers", "url": "https://www.google.com/search?q=Acutaas%20Chemicals%20site%3Afyers.in"}, {"text": "Quarterly revenue and profit were lower sequentially (\u20b9327 cr and \u20b976 cr in Jun vs \u20b9436 cr and \u20b9137 cr in Mar).", "kind": "risk", "source": "anandrathi", "url": "https://www.google.com/search?q=Acutaas%20Chemicals%20site%3Aanandrathi.com"}, {"text": "The 6-1 return is negative.", "kind": "risk", "source": "anandrathi", "url": "https://www.google.com/search?q=Acutaas%20Chemicals%20site%3Aanandrathi.com"}, {"text": "The price has moved sideways since June.", "kind": "risk", "source": "", "url": ""}, {"text": "There is no clear trigger for a 21-day move.", "kind": "risk", "source": "", "url": ""}], "short_view": "Neutral"}, "DIACABS": {"symbol": "DIACABS", "name": "Diamond Power Infra", "view": "Neutral to bearish short term", "view_score": -1.0, "tone": "mod-bear", "summary": "It hit a 52-week high of about \u20b9395 on 17 Sep, up 202% in six months, with a P/E near 128.", "why": "Extended, weak balance sheet", "points": [{"text": "It hit a 52-week high of about \u20b9395 on 17 Sep, up 202% in six months, with a P/E near 128.", "kind": "risk", "source": "anandrathi", "url": "https://www.google.com/search?q=Diamond%20Power%20Infra%20site%3Aanandrathi.com"}, {"text": "Book value per share was negative in the July data.", "kind": "risk", "source": "bajajfinserv", "url": "https://www.google.com/search?q=Diamond%20Power%20Infra%20site%3Abajajfinserv.in"}, {"text": "It is now 14% off that high.", "kind": "risk", "source": "", "url": ""}, {"text": "The T&amp;D order-book story is real, but the valuation and balance sheet make it a momentum-only trade.", "kind": "context", "source": "", "url": ""}], "short_view": "Neutral to bearish"}, "KIRLOSENG": {"symbol": "KIRLOSENG", "name": "Kirloskar Oil Engines", "view": "Neutral to bearish", "view_score": -1.0, "tone": "mod-bear", "summary": "June-quarter revenue was \u20b91,482 cr vs \u20b91,284 cr a year ago, but EBITDA slipped to \u20b9176 cr from \u20b9184 cr, so margins are compressing.", "why": "Margins and momentum fading", "points": [{"text": "June-quarter revenue was \u20b91,482 cr vs \u20b91,284 cr a year ago, but EBITDA slipped to \u20b9176 cr from \u20b9184 cr, so margins are compressing.", "kind": "risk", "source": "anandrathi", "url": "https://www.google.com/search?q=Kirloskar%20Oil%20Engines%20site%3Aanandrathi.com"}, {"text": "The 6-1 return is \u221211% and the stock is 16.5% below its high.", "kind": "risk", "source": "", "url": ""}, {"text": "Momentum is fading.", "kind": "risk", "source": "", "url": ""}], "short_view": "Neutral to bearish"}, "THANGAMAYL": {"symbol": "THANGAMAYL", "name": "Thangamayil Jewellery", "view": "Bearish", "view_score": -2.0, "tone": "bear", "summary": "It hit a high of \u20b97,429 and traded near \u20b95,085 on 22 Sep.", "why": "Downtrend, avoid", "points": [{"text": "It hit a high of \u20b97,429 and traded near \u20b95,085 on 22 Sep.", "kind": "context", "source": "anandrathi", "url": "https://www.google.com/search?q=Thangamayil%20Jewellery%20site%3Aanandrathi.com"}, {"text": "It is now about 31% below the peak.", "kind": "risk", "source": "anandrathi", "url": "https://www.google.com/search?q=Thangamayil%20Jewellery%20site%3Aanandrathi.com"}, {"text": "Q1 EBITDA (\u20b9145 cr) fell from \u20b9214 cr in the March quarter.", "kind": "risk", "source": "anandrathi", "url": "https://www.google.com/search?q=Thangamayil%20Jewellery%20site%3Aanandrathi.com"}, {"text": "It has the weakest chart in the batch: a clear downtrend, a negative 6-1 return, and a gold-price-sensitive business.", "kind": "risk", "source": "", "url": ""}], "short_view": "Bearish"}, "LAURUSLABS": {"symbol": "LAURUSLABS", "name": "Laurus Labs", "view": "Strongest, bullish", "view_score": 2.0, "tone": "strong-bull", "summary": "Its close is only 1.1% below its 12-month high, and its volatility is the lowest of the ten (28%).", "why": "Relative strength near highs, lowest volatility, defensive sector", "points": [{"text": "Its close is only 1.1% below its 12-month high, and its volatility is the lowest of the ten (28%).", "kind": "catalyst", "source": "", "url": ""}, {"text": "FY26 profit after tax was \u20b9740 crore vs \u20b9380 crore the year before.", "kind": "catalyst", "source": "torusdigital", "url": "https://www.google.com/search?q=Laurus%20Labs%20site%3Atorusdigital.com"}, {"text": "It is up about 94% in six months and holding near highs while the index falls.", "kind": "catalyst", "source": "anandrathi", "url": "https://www.google.com/search?q=Laurus%20Labs%20site%3Aanandrathi.com"}, {"text": "Pharma is also defensive in a risk-off tape.", "kind": "catalyst", "source": "anandrathi", "url": "https://www.google.com/search?q=Laurus%20Labs%20site%3Aanandrathi.com"}, {"text": "P/E is high, so it can still pull back.", "kind": "risk", "source": "anandrathi", "url": "https://www.google.com/search?q=Laurus%20Labs%20site%3Aanandrathi.com"}], "short_view": "Bullish"}}, "shortlist": ["LAURUSLABS", "TDPOWERSYS", "ATHERENERG", "RRKABEL", "AEROFLEX", "E2E", "ACUTAAS", "DIACABS", "KIRLOSENG", "THANGAMAYL"], "missing": []}, "research_notes": "Stock by stock\n\n1. TD Power Systems (TDPOWERSYS): bullish\n\nThe stock is 10% below its high, a shallow pullback within a strong uptrend.\nQ1 FY27 revenue rose about 72% YoY.\n5paisa\nIt raised its FY27 revenue guidance to \u20b92,600 crore.\nfyers\nA board meeting on 14 Aug was set to consider raising funds, so check whether a dilutive QIP is pending. Valuation is stretched (P/E around 70).\n5paisa\n\n2. Aeroflex Industries (AEROFLEX): bullish, high risk\n\nQ1 FY27 revenue grew 72.4% and PAT rose 162%. Liquid-cooling skid capacity was raised 50%, with further expansion planned.\nsahi\nP/E is about 102, volatility is the highest of the ten (67%), and liquidity is thin (\u20b953 cr/day). That makes it the most fragile in a falling market.\nshare\n\n3. Ather Energy (ATHERENERG): bullish, mid-pullback\n\nQ1 revenue grew 89% and the loss narrowed 71%. It was also added to the MSCI India Domestic Small Cap Index.\nindmoney\nHero MotoCorp is lifting its stake to about 32.8%.\nfreepressjournal\nA global broker raised its target to \u20b91,926.\nhdfcsky\nThe stock has slid about 16% from its early-September high, so the story is intact but the price is digesting a big run. High oil prices are a tailwind for the EV theme.\n\n4. RR Kabel (RRKABEL): moderately bullish\n\nQ1 PAT jumped 129% and EBITDA doubled.\n5paisa\nCLSA initiated at Outperform with a \u20b92,850 target.\nfyers\nThe stock is 16% off its high, so it is consolidating. Volatility is moderate (44%), which is better than most here.\n\n5. E2E Networks (E2E): speculative, neutral to bullish\n\nQ1 revenue was \u20b9156.76 crore vs \u20b936.11 crore a year earlier, with a profit of \u20b943.88 crore, on GPU cluster expansion.\nangelone\nP/E is about 398 and the stock fell 11.8% in the month to 18 Sep. It has bounced since.\nanandrathi\nIt is an AI-theme stock with thin liquidity and gap risk in both directions.\n\n6. Acutaas Chemicals (ACUTAAS): neutral\n\nIt received PLI approval for an electrolyte additives plan and commissioned a high-potency API pilot plant.\nfyers\nQuarterly revenue and profit were lower sequentially (\u20b9327 cr and \u20b976 cr in Jun vs \u20b9436 cr and \u20b9137 cr in Mar). The 6-1 return is negative.\nanandrathi\nThe price has moved sideways since June. There is no clear trigger for a 21-day move.\n\n7. Diamond Power Infra (DIACABS): neutral to bearish short term\n\nIt hit a 52-week high of about \u20b9395 on 17 Sep, up 202% in six months, with a P/E near 128.\nanandrathi\nBook value per share was negative in the July data.\nbajajfinserv\nIt is now 14% off that high. The T&amp;D order-book story is real, but the valuation and balance sheet make it a momentum-only trade.\n\n8. Kirloskar Oil Engines (KIRLOSENG): neutral to bearish\n\nJune-quarter revenue was \u20b91,482 cr vs \u20b91,284 cr a year ago, but EBITDA slipped to \u20b9176 cr from \u20b9184 cr, so margins are compressing.\nanandrathi\nThe 6-1 return is \u221211% and the stock is 16.5% below its high. Momentum is fading.\n\n9. Thangamayil Jewellery (THANGAMAYL): bearish\n\nIt hit a high of \u20b97,429 and traded near \u20b95,085 on 22 Sep. It is now about 31% below the peak.\nanandrathi\nQ1 EBITDA (\u20b9145 cr) fell from \u20b9214 cr in the March quarter.\nanandrathi\nIt has the weakest chart in the batch: a clear downtrend, a negative 6-1 return, and a gold-price-sensitive business.\n\n10. Laurus Labs (LAURUSLABS): strongest, bullish\n\nIts close is only 1.1% below its 12-month high, and its volatility is the lowest of the ten (28%).\nFY26 profit after tax was \u20b9740 crore vs \u20b9380 crore the year before.\ntorusdigital\nIt is up about 94% in six months and holding near highs while the index falls. Pharma is also defensive in a risk-off tape. P/E is high, so it can still pull back.\nanandrathi\nSwing-trade shortlist (21-session hold)\nRank\tStock\tView\tWhy\n1\tLAURUSLABS\tBullish\tRelative strength near highs, lowest volatility, defensive sector\n2\tTDPOWERSYS\tBullish\tGuidance raised, shallow pullback. Check for a fundraise.\n3\tATHERENERG\tBullish\tStrong catalysts and brokers, but still pulling back\n4\tRRKABEL\tModerately bullish\tStrong Q1, moderate volatility\n5\tAEROFLEX\tBullish, risky\tStrong growth, expensive, volatile, thin liquidity\n6\tE2E\tSpeculative\tBig revenue jump, P/E near 400\n7\tACUTAAS\tNeutral\tNo catalyst, sideways trend\n8\tDIACABS\tNeutral to bearish\tExtended, weak balance sheet\n9\tKIRLOSENG\tNeutral to bearish\tMargins and momentum fading\n10\tTHANGAMAYL\tBearish\tDowntrend, avoid\n", "fundamentals": {"TDPOWERSYS": {"name": "TD POWER SYSTEMS LTD.", "pe": 85.44379, "fwd_pe": 48.537815, "sector": "Industrials", "industry": "Specialty Industrial Machinery", "mcap_cr": 22649.634816, "pb": 21.047108, "rev_growth": 0.721, "earn_growth": 0.72}, "AEROFLEX": {"name": "AEROFLEX INDUSTRIES LTD", "pe": 102.0676, "fwd_pe": 51.85859, "sector": "Industrials", "industry": "Metal Fabrication", "mcap_cr": 6793.8619392, "pb": 15.18935, "rev_growth": 0.724, "earn_growth": 1.582}, "ATHERENERG": {"name": "ATHER ENERGY LIMITED", "pe": null, "fwd_pe": 516.02814, "sector": "Consumer Cyclical", "industry": "Auto Manufacturers", "mcap_cr": 57631.3819136, "pb": 21.641281, "rev_growth": 0.888, "earn_growth": null}, "THANGAMAYL": {"name": "THANGAMAYIL JEWELLERY LTD", "pe": 39.837044, "fwd_pe": 27.495428, "sector": "Consumer Cyclical", "industry": "Luxury Goods", "mcap_cr": 15576.7537664, "pb": 11.000529, "rev_growth": 0.712, "earn_growth": 0.861}, "RRKABEL": {"name": "R R KABEL LIMITED", "pe": 45.891792, "fwd_pe": 31.331299, "sector": "Industrials", "industry": "Electrical Equipment &amp; Parts", "mcap_cr": 27821.6933376, "pb": 10.807082, "rev_growth": 0.539, "earn_growth": 1.285}, "ACUTAAS": {"name": "ACUTAAS CHEMICALS LIMITED", "pe": 68.217316, "fwd_pe": 43.793648, "sector": "Basic Materials", "industry": "Specialty Chemicals", "mcap_cr": 26316.652544, "pb": 15.918781, "rev_growth": 0.591, "earn_growth": 0.671}, "DIACABS": {"name": "DIAMOND POWER INFRA LTD", "pe": 89.51187, "fwd_pe": null, "sector": "Industrials", "industry": "Specialty Industrial Machinery", "mcap_cr": 20289.560576, "pb": -29.587477, "rev_growth": 1.272, "earn_growth": 2.083}, "KIRLOSENG": {"name": "KIRLOSKAR OIL ENG LTD", "pe": 57.251335, "fwd_pe": 37.53199, "sector": "Industrials", "industry": "Specialty Industrial Machinery", "mcap_cr": 31168.6397952, "pb": 8.596884, "rev_growth": 0.134, "earn_growth": -0.199}, "E2E": {"name": "E2E NETWORKS LIMITED", "pe": 237.98479, "fwd_pe": null, "sector": "Technology", "industry": "Software - Infrastructure", "mcap_cr": 12859.6099072, "pb": 7.4469357, "rev_growth": 3.341, "earn_growth": null}, "LAURUSLABS": {"name": "LAURUS LABS LIMITED", "pe": 99.195854, "fwd_pe": 69.47338, "sector": "Healthcare", "industry": "Drug Manufacturers - Specialty &amp; Generic", "mcap_cr": 108640.567296, "pb": 20.480774, "rev_growth": 0.291, "earn_growth": 1.252}}, "telegram_sent": "2026-10-07", "corp_actions": [], "pending_alerts": []}</t>
        </is>
      </c>
    </row>
  </sheetData>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2026-10-08T12:35:40Z</dcterms:created>
  <dcterms:modified xmlns:dcterms="http://purl.org/dc/terms/" xmlns:xsi="http://www.w3.org/2001/XMLSchema-instance" xsi:type="dcterms:W3CDTF">2026-10-08T12:35:40Z</dcterms:modified>
</cp:coreProperties>
</file>