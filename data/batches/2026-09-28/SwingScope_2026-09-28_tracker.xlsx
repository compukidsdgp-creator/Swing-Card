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 Closes" sheetId="2" state="visible" r:id="rId2"/>
    <sheet xmlns:r="http://schemas.openxmlformats.org/officeDocument/2006/relationships" name="Returns %" sheetId="3" state="visible" r:id="rId3"/>
    <sheet xmlns:r="http://schemas.openxmlformats.org/officeDocument/2006/relationships" name="P&amp;L" sheetId="4" state="visible" r:id="rId4"/>
    <sheet xmlns:r="http://schemas.openxmlformats.org/officeDocument/2006/relationships" name="Portfolio Path" sheetId="5" state="visible" r:id="rId5"/>
    <sheet xmlns:r="http://schemas.openxmlformats.org/officeDocument/2006/relationships" name="Batch Info" sheetId="6" state="visible" r:id="rId6"/>
    <sheet xmlns:r="http://schemas.openxmlformats.org/officeDocument/2006/relationships" name="Research" sheetId="7" state="visible" r:id="rId7"/>
    <sheet xmlns:r="http://schemas.openxmlformats.org/officeDocument/2006/relationships" name="News &amp; Sentiment" sheetId="8" state="visible" r:id="rId8"/>
    <sheet xmlns:r="http://schemas.openxmlformats.org/officeDocument/2006/relationships" name="_state" sheetId="9" state="hidden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+0.00%;[Red]-0.00%;0.00%"/>
    <numFmt numFmtId="165" formatCode="₹#,##,##0;[Red]-₹#,##,##0"/>
    <numFmt numFmtId="166" formatCode="0.0%"/>
    <numFmt numFmtId="167" formatCode="+0.00;-0.00;0.00"/>
    <numFmt numFmtId="168" formatCode="+0.00;-0.00"/>
  </numFmts>
  <fonts count="25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C9D3E6"/>
      <sz val="10"/>
    </font>
    <font>
      <name val="Calibri"/>
      <i val="1"/>
      <color rgb="006B7280"/>
      <sz val="9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color rgb="00475569"/>
      <sz val="9"/>
    </font>
    <font>
      <name val="Calibri"/>
      <color rgb="00171A1F"/>
      <sz val="10"/>
    </font>
    <font>
      <name val="Calibri"/>
      <b val="1"/>
      <color rgb="00171A1F"/>
      <sz val="10"/>
    </font>
    <font>
      <name val="Calibri"/>
      <color rgb="006B7280"/>
      <sz val="9"/>
    </font>
    <font>
      <name val="Calibri"/>
      <b val="1"/>
      <color rgb="0064748B"/>
      <sz val="9"/>
    </font>
    <font>
      <name val="Calibri"/>
      <b val="1"/>
      <color rgb="000B1F3A"/>
      <sz val="16"/>
    </font>
    <font>
      <name val="Calibri"/>
      <i val="1"/>
      <color rgb="0094A3B8"/>
      <sz val="8"/>
    </font>
    <font>
      <name val="Calibri"/>
      <b val="1"/>
      <color rgb="000B1F3A"/>
      <sz val="11"/>
    </font>
    <font>
      <name val="Calibri"/>
      <b val="1"/>
      <color rgb="00ffffff"/>
      <sz val="10"/>
    </font>
    <font>
      <name val="Calibri"/>
      <b val="1"/>
      <color rgb="000f5132"/>
      <sz val="10"/>
    </font>
    <font>
      <name val="Calibri"/>
      <b val="1"/>
      <color rgb="007a4a00"/>
      <sz val="10"/>
    </font>
    <font>
      <name val="Calibri"/>
      <b val="1"/>
      <color rgb="00374151"/>
      <sz val="10"/>
    </font>
    <font>
      <name val="Calibri"/>
      <b val="1"/>
      <color rgb="009b1c1c"/>
      <sz val="10"/>
    </font>
    <font>
      <name val="Calibri"/>
      <b val="1"/>
      <color rgb="000B1F3A"/>
      <sz val="12"/>
    </font>
    <font>
      <name val="Calibri"/>
      <b val="1"/>
      <color rgb="001F9D63"/>
      <sz val="10"/>
    </font>
    <font>
      <name val="Calibri"/>
      <color rgb="002F4BD8"/>
      <sz val="10"/>
      <u val="single"/>
    </font>
    <font>
      <name val="Calibri"/>
      <b val="1"/>
      <color rgb="00D64545"/>
      <sz val="10"/>
    </font>
    <font>
      <name val="Calibri"/>
      <b val="1"/>
      <color rgb="0064748B"/>
      <sz val="10"/>
    </font>
    <font>
      <name val="Calibri"/>
      <color rgb="002F4BD8"/>
      <u val="single"/>
    </font>
  </fonts>
  <fills count="19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E3A66"/>
      </patternFill>
    </fill>
    <fill>
      <patternFill patternType="solid">
        <fgColor rgb="000E7C86"/>
      </patternFill>
    </fill>
    <fill>
      <patternFill patternType="solid">
        <fgColor rgb="00334E7E"/>
      </patternFill>
    </fill>
    <fill>
      <patternFill patternType="solid">
        <fgColor rgb="00C9860A"/>
      </patternFill>
    </fill>
    <fill>
      <patternFill patternType="solid">
        <fgColor rgb="00D9DEE7"/>
      </patternFill>
    </fill>
    <fill>
      <patternFill patternType="solid">
        <fgColor rgb="00FFF4D6"/>
      </patternFill>
    </fill>
    <fill>
      <patternFill patternType="solid">
        <fgColor rgb="00FAFAFB"/>
      </patternFill>
    </fill>
    <fill>
      <patternFill patternType="solid">
        <fgColor rgb="00F3F5F8"/>
      </patternFill>
    </fill>
    <fill>
      <patternFill patternType="solid">
        <fgColor rgb="002F4BD8"/>
      </patternFill>
    </fill>
    <fill>
      <patternFill patternType="solid">
        <fgColor rgb="000f7a4a"/>
      </patternFill>
    </fill>
    <fill>
      <patternFill patternType="solid">
        <fgColor rgb="001f9d63"/>
      </patternFill>
    </fill>
    <fill>
      <patternFill patternType="solid">
        <fgColor rgb="00d7f2e3"/>
      </patternFill>
    </fill>
    <fill>
      <patternFill patternType="solid">
        <fgColor rgb="00fdecc8"/>
      </patternFill>
    </fill>
    <fill>
      <patternFill patternType="solid">
        <fgColor rgb="00e5e7eb"/>
      </patternFill>
    </fill>
    <fill>
      <patternFill patternType="solid">
        <fgColor rgb="00fde2e2"/>
      </patternFill>
    </fill>
    <fill>
      <patternFill patternType="solid">
        <fgColor rgb="00d64545"/>
      </patternFill>
    </fill>
  </fills>
  <borders count="11">
    <border>
      <left/>
      <right/>
      <top/>
      <bottom/>
      <diagonal/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  <border>
      <left style="thin">
        <color rgb="00D9DEE7"/>
      </left>
      <right/>
      <top/>
      <bottom/>
      <diagonal/>
    </border>
    <border>
      <left style="thin">
        <color rgb="00D9DEE7"/>
      </left>
      <right style="thin">
        <color rgb="00D9DEE7"/>
      </right>
      <top/>
      <bottom/>
      <diagonal/>
    </border>
    <border>
      <left style="thin">
        <color rgb="00D9DEE7"/>
      </left>
      <right style="thin">
        <color rgb="00D9DEE7"/>
      </right>
      <top/>
      <bottom style="thin">
        <color rgb="00D9DEE7"/>
      </bottom>
      <diagonal/>
    </border>
    <border>
      <left style="thin">
        <color rgb="00FFFFFF"/>
      </left>
      <right style="thin">
        <color rgb="00FFFFFF"/>
      </right>
    </border>
    <border>
      <top style="thick">
        <color rgb="002F4BD8"/>
      </top>
    </border>
    <border>
      <left/>
      <right/>
      <top style="thin">
        <color rgb="00D9DEE7"/>
      </top>
      <bottom/>
      <diagonal/>
    </border>
    <border>
      <left/>
      <right style="thin">
        <color rgb="00D9DEE7"/>
      </right>
      <top style="thin">
        <color rgb="00D9DEE7"/>
      </top>
      <bottom/>
      <diagonal/>
    </border>
    <border>
      <left/>
      <right/>
      <top style="thin">
        <color rgb="00D9DEE7"/>
      </top>
      <bottom style="thin">
        <color rgb="00D9DEE7"/>
      </bottom>
      <diagonal/>
    </border>
    <border>
      <left/>
      <right style="thin">
        <color rgb="00D9DEE7"/>
      </right>
      <top style="thin">
        <color rgb="00D9DEE7"/>
      </top>
      <bottom style="thin">
        <color rgb="00D9DEE7"/>
      </bottom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8" fillId="0" borderId="0" pivotButton="0" quotePrefix="0" xfId="0"/>
    <xf numFmtId="0" fontId="0" fillId="11" borderId="5" pivotButton="0" quotePrefix="0" xfId="0"/>
    <xf numFmtId="0" fontId="0" fillId="7" borderId="5" pivotButton="0" quotePrefix="0" xfId="0"/>
    <xf numFmtId="0" fontId="10" fillId="10" borderId="6" applyAlignment="1" pivotButton="0" quotePrefix="0" xfId="0">
      <alignment horizontal="left" vertical="center" indent="1"/>
    </xf>
    <xf numFmtId="0" fontId="0" fillId="10" borderId="6" applyAlignment="1" pivotButton="0" quotePrefix="0" xfId="0">
      <alignment horizontal="left" vertical="center" indent="1"/>
    </xf>
    <xf numFmtId="0" fontId="11" fillId="10" borderId="0" applyAlignment="1" pivotButton="0" quotePrefix="0" xfId="0">
      <alignment horizontal="left" vertical="center" indent="1"/>
    </xf>
    <xf numFmtId="0" fontId="0" fillId="10" borderId="0" applyAlignment="1" pivotButton="0" quotePrefix="0" xfId="0">
      <alignment horizontal="left" vertical="center" indent="1"/>
    </xf>
    <xf numFmtId="165" fontId="11" fillId="10" borderId="0" applyAlignment="1" pivotButton="0" quotePrefix="0" xfId="0">
      <alignment horizontal="left" vertical="center" indent="1"/>
    </xf>
    <xf numFmtId="0" fontId="12" fillId="10" borderId="0" applyAlignment="1" pivotButton="0" quotePrefix="0" xfId="0">
      <alignment horizontal="left" vertical="center" indent="1"/>
    </xf>
    <xf numFmtId="164" fontId="11" fillId="10" borderId="0" applyAlignment="1" pivotButton="0" quotePrefix="0" xfId="0">
      <alignment horizontal="left" vertical="center" indent="1"/>
    </xf>
    <xf numFmtId="0" fontId="1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right" vertical="center"/>
    </xf>
    <xf numFmtId="4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0" fontId="8" fillId="10" borderId="1" applyAlignment="1" pivotButton="0" quotePrefix="0" xfId="0">
      <alignment horizontal="left" vertical="center"/>
    </xf>
    <xf numFmtId="1" fontId="7" fillId="10" borderId="1" applyAlignment="1" pivotButton="0" quotePrefix="0" xfId="0">
      <alignment horizontal="right" vertical="center"/>
    </xf>
    <xf numFmtId="4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0" fontId="3" fillId="0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right" vertical="center"/>
    </xf>
    <xf numFmtId="4" fontId="7" fillId="8" borderId="1" applyAlignment="1" pivotButton="0" quotePrefix="0" xfId="0">
      <alignment horizontal="right" vertical="center"/>
    </xf>
    <xf numFmtId="4" fontId="7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0" fontId="7" fillId="10" borderId="1" applyAlignment="1" pivotButton="0" quotePrefix="0" xfId="0">
      <alignment horizontal="center" vertical="center" wrapText="1"/>
    </xf>
    <xf numFmtId="0" fontId="9" fillId="10" borderId="1" applyAlignment="1" pivotButton="0" quotePrefix="0" xfId="0">
      <alignment horizontal="left" vertical="center"/>
    </xf>
    <xf numFmtId="4" fontId="8" fillId="10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/>
    </xf>
    <xf numFmtId="1" fontId="8" fillId="7" borderId="1" applyAlignment="1" pivotButton="0" quotePrefix="0" xfId="0">
      <alignment horizontal="right" vertical="center"/>
    </xf>
    <xf numFmtId="165" fontId="8" fillId="7" borderId="1" applyAlignment="1" pivotButton="0" quotePrefix="0" xfId="0">
      <alignment horizontal="right" vertical="center"/>
    </xf>
    <xf numFmtId="164" fontId="8" fillId="7" borderId="1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center" vertical="center" wrapText="1"/>
    </xf>
    <xf numFmtId="1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/>
    </xf>
    <xf numFmtId="165" fontId="7" fillId="8" borderId="1" applyAlignment="1" pivotButton="0" quotePrefix="0" xfId="0">
      <alignment horizontal="right" vertical="center"/>
    </xf>
    <xf numFmtId="164" fontId="7" fillId="8" borderId="1" applyAlignment="1" pivotButton="0" quotePrefix="0" xfId="0">
      <alignment horizontal="right" vertical="center"/>
    </xf>
    <xf numFmtId="1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/>
    </xf>
    <xf numFmtId="165" fontId="7" fillId="9" borderId="1" applyAlignment="1" pivotButton="0" quotePrefix="0" xfId="0">
      <alignment horizontal="right" vertical="center"/>
    </xf>
    <xf numFmtId="164" fontId="7" fillId="9" borderId="1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0" pivotButton="0" quotePrefix="0" xfId="0"/>
    <xf numFmtId="165" fontId="7" fillId="0" borderId="1" applyAlignment="1" pivotButton="0" quotePrefix="0" xfId="0">
      <alignment horizontal="left" vertical="center"/>
    </xf>
    <xf numFmtId="0" fontId="0" fillId="0" borderId="0" applyAlignment="1" pivotButton="0" quotePrefix="0" xfId="0">
      <alignment vertical="top" wrapText="1"/>
    </xf>
    <xf numFmtId="0" fontId="14" fillId="12" borderId="1" applyAlignment="1" pivotButton="0" quotePrefix="0" xfId="0">
      <alignment horizontal="left" vertical="center"/>
    </xf>
    <xf numFmtId="167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14" fillId="13" borderId="1" applyAlignment="1" pivotButton="0" quotePrefix="0" xfId="0">
      <alignment horizontal="left" vertical="center"/>
    </xf>
    <xf numFmtId="0" fontId="15" fillId="14" borderId="1" applyAlignment="1" pivotButton="0" quotePrefix="0" xfId="0">
      <alignment horizontal="left" vertical="center"/>
    </xf>
    <xf numFmtId="0" fontId="16" fillId="15" borderId="1" applyAlignment="1" pivotButton="0" quotePrefix="0" xfId="0">
      <alignment horizontal="left" vertical="center"/>
    </xf>
    <xf numFmtId="0" fontId="17" fillId="16" borderId="1" applyAlignment="1" pivotButton="0" quotePrefix="0" xfId="0">
      <alignment horizontal="left" vertical="center"/>
    </xf>
    <xf numFmtId="0" fontId="18" fillId="17" borderId="1" applyAlignment="1" pivotButton="0" quotePrefix="0" xfId="0">
      <alignment horizontal="left" vertical="center"/>
    </xf>
    <xf numFmtId="0" fontId="14" fillId="18" borderId="1" applyAlignment="1" pivotButton="0" quotePrefix="0" xfId="0">
      <alignment horizontal="left" vertical="center"/>
    </xf>
    <xf numFmtId="0" fontId="19" fillId="0" borderId="0" pivotButton="0" quotePrefix="0" xfId="0"/>
    <xf numFmtId="0" fontId="20" fillId="0" borderId="1" applyAlignment="1" pivotButton="0" quotePrefix="0" xfId="0">
      <alignment horizontal="left" vertical="center"/>
    </xf>
    <xf numFmtId="0" fontId="21" fillId="0" borderId="1" applyAlignment="1" pivotButton="0" quotePrefix="0" xfId="0">
      <alignment horizontal="left" vertical="center"/>
    </xf>
    <xf numFmtId="0" fontId="22" fillId="0" borderId="1" applyAlignment="1" pivotButton="0" quotePrefix="0" xfId="0">
      <alignment horizontal="left" vertical="center"/>
    </xf>
    <xf numFmtId="0" fontId="23" fillId="0" borderId="1" applyAlignment="1" pivotButton="0" quotePrefix="0" xfId="0">
      <alignment horizontal="left" vertical="center"/>
    </xf>
    <xf numFmtId="168" fontId="7" fillId="0" borderId="1" applyAlignment="1" pivotButton="0" quotePrefix="0" xfId="0">
      <alignment horizontal="right" vertical="center"/>
    </xf>
    <xf numFmtId="0" fontId="24" fillId="0" borderId="1" applyAlignment="1" pivotButton="0" quotePrefix="0" xfId="0">
      <alignment horizontal="left" vertical="center"/>
    </xf>
  </cellXfs>
  <cellStyles count="1">
    <cellStyle name="Normal" xfId="0" builtinId="0" hidden="0"/>
  </cellStyles>
  <dxfs count="6">
    <dxf>
      <font>
        <name val="Calibri"/>
        <b val="1"/>
        <color rgb="001F9D63"/>
        <sz val="16"/>
      </font>
    </dxf>
    <dxf>
      <font>
        <name val="Calibri"/>
        <b val="1"/>
        <color rgb="00D64545"/>
        <sz val="16"/>
      </font>
    </dxf>
    <dxf>
      <font>
        <name val="Calibri"/>
        <b val="1"/>
        <color rgb="001F9D63"/>
      </font>
    </dxf>
    <dxf>
      <font>
        <name val="Calibri"/>
        <b val="1"/>
        <color rgb="00D64545"/>
      </font>
    </dxf>
    <dxf>
      <font>
        <name val="Calibri"/>
        <color rgb="001F9D63"/>
      </font>
    </dxf>
    <dxf>
      <font>
        <name val="Calibri"/>
        <color rgb="00D6454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Return by stock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'Dashboard'!F20</f>
            </strRef>
          </tx>
          <spPr>
            <a:solidFill xmlns:a="http://schemas.openxmlformats.org/drawingml/2006/main">
              <a:srgbClr val="2F4BD8"/>
            </a:solidFill>
            <a:ln xmlns:a="http://schemas.openxmlformats.org/drawingml/2006/main">
              <a:prstDash val="solid"/>
            </a:ln>
          </spPr>
          <cat>
            <numRef>
              <f>'Dashboard'!$B$21:$B$30</f>
            </numRef>
          </cat>
          <val>
            <numRef>
              <f>'Dashboard'!$F$21:$F$30</f>
            </numRef>
          </val>
        </ser>
        <dLbls>
          <numFmt formatCode="+0.0%;-0.0%"/>
          <showLegendKey val="0"/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(₹)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Path'!D4</f>
            </strRef>
          </tx>
          <spPr>
            <a:ln xmlns:a="http://schemas.openxmlformats.org/drawingml/2006/main" w="28000">
              <a:solidFill>
                <a:srgbClr val="0E7C8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Path'!$A$5:$A$12</f>
            </numRef>
          </cat>
          <val>
            <numRef>
              <f>'Portfolio Path'!$D$5:$D$12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return vs Nifty 50 (%)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Path'!F4</f>
            </strRef>
          </tx>
          <spPr>
            <a:ln xmlns:a="http://schemas.openxmlformats.org/drawingml/2006/main" w="28000">
              <a:solidFill>
                <a:srgbClr val="2F4BD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Path'!$F$5:$F$26</f>
            </numRef>
          </val>
          <smooth val="0"/>
        </ser>
        <ser>
          <idx val="1"/>
          <order val="1"/>
          <tx>
            <strRef>
              <f>'Portfolio Path'!I4</f>
            </strRef>
          </tx>
          <spPr>
            <a:ln xmlns:a="http://schemas.openxmlformats.org/drawingml/2006/main">
              <a:solidFill>
                <a:srgbClr val="9AA2AD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Path'!$I$5:$I$26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Return</a:t>
                </a:r>
              </a:p>
            </rich>
          </tx>
        </title>
        <numFmt formatCode="0.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32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32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search?q=Laurus%20Labs%20site%3Atorusdigital.com" TargetMode="External" Id="rId1"/><Relationship Type="http://schemas.openxmlformats.org/officeDocument/2006/relationships/hyperlink" Target="https://www.google.com/search?q=Laurus%20Labs%20site%3Aanandrathi.com" TargetMode="External" Id="rId2"/><Relationship Type="http://schemas.openxmlformats.org/officeDocument/2006/relationships/hyperlink" Target="https://www.google.com/search?q=Laurus%20Labs%20site%3Aanandrathi.com" TargetMode="External" Id="rId3"/><Relationship Type="http://schemas.openxmlformats.org/officeDocument/2006/relationships/hyperlink" Target="https://www.google.com/search?q=Laurus%20Labs%20site%3Aanandrathi.com" TargetMode="External" Id="rId4"/><Relationship Type="http://schemas.openxmlformats.org/officeDocument/2006/relationships/hyperlink" Target="https://www.google.com/search?q=TD%20Power%20Systems%20site%3A5paisa.com" TargetMode="External" Id="rId5"/><Relationship Type="http://schemas.openxmlformats.org/officeDocument/2006/relationships/hyperlink" Target="https://www.google.com/search?q=TD%20Power%20Systems%20site%3Afyers.in" TargetMode="External" Id="rId6"/><Relationship Type="http://schemas.openxmlformats.org/officeDocument/2006/relationships/hyperlink" Target="https://www.google.com/search?q=TD%20Power%20Systems%20site%3A5paisa.com" TargetMode="External" Id="rId7"/><Relationship Type="http://schemas.openxmlformats.org/officeDocument/2006/relationships/hyperlink" Target="https://www.google.com/search?q=TD%20Power%20Systems%20site%3A5paisa.com" TargetMode="External" Id="rId8"/><Relationship Type="http://schemas.openxmlformats.org/officeDocument/2006/relationships/hyperlink" Target="https://www.google.com/search?q=Ather%20Energy%20site%3Aindmoney.com" TargetMode="External" Id="rId9"/><Relationship Type="http://schemas.openxmlformats.org/officeDocument/2006/relationships/hyperlink" Target="https://www.google.com/search?q=Ather%20Energy%20site%3Aindmoney.com" TargetMode="External" Id="rId10"/><Relationship Type="http://schemas.openxmlformats.org/officeDocument/2006/relationships/hyperlink" Target="https://www.google.com/search?q=Ather%20Energy%20site%3Afreepressjournal.in" TargetMode="External" Id="rId11"/><Relationship Type="http://schemas.openxmlformats.org/officeDocument/2006/relationships/hyperlink" Target="https://www.google.com/search?q=Ather%20Energy%20site%3Ahdfcsky.com" TargetMode="External" Id="rId12"/><Relationship Type="http://schemas.openxmlformats.org/officeDocument/2006/relationships/hyperlink" Target="https://www.google.com/search?q=RR%20Kabel%20site%3A5paisa.com" TargetMode="External" Id="rId13"/><Relationship Type="http://schemas.openxmlformats.org/officeDocument/2006/relationships/hyperlink" Target="https://www.google.com/search?q=RR%20Kabel%20site%3Afyers.in" TargetMode="External" Id="rId14"/><Relationship Type="http://schemas.openxmlformats.org/officeDocument/2006/relationships/hyperlink" Target="https://www.google.com/search?q=Aeroflex%20Industries%20site%3Asahi.com" TargetMode="External" Id="rId15"/><Relationship Type="http://schemas.openxmlformats.org/officeDocument/2006/relationships/hyperlink" Target="https://www.google.com/search?q=Aeroflex%20Industries%20site%3Asahi.com" TargetMode="External" Id="rId16"/><Relationship Type="http://schemas.openxmlformats.org/officeDocument/2006/relationships/hyperlink" Target="https://www.google.com/search?q=Aeroflex%20Industries%20share" TargetMode="External" Id="rId17"/><Relationship Type="http://schemas.openxmlformats.org/officeDocument/2006/relationships/hyperlink" Target="https://www.google.com/search?q=Aeroflex%20Industries%20share" TargetMode="External" Id="rId18"/><Relationship Type="http://schemas.openxmlformats.org/officeDocument/2006/relationships/hyperlink" Target="https://www.google.com/search?q=E2E%20Networks%20site%3Aangelone.in" TargetMode="External" Id="rId19"/><Relationship Type="http://schemas.openxmlformats.org/officeDocument/2006/relationships/hyperlink" Target="https://www.google.com/search?q=E2E%20Networks%20site%3Aanandrathi.com" TargetMode="External" Id="rId20"/><Relationship Type="http://schemas.openxmlformats.org/officeDocument/2006/relationships/hyperlink" Target="https://www.google.com/search?q=E2E%20Networks%20site%3Aanandrathi.com" TargetMode="External" Id="rId21"/><Relationship Type="http://schemas.openxmlformats.org/officeDocument/2006/relationships/hyperlink" Target="https://www.google.com/search?q=Acutaas%20Chemicals%20site%3Afyers.in" TargetMode="External" Id="rId22"/><Relationship Type="http://schemas.openxmlformats.org/officeDocument/2006/relationships/hyperlink" Target="https://www.google.com/search?q=Acutaas%20Chemicals%20site%3Aanandrathi.com" TargetMode="External" Id="rId23"/><Relationship Type="http://schemas.openxmlformats.org/officeDocument/2006/relationships/hyperlink" Target="https://www.google.com/search?q=Acutaas%20Chemicals%20site%3Aanandrathi.com" TargetMode="External" Id="rId24"/><Relationship Type="http://schemas.openxmlformats.org/officeDocument/2006/relationships/hyperlink" Target="https://www.google.com/search?q=Diamond%20Power%20Infra%20site%3Aanandrathi.com" TargetMode="External" Id="rId25"/><Relationship Type="http://schemas.openxmlformats.org/officeDocument/2006/relationships/hyperlink" Target="https://www.google.com/search?q=Diamond%20Power%20Infra%20site%3Abajajfinserv.in" TargetMode="External" Id="rId26"/><Relationship Type="http://schemas.openxmlformats.org/officeDocument/2006/relationships/hyperlink" Target="https://www.google.com/search?q=Kirloskar%20Oil%20Engines%20site%3Aanandrathi.com" TargetMode="External" Id="rId27"/><Relationship Type="http://schemas.openxmlformats.org/officeDocument/2006/relationships/hyperlink" Target="https://www.google.com/search?q=Thangamayil%20Jewellery%20site%3Aanandrathi.com" TargetMode="External" Id="rId28"/><Relationship Type="http://schemas.openxmlformats.org/officeDocument/2006/relationships/hyperlink" Target="https://www.google.com/search?q=Thangamayil%20Jewellery%20site%3Aanandrathi.com" TargetMode="External" Id="rId29"/><Relationship Type="http://schemas.openxmlformats.org/officeDocument/2006/relationships/hyperlink" Target="https://www.google.com/search?q=Thangamayil%20Jewellery%20site%3Aanandrathi.com" TargetMode="External" Id="rId30"/></Relationships>
</file>

<file path=xl/worksheets/_rels/sheet8.xml.rels><Relationships xmlns="http://schemas.openxmlformats.org/package/2006/relationships"><Relationship Type="http://schemas.openxmlformats.org/officeDocument/2006/relationships/hyperlink" Target="https://news.google.com/rss/articles/CBMiigFBVV95cUxQWXZJcDhpRDNTYkkwc0lBd0FsbFpsVnY3OWJrazA2eVBGa3JaemVpazFQRDIxZDhpWWI4NUE2TFdiSHBSc1dRVjc4eFFWYlpfdE5DaHc1S0wybGdJZjNRcDk1VW9tZ1hZZ0x6N2R1X0hOTjF2M2puaXVsajJaejBsZWVtelpYZHJLM1E?oc=5" TargetMode="External" Id="rId1"/><Relationship Type="http://schemas.openxmlformats.org/officeDocument/2006/relationships/hyperlink" Target="https://news.google.com/rss/articles/CBMiiwJBVV95cUxQSW0zczhnVTAxeHd2cU1JQ0JxMk93NUpSdmJYd1hKS0xRYXRIbklpR3VVakJxRjROSUJqTGwyZG5jZVdvc0hpa2ZkcjAtV1BlWGVQRC0yMmM1VnVzSVAxT1c1bWhwZmhIWE5zLW1sbXZFcU5rTVdKUFpIS080d3NVOGJ4cFNpVVAweHFYRk53ejl3Z0gzRUF3RE0wMkNka1RlN0doemkyd1JMaUtYV3R1MjBHTkRBQk5VZTFqUmk4M29BWkNsbWxpWWkzVTBFNVRJTEpPMnhWUzN4NVdkT19MX010azV1N3RlSUVQWkx3aE9WZmpvM2tuZ3M3OUJxUXczc3dDaHljN05ELVXSAZACQVVfeXFMUGFtWVFmWUFoOXV2OGtwb25zd3JtZjFVWGN4Tlp4R1kyTDBZbktKOVBVT280ZG5RZmoxS1RkTUJMNnd2T3Y0cTRSVTgycHRXa1FSY1VYUGhpRVpWbTc3UWpUNS1OS3pYazRIeENYY19hUWRRSGRkRjR5QkpWRVlHc0ZVNXA0YWE5bU5ZNUdhNEh1RndnZjVmTTIySHBpY0NIa1FjVVVlbDRhWS1OcTNtT0h3Slk2N3NXYURUM2VubU8tMmxsTGhwdFVXWW5pLU9XT2NaV1FKQTF4SmFfWlN6UU5QTFZUWDh2N3EzMXpSWHVsamtucF82SjVZMEpvX0lMbk9WbTBDTjBmaFY1LXdoWTI?oc=5" TargetMode="External" Id="rId2"/><Relationship Type="http://schemas.openxmlformats.org/officeDocument/2006/relationships/hyperlink" Target="https://news.google.com/rss/articles/CBMiqwJBVV95cUxQbllnc0Z1NEU2Q2pvS2V3bWVsMzFwTDFuYUFjdUJHcDcwQmdMbTNfU3o2aG5kUklUSHcyQmtIVWl0QUU3NE9lejdyTzBIeUZDTHZhdnlmOTQ1bU1ZNUVkVTBnZG51Z2Q1ZG1Na0RwZXNiZmVMdHZ4bnplbEdpY3Q3dFA4RTJPelpzb3B3bGJwQU1yaHgwZDBhTS0zUlUyUGlENGNOblEwaGcyZ3kwNm9tS29ZYnE3bDFOeWpNR2RXWDZfdmJIS3l2Unh2U2piNEVKbUpfUXZfNndYVmpfVXVUMlF4UnFlRzJnenFTX1VvRHZOLWhkTVdVWDUxdFVwRUlBbnNhVDU0M1NMRV9ka3B1bHBUX1dPcjY1UG1GN3gyajRnc3QzaW9aQXFoMA?oc=5" TargetMode="External" Id="rId3"/><Relationship Type="http://schemas.openxmlformats.org/officeDocument/2006/relationships/hyperlink" Target="https://news.google.com/rss/articles/CBMi8gFBVV95cUxNMlVmVVRiR09jS1JEOVdHWFpMTjRha1VCcjZwVl9xa0tfOW9NQUFWczhoQnFHNThxdFdhbEYzV0U0UDBQcDA4V0ZDOVVYQ3lrUVc0NXNjM05Sc1BGUlJ1ZGVqZnR6ai1pWWtlendJeGxnbXJZY3JzVmpYODRDeTRIMDRLazZISTJXME9mYndpclpFYlJrajJ6czVDcUV6YUtQV0xPU25Qdkk2UGR5T1lnLUVVckdaTVhncTFIY0tVVzVIUERnNkloUElwWWVhSlRjeTBqeTI0dmppa0VmWjBGNWgycll6SzNRRkhISjdUMzNoUdIB9wFBVV95cUxPaHp5T0FoSE9IYzNzMTJZd191SWptN1FjSUk5M01MU0pWZkVyeGdibEU2aEpScE1ZUy01YlRkLTd3WlluMEhXWU02NzdMNVVwbFd5MmtkUlpzUHB3YUFPd0Frb19YbE1oVlA1UkRwTWVPamg1Z1VaelMyT2laT3NqX3BSOElTdUNlU2lyc0xrNURaRXBBXzNpWTlKLV9iX2xtRjlieW92OGxkTXRjS2txWUg2TndLam1JSW9QTkx4UG9wVExBdTY4eEdmWmlfVUh1c0ZJQmVfM2dITzg1b2s5eVh0ZDd1NWJLVFNhRUpsa1lnUG1uMElj?oc=5" TargetMode="External" Id="rId4"/><Relationship Type="http://schemas.openxmlformats.org/officeDocument/2006/relationships/hyperlink" Target="https://news.google.com/rss/articles/CBMi3gFBVV95cUxNY2h6RTJPNWUxc0hSVl9wRzQxZjQwaTF1ZnRnejNBQ25BQjlHdER1RERNMGQtbXRKNlJ0ekdsTi1VVmVISjBweVVtRWJpbkgtcGdtQWU0UUo5NVZYdlduYnlBbFlfMFp1TUtlQUI5aWJ2YnBrUEF4WFZvNjVoeFJTZE1nVm0zbDk2eUpMbUJfUmFtcnVFVkZEUUR0Q1dJcGFXQXY1c2FvS09wb2RRU2FXRWJpeTl0RnY4S196dkNVTU1KVElna0ZfcmpmNi16bUNJLTdpdm02cExPQ09wWWfSAesBQVVfeXFMTnhVT1hmTGRZWU5JVndGZUhtbi1MM2hVaEdBWWtUdWlBcU9QYlBzbWRQWEdZSC1pbmhjSFlPUjJDelVYQzJJTkpzNE1sTFpXWHIxZzVaM1lHbW51SW8zZnMyQWRRZWRISXZFaVBKajZNcjJLM29GSHdROHNGc05iMm85SVQtMXpVUjE0TDdqVGZ6UGtxTXBzTlNSOE5ZZWpLWkp5b2paMU9nbnYxYU0wczhLb2Vla1Q4WVFGVGtXSElzVEFyd21mQW5NWFprVndDNm50ZjZ2ZWlRaHZ0Mk5WWUpYYmljOUZ3U0JkZw?oc=5" TargetMode="External" Id="rId5"/><Relationship Type="http://schemas.openxmlformats.org/officeDocument/2006/relationships/hyperlink" Target="https://news.google.com/rss/articles/CBMi9wFBVV95cUxNUlAwbTFOQzAzVXpaS1JZUkt5VjFFUGRVNmM5MTktZlI3VHYwdTd1eXdwYWR3NTQ1X3M3RkVuMEIySG9YSDBjVnJPRWEtQkg3UDBsSFlvNlg4MjVSTlJPcDdWekRnTDBPLVFtd1B0dEYwNi1DblllaXlLVDVPUE1xbmpYeUotSUJxNXVHU1dLUlVfQjZaOVFtSHg0N1JyYWYwdEZmS0F5Nm51ZkEwQllXLVBrTjA0anA3YmREVVZFQTQ2WEktbmxuOW5fQlVVLVFQdnBsdE5KcjVYUmRzR0czckRCWE5XS2lad250dW9fdnJxem1obUtV0gH8AUFVX3lxTE51TnFNcHNKTmtZdUFvNm1naDhPOFloZjNtQ0JTR3JxTEZMVlFieTBGcWtjMll0SXZseU9nd2lnUHRQbzhGRDk0SEJQS2F4VDRMNzJ1eGpLeHlfYnNzX1hIb1RTVzZmTEFpTC1tSXE2SGF1QUh3cFhNdlVkdmJjcFRldWdvYm5BT3NkUUpuaEFlT002cHBLckpZNnd3M2Iwd2NCTmN6ZFZPM21zSEpOT2lGdUZ5b2F4WktfSDFDS0NBVWJab2ZaTDBDVFBIekh1UHNmVG1lRldJczVEZmt4R0l0SE9CY21RTF94Ry1kQ0xrRWtIanB6UVZqVm90OA?oc=5" TargetMode="External" Id="rId6"/><Relationship Type="http://schemas.openxmlformats.org/officeDocument/2006/relationships/hyperlink" Target="https://news.google.com/rss/articles/CBMi-gFBVV95cUxOXzVTVlhRM3h0b1VfdTFSc0JZSmhtMks0TDhheUZ0VFpkRnJqbm4xZmlGVjNDLU40NHdVY3h0YlVMcFV5eHA3aWdJQU9mb25HT096YXEyTHc4ZUN2cWN0NG9fNF9CY3AwVEo1LS1EWWxOTTFFdDVWc1JRV0xBR1A0YUVXby1CZ3J0aFhhNmNOdXV0RVM3U21FaUZ1a0VTTXR0cnJJRTdjTzI3SlM5dlotSnNqZC1GeEtIMldjTXVIQW8za0d1QjcwS0JLblIzNFhpazRMd2xNWmtTanZ5cGlsQ3E1bTRScElHM0tCaHVZaHhZTlpkVmxWS1l3?oc=5" TargetMode="External" Id="rId7"/><Relationship Type="http://schemas.openxmlformats.org/officeDocument/2006/relationships/hyperlink" Target="https://news.google.com/rss/articles/CBMivgFBVV95cUxOWnBzZWZjcHJib0NUcFVNWldhaFZxbVV3RVdKa184dkl5QlVKWDd3ZHBvYk9sSXhOX2hwOW80RG5wRy1McFVrRDhaREZDcndUb2dZSUJqMXBmel9pOS1fQzR1U2pna0lNREFLODY1U3dFaklCRzI3ZWtNT2FWQWlaLXBLeGVxZHc0dzhLa0JNZDR3WEJZa0NrX3BRbGhmTGpiNnpORFdFVmtYUllnc3VzMUZBVUg3cGVZVFlJb19B?oc=5" TargetMode="External" Id="rId8"/><Relationship Type="http://schemas.openxmlformats.org/officeDocument/2006/relationships/hyperlink" Target="https://news.google.com/rss/articles/CBMi-wFBVV95cUxNaG5mTXd0SHZKa3hzM1hwMEMxTnNkZVJoLTd5MFZZcWM5Z1ZwbTZid2RTdE9uMWtVUllGa2tPYXNJMVUyR1Q3VVV3S0xwRWl4REdrWWhvZFBrVWF1NVh0TVM1UjRYQ0tTVFpVRVY0a29RTjI3U3RwV2dRakYtcU5QTlI0WTNvOW1FWUdVVkhWUTNnY3dCV2lhT20zUEI0NXphekphQk5JVGFnLUNVaWo0c2kycWs1NXFFdHlLN3FYYkU0SVVxbWRscG5NUUFERWhqMkhrbThNa0FwNFZEWXVJdWlSTDJyUlE1SXgxYVJkWTRSd0Ria0ZQcnYtSdIBgAJBVV95cUxQY2FyWXB1eGdpNV9sNVByV2c5ald5TDR3WGd0TzAyczRGTTBqYTJQYjZ1dVctaHZjUVNEVUk3d3VLVWRhcWJCT3ZNUzgxaW0zV1VzczFUNEN2bndneFRERV9WdmR4ck5sZ0w0TWFmSllaczJ4c1Zab01wOF8wQm52S3FyRkJWN0F0RWpjSUVRbDhlTF9TMG1Kc0syeWJ4aTBJWm1kd2VHZldITzNCblZwMG9hWmo4SEotbExheE1UY1VCMFVBaEczd0E0UjYzQmhfMTAzZFpJRmtUR3ZvNEQ0RTVLS3h0dk5JZkp4YktzRTg4Q3RvZl8yY2NXN0JHc1h4?oc=5" TargetMode="External" Id="rId9"/><Relationship Type="http://schemas.openxmlformats.org/officeDocument/2006/relationships/hyperlink" Target="https://news.google.com/rss/articles/CBMi2gFBVV95cUxNTUd0MnhzVVg4aTU2OTFsSk1heV9CRWFxajd6VGdpNk1seWc1d1pGRTdaVFgyeW1KOTJIeGk1MmxIdlVsMFAwU2ZSV1p1REhHanFqbnlkQVEwX3VNaVhVbXI4MXFRaXNZNkdQcmxZV01rWklhSHhHa3ZLbEg5LU5CYXhxemlSdDJmZFRQeXUxbVI4dnlkMk96YlFpcjNNcGZXWmkwVHpyeFVhYzE5LXVodGJVRXpmbHM4YUFTd3l2TFhZX3NpTXNXSUJuYmY5T1E4aGJvRy1DR194UdIB2gFBVV95cUxNTUd0MnhzVVg4aTU2OTFsSk1heV9CRWFxajd6VGdpNk1seWc1d1pGRTdaVFgyeW1KOTJIeGk1MmxIdlVsMFAwU2ZSV1p1REhHanFqbnlkQVEwX3VNaVhVbXI4MXFRaXNZNkdQcmxZV01rWklhSHhHa3ZLbEg5LU5CYXhxemlSdDJmZFRQeXUxbVI4dnlkMk96YlFpcjNNcGZXWmkwVHpyeFVhYzE5LXVodGJVRXpmbHM4YUFTd3l2TFhZX3NpTXNXSUJuYmY5T1E4aGJvRy1DR194UQ?oc=5" TargetMode="External" Id="rId10"/><Relationship Type="http://schemas.openxmlformats.org/officeDocument/2006/relationships/hyperlink" Target="https://news.google.com/rss/articles/CBMixAFBVV95cUxOTllBUndlanc2Y01YeUhxTFJxSHBndmQtQjdBQVkybjdUbG1Pd2FFakpjaVItQ25iT2tSYTBzelhwbmpzdlowV05iOU5sWVNHUTZqRHllNUNwTndoaklVbmJMLW02WWF2VGQ3ZWsyTUtNeXpRekI4amJRVnlXelZwaDgwSGljV1pyQVZ5ZnNPNVNpSFQwWHBaYWpvRzlPZTRqTXVTbUpqM2FRU0dBc1lvejZoODlfRzFCcksycVhRZXJuZjcy0gHLAUFVX3lxTFBBdjRZUHFncWJ4TXFHRmQtZXAzZUxRdlp6cDFrNHBrYkpsN1VTbThEaHFDYXpnb0xfamhiTVBIR1ROcFYtSXJpREJ1Q0JWS2FkeE1xanZoLVFIaS0xXzhUeHN3azRVOXl5WTNERFcyQkd1blVtYkdRZFZacmFrclY3TF9kMGJsNXl1SlVPWU1qUUdLVlNpV0dPUGpGeXU1N3N0NmNoSy1pcHBCV2J5VWRNZzdmeUgtcTMtUVVHWTJfTVBLWXlwd0h6aVpn?oc=5" TargetMode="External" Id="rId11"/><Relationship Type="http://schemas.openxmlformats.org/officeDocument/2006/relationships/hyperlink" Target="https://news.google.com/rss/articles/CBMiwAFBVV95cUxNUlR3N3hWTG9Qc2dibHNNaFVsU2Zrb0lKMVBCMEpBbUE1dzhmZHhGT2ZYbUdYemozellmTkdUcUlEZy1RUndNekl4dWxOZ2lsMUJZZzBRWFBCZ2h1T2xGUXhyS2xVZjdQS0lmYnk2SFlYSTR2Zk5QeXpxcC1ENHdWX09tSU4yRDd4c3lYdmZkUHllV1ZBbGYzQVFaLXJGVnJteTd6VWRYNkxYS3NLdmo3U1dpVGdwQ004YzZ2OURRQ1bSAcMBQVVfeXFMTzRncTFVN3huS181Rm1Wb28xbU5CbmVDOExwc1BYcklpczF3eFhJUHZRQWdBUDUyX3VjUzVNOHB6OVdZTk5QS004OFRKTjZ0bHFENF83aTZVMDYyOU90NlBycko1NkY0ZDJZQ19pcFlRakcwRTRvYkVUdjk4NG5wMDl1ZDNpZUtlLTlvYW5HcW5WS2ZwWWpHTXZPblhSUTR0R25fNEJoLVVDTTFKZWVMT3lnc19PNm9KQ2ZmSzk4XzI3VkJv?oc=5" TargetMode="External" Id="rId12"/><Relationship Type="http://schemas.openxmlformats.org/officeDocument/2006/relationships/hyperlink" Target="https://news.google.com/rss/articles/CBMivwFBVV95cUxNd2w0UXVpYnZLeTRZeW5QdWdiY2RNY3pzTzFnTVM2QkJnems3Z0NEcXh4Vmczc3pobFJsb2ZhT1RESzV6M01jU0Z6SEsyS3A0OTltWDFvbTNQamxOcVZkdkxRTXNVYW5tM21aYzQ2bXQxWVFlV0hlT09laFpNMzdZLWpjZXRETXlFVWotRGxNRG9YdUhNdkFTaHlPb19uNGRyNl93eE5iYjA1anhtVmRvTUc4azRGMjFnOUpSNERBWdIBzAFBVV95cUxOeG1kSVdsNlZsNnJYUGxJQTNfTlN4ZWhrX0NWMXlmTkQ2d2pudmtWSWVGQldjZ2RrV3hGWnkxRHBSRE54eXZXcDNHOXhlb0Q4djV3SVljQXlOSUdOZ3JRT054WGlkVzNiQ3E0cHRSbFg2RWdtYzc5X1ZPUXFRNnRaakRReFRtUnJMVno2X0stdHhtMEpwWjkyVVZ3ZkFuaGJ2dWJmZERibUkzNjN6OUxfZTd2LUdIYmpBUjhxQ2pTcnFsM29IODZUc1BpLVg?oc=5" TargetMode="External" Id="rId13"/><Relationship Type="http://schemas.openxmlformats.org/officeDocument/2006/relationships/hyperlink" Target="https://news.google.com/rss/articles/CBMi0AFBVV95cUxPWHFYaXdTMHI5dDJTa1pXVHhGZENhMS1hRXZudVVqd25Id0RUMmJNVGZtVnl4dXpxdXkzMkRETWFjaXotWGtBenJnQS10LU90X0NyN196U2dHUjlzUThyVnJkbG9sWjBlN2REN0V1MVVmYUNEUERYeFlDZUJjQU5hQWc5aHloLXIzaXB4V3R6QjR3dWNxVWZhR3RnUzBCanFkOWdkdDNEUG1VUU45SnVHdXZabEVRaG9hRC14TXVnOV9TLUxBRV9DNTJKZElUZTlJ?oc=5" TargetMode="External" Id="rId14"/><Relationship Type="http://schemas.openxmlformats.org/officeDocument/2006/relationships/hyperlink" Target="https://news.google.com/rss/articles/CBMiywFBVV95cUxOQ3RtVXlOVm5oVDN6UmhwMUlBaGZPQTNLUm9rc2FIXzBKOFBOSXBHZzhVSXNlbU9BXzUxcGNYN0RsTHJ4eENyN3VBVnN2SUNhU0lMN1JLZ3cxWFNuRGVFX0RJWWRzNE5tejA1NDlvcnRybzZTcnBKQ2VPeGJrRzE1TDZSZ3BycWFwTG9NUXhnYlFMcmZ2N3h4SUwxNmU4bHhURTdnaF9OcU5CWXB4MUY1Um01NkxYMDRJUUNxaTFwZ0VVUkl1UjNxUVMySdIBywFBVV95cUxOQ3RtVXlOVm5oVDN6UmhwMUlBaGZPQTNLUm9rc2FIXzBKOFBOSXBHZzhVSXNlbU9BXzUxcGNYN0RsTHJ4eENyN3VBVnN2SUNhU0lMN1JLZ3cxWFNuRGVFX0RJWWRzNE5tejA1NDlvcnRybzZTcnBKQ2VPeGJrRzE1TDZSZ3BycWFwTG9NUXhnYlFMcmZ2N3h4SUwxNmU4bHhURTdnaF9OcU5CWXB4MUY1Um01NkxYMDRJUUNxaTFwZ0VVUkl1UjNxUVMySQ?oc=5" TargetMode="External" Id="rId15"/><Relationship Type="http://schemas.openxmlformats.org/officeDocument/2006/relationships/hyperlink" Target="https://news.google.com/rss/articles/CBMi2AFBVV95cUxOY3BCdHJiTGJNdi1WWWtuNEJSc216ejZrNFB6cDVPRWhsc3BaTlF2TmEza1F6SFZfZU1KejVBd2k4YU5ubGpCMXAxUElod2NsSDhsUTExN3pSLTJjd3ZGUHoyMkZYUlcyUlJUV21vam5TTVRPY09EMDQ2clN1TnVtMEo5M08yamRqVFJwcjgtdVFSUnFtT0FOSHRSNXh4SnNNUWFIakZDd3Ruc010N2hULUVzRUhsYS1GN29raFNPZlBhOXZ5c1ZyeWUxZFdROTUya0JXMkd6U0E?oc=5" TargetMode="External" Id="rId16"/><Relationship Type="http://schemas.openxmlformats.org/officeDocument/2006/relationships/hyperlink" Target="https://news.google.com/rss/articles/CBMixwFBVV95cUxOaHdtMmlBYlcxWV9oYlg2enVYa0dGWHN5QmZHTXFObDhzN3hFVFFGMjJaRmxSSW8tVXBwaUcxNk1PWEpiMENhQXZwMFI3TlVZLXZkV3VzcVpNYzU4MTFnTTI4d2ozOXJqdTdQX1pYa21BRHVCay05d1E2UXpPOExzX0FoUnVtU2NYR3JRb20tTF9paGxJRWJwaFY4TXdRV2NqVE1GdmlBNkFSOVNwR29fT1pWbFNLV2pkalFiRzBrQlhPYWZsbC1B?oc=5" TargetMode="External" Id="rId17"/><Relationship Type="http://schemas.openxmlformats.org/officeDocument/2006/relationships/hyperlink" Target="https://news.google.com/rss/articles/CBMiiAFBVV95cUxPNDBzTWZXYUdHWE1DYWFzdmx2QVJOeWZCUFFocF9zWDJiZEJCX01uN011SHNBVTA2SjJ5WGs1NTBnb0VLWHVpSUZQaTFvNTBFNEx3aUs0Rlo5d0VQZFo2U094bHQ3MnFXUklYWm1FdlpwWUpVdkFkVkxXNGFBSl9PYXpMVEJGVk5M?oc=5" TargetMode="External" Id="rId18"/><Relationship Type="http://schemas.openxmlformats.org/officeDocument/2006/relationships/hyperlink" Target="https://news.google.com/rss/articles/CBMiggJBVV95cUxQcTVBbXFKdXd0b3pQV3dfcmZfZUpnamxSbHpNaEtXTVplR1lMb0FVUlhQOEU4V2p0TW1NTXFmVUExY1c4WThlTzlkVVNXa3lkVTBwTzNseFh2UkM0dzVIS0R2aTBUWmYzZHRhYnoxbS02Ym96UWFqdWpmaGVWbDFyekJ3dzhIRTFCNE5GRGRIUzRwVEdkdERDbVlFMWFvYm1PSkFVTU81RnhaN01XVEpQQ0ZlRFJvVzY4ajZza2Z0TE1qWlpCZTZ2d3RZT0Rha19FYWFESWNfVXNra2lDOEhoQWxBTGNrRUhGQVYxd2xRX0hqMk1uSzRpWGU0TXRrZGl0U1HSAYcCQVVfeXFMTWYxSFBpcEhQVVlUcmtuNDR1LUZ2Q3RDeG5ycUlYbTd1d21wYW5jLXZZenJBc0FEbFA5dE9zSUpQLVJ0M0k0NUd0N1BKdlI5YTJXeWp0Vi0ySWpwNkwtNzdNd014UTBRNVY5ZXdxdG1xSjhmaFVDNURFb0h3NElZalBlZ3ktLWxBTmF3NVlwWGtyalNqeGE1R3FjVGw4QzlUMDlpcWwwYUVrZUY4SDhsUFRaV1p2MzhjbjdjVkZ2WG5pa3B5MnBTWktHVHZaNDZ3OGdSTDg0UmJwcXFzaHdaa2w4OFVTT3RKRHZuUkZLUU00bWNGTE1zUzJKUzNGd3FuTDhOMXBlSlk?oc=5" TargetMode="External" Id="rId19"/><Relationship Type="http://schemas.openxmlformats.org/officeDocument/2006/relationships/hyperlink" Target="https://news.google.com/rss/articles/CBMivwFBVV95cUxPOEZ0d3B1TmtudmI5LTFlS1doNmJkNVB5QV9jM19nSjB0cnJFRWNvR2V5MHBUM3hrbW1Na3V3V3JjQm1SM21tY18tekVSUkZaMDItdjcyTldsX21VMVNZMDdZaTdsWkpyUTlUVjJkbVZkOFJ0RzItN1NHM0Zyd201SWNqWVYwZktRVi1Kd3RzUWFqNHFWOExzSWZjYjVodU1nRzJhV212c3BSRlFJRE1heTM3OEN0X2RWRFlmdEZuOA?oc=5" TargetMode="External" Id="rId20"/><Relationship Type="http://schemas.openxmlformats.org/officeDocument/2006/relationships/hyperlink" Target="https://news.google.com/rss/articles/CBMi-wFBVV95cUxNd0o4d2tXQ0JpZXNhY3UwQ0VFdnl2UHpjQlpvUk9wSm1Zb19pY1VLQVFZT3lkRjRVamR1cUYxb0xwNEViX21veFFoanYyLXlIUHVoUXRwRDRpckt5SjlOWTU1RjBHSE04cUI2aGN3Z2VvUUFqYmNxLTZxckViWWhvM2s5Ri1iWkMtNUpYREpSVkJvdTJpeGVLX2dWZFFXSzI2MHdjYzRKcHJIbEFLMy10Y2tuZ3hybHZWVzlCSTA4ZkY2aGRHQXUxRUd1eDZQOVc4T1VQQm1ORVgyNFBweWtYQVQwTEpaY2VBTnlTTVdwS3JsZ3VFcXV5aWpSUdIBgAJBVV95cUxQNU5JU2J5VVJXNjg0Vk9fWFNzbXAxaEdHTHZvV19oYTdmcm0yWkQzRnJxSmtzYTVtdk9MbFpDN0dlUzhLX2FhQUhRMXllTVlXVDZhQmdBdEplVTJ6bTdEbTZKMThvNlNlOFpfalFOQXRGWHlzUWphRGVSdk9GZmhpTDJiZ1A4T3UxSkpvWE9JZFF4dXlzNEZha29lXzVsQjJmdF8zeE03MFF0OXFWSkExdlJUNWQtTVdDaC1tSEl6dm9SejhUREJKX3lwVHJaYUhzTlRxbUNnMTd2blAwVW92T1hGMS1xZmxUaGt5YWZxa2NvNkdZZlY5SFRqeHhoM3JB?oc=5" TargetMode="External" Id="rId21"/><Relationship Type="http://schemas.openxmlformats.org/officeDocument/2006/relationships/hyperlink" Target="https://news.google.com/rss/articles/CBMilAJBVV95cUxNT2czdkc5VlREelBxdFBpQUh5VHVVcUFMR05IWXR1Q0hhT09mcGtiYjMycUhqS3Q4Y1RqVnBmX3hYeHJxNGpvWUp2UzJ2YWppaWRiRkU4cFg3QzQ5a0tCNGdla19yZlg0MlpRc2RvWEJJTGNPbldPVGdRUjEyb093VjZ0d0RCZ3R1dlpDdlB4d1psSEQyLW9xa2VWZGZGUkxNWThTV2JSZkw2SU11RkpILS1XY2IyTmMtci1IcklLU1N4elN0eGowT3NaUEtrcEh4UFlnS3BDanoyZnl3M0dhNGU2N2lob3lEVEczcjdwei1NNHdxY2RmalVNSkp0M3NCSVlJOXJjUjVGdFdObC05cENLSjDSAZoCQVVfeXFMT3lZcVJzX0lJaUc5dy1hRjY5cW8yZmxER1FyTkpqaG9IclFLT2g0S29TQXU2ZzREXy1TYmZPODJ6YkdxN2tUbnQ0QWMwekdaUjI1WDR3c0dCZnViRmMxRTh3clpQcnVRb0Rkd09ia3pXai0xV0ZoQkdMZlM5OV9XYVJyQXZLaE5pekFDeGZ5ZUh4blFqZ0l3dHNuV3NSYmxNMS1DYXJDbkd2MTRIS2VNalZPM0dTZXNBa29PMndnSmY2YkVOdmpONWs0MUlSS3ZNTFpvaDNUb3BzOGFfMmQ4eUt4Uk1HNEZtb0dxYk9nME5wYTIwMVRDNWNJT0hfRjBTMU9RblBHS0g5MFRhdkFjbjY1d0JXSGM1a0JB?oc=5" TargetMode="External" Id="rId22"/><Relationship Type="http://schemas.openxmlformats.org/officeDocument/2006/relationships/hyperlink" Target="https://news.google.com/rss/articles/CBMihwJBVV95cUxNbGtjekNxdnA5QWRzLW5kQVJBWHR6U0RFQ2JneW9kbmRxM0JCWGw4cHRadzRZM2lldTlhQm5seUxqeUw5a0hzaTBsa0xOUC1hdEZZMm1wQ3ZScFFxYVlKeXdTdjI4bWpNZ2wtZ2pOWHViRG1YWlQ0ZnZhRnd1eThqZlFUblN3MmZYM1JETXdTQURuOGhwLXB2TzBKMkp2d2VET3AzSXRINldlemtxQTlqTmk5NnJqTFRHWG1McDFfZmxDdnFBLVB6eXFFc25VZkljZ2kwbFY1NGtWV3ZPN3E2WlhwVlJMbmUzaldha04zOHFIeUlJWTBJUUUtNGdROTNVbUNtR3dMRdIBjAJBVV95cUxORFBxdEVWTzdMLXE4eERrc2pZSjNxTjQ3cWtHc2NmdXJGNERWdEFOM3doOWk5WFQ3QUxrQW9mOGQxTEx0bXVndThpdzV4MFVVcEtRRkdVdUVYX2lNQzZvTXc3bWNUa3Y4TC1pNWJzYnVKR3FZeEF4VFNFZFlSSThPdnMtY0ViTU95YWdBUWw4N3dTVFY1bTdmc0gwbW1DNlFkUEJqQ3dERE5HQjdjWmJMdEpGa3ppcmJfaTZIWTk3OUI1ZGtVRVEtekZOMDBraHBCM0xsdE9fU2tKazcwZ2NBck9wdXFwU2kwR2pzLWxUYmtNU3pEbmpLbWxWZUxlRGEycVlKZk9JQ1pRQ2Yx?oc=5" TargetMode="External" Id="rId23"/><Relationship Type="http://schemas.openxmlformats.org/officeDocument/2006/relationships/hyperlink" Target="https://news.google.com/rss/articles/CBMi7wFBVV95cUxPa3hucG1MbGJ3QmdDelFwcEtRVDdTVDh1Z0ZSdTljYkJPeTloVUpOOVowMUk1bFRBQWV1VEUzQXpfTWpwZjJWWTM1RW1IMGszamZZYUxKTDVrV3h4M2FIeEJfQVBLX192bV8yckNLdERlYWlFa3lNOXR5aW9QSFNWZjluZGd6Vk1XdmhjNFNjVXRiR19INWVPc3NYWGdBdzRYSlhWemhFV2g4RkZUUXJlckFmVnRwRGJieXJUN0htT2dYdVdlYjFWdmJDbzZvYkcxdlk5YjZGMWxfX2EyVGJoUjJTN0JnS3dUbC0xeHJoTdIB9wFBVV95cUxQZGd2SnU0Ukl1bjBuVlJZSWROVGxUN091Vkh0b3VYWm1JQ2VqVGNmMy1aT1N0Vm1hdTQ2NFNoUnFWOVVfY2NlVG1Ta2V0VktOUXNiQldoeDNhd1JJdWE0eGRYZktGMDdGWFRaeG5pc3RDMWszbEpVMmRoeGMycmtZS3gxbUFMc2J5S2dLbmZfU3pIU3hBZlRlODBSWVhDTU01MDNVOHdYQWN3NE16MDJma0x4WVo3TUdQdi1Odm52a3JmWUNjY1VXOXV2TElkNFR2U3UxQ1VxY2JCUXlKNmVCbTMxTC1WV2tFU3k0Xzl5ZExZR1VkMTNB?oc=5" TargetMode="External" Id="rId24"/><Relationship Type="http://schemas.openxmlformats.org/officeDocument/2006/relationships/hyperlink" Target="https://news.google.com/rss/articles/CBMi3AFBVV95cUxNemQxbjJMUDRKVHJyblZWNDFsVmt4TVFwZWZ0b2JpY0x6ekZOMW1JbXJyWVhJVlFFMVFSQW5ScEg1NFIyczVEY21Kb2VHME9lMXM2dzh1ZDVZbjRuWkNIS2hfdHRSRllkMFBDZ0VHYjlySEdhWVVtamNTQXllLTd4STFBT0dBOTNsbjJVemFQcVBtaFBhLWI5SjJ3VmJPeDdvNGQyZVlZbzI2RUswOHh1Qm1sdGMyWDM3NUxoRlFyNW4zYnh0LTF1RnlsR3A3TWJHX0JZZHo5dElVd2p2?oc=5" TargetMode="External" Id="rId25"/><Relationship Type="http://schemas.openxmlformats.org/officeDocument/2006/relationships/hyperlink" Target="https://news.google.com/rss/articles/CBMi4wFBVV95cUxNdXRzNlduZ0V3SVZac1NrN1cwLTNJYTlReWVaMXA3OGU2ZlRzVk1lOU5ob29reG5BY1dSZlQwQXJWRVRuWEl0aUFzNDJGYVhNX2Q2QnkwSkFCNU9xUHlaTDFVTnZVN2ozR2lTcHNKeUZVX2ozRkVMeXlZcGdCcEk5cHNoVEw3TkZJZmtfcnA4bFZKM2o1T2VEc084X29ZLU12Wjh2QWRiQmZyZTNDNEtPaDhWZFdMM2pTODktWXNlY2VVODk0bEJZQkZ0Vl9ERGF6S2h4N2hrNXdWUGVINndwdWV5SdIB6AFBVV95cUxQX0RadjRabjcxS0NEVkJ3ZXIySEs4WV9Bd2dURmo1MUYtZVlGdmxxQ01JcHF4VDRWempmZ29teExKODNfWE8tVlBOSEdTYjVhLVctZk82djg5NHMxZExxS3ViTXQ2V2NGR0x0cUx4WjZGTG52WDM2NWlkVkNyT2dlVHNWa0RtMHBqaDF3ZC1hbjRxSXN3b3lDWUE0TGJVUVlxby1GLWF1cExWbkw2ZS1yTEdITnRzY1c0Und6R0YwYVBVSXFIUmJHNnVGcGxubmJEenJpelZ6dkJGRFVtamxsbGlfMU9BSjJR?oc=5" TargetMode="External" Id="rId26"/><Relationship Type="http://schemas.openxmlformats.org/officeDocument/2006/relationships/hyperlink" Target="https://news.google.com/rss/articles/CBMiwgFBVV95cUxQLXZBYm5NNUVmOVNNRHpFS3dlaGx4STZhQkMtX0FidWlMbTdRYjJNZGJYOFZwVjF1M2ctRDEzLV9LWGkzWDdjTld2dHJ5OXJibzVBVHNXRXV0b1dYNTFmSy1iQWw5LVk1dloxZGk0WHM4SmhaYzFYbjhYc3NiVHFTdWFCZU05eTRBd0J3eEx5SEV6ek1hUGs1MXhvemdRZTVoeFI5aTBQZFNIeGJpN2ZGMmhuMFhWV205OVlXczVDWS1UQQ?oc=5" TargetMode="External" Id="rId27"/><Relationship Type="http://schemas.openxmlformats.org/officeDocument/2006/relationships/hyperlink" Target="https://news.google.com/rss/articles/CBMi3wFBVV95cUxNSWFiMHU1Y2VrQUNHTElXaTRQbHpqTHFzWkhBWUU1WUtpTDFncWlrYmNwV0Y0dS1XakllVWJxaFZYczlMTlRvcERLbmV1V28zQnhKanF0a19wUGtfR0pGMVlPNDlpUVc4azRmRTVsMjVlMmdqVHhkdGJHbHJPMklrc3dqLXhBTl9sb1dJYU90UWh5YlA3X3A1REkybmxqQnZxLVJLRkhrN1FDV1FHaHctMndBMXhhaEFrYWh5ZEZOYWI2bkZyQ3N1MkU2cVU0dTdFTVYxQVM3Z1dLTTdNUDFF?oc=5" TargetMode="External" Id="rId28"/><Relationship Type="http://schemas.openxmlformats.org/officeDocument/2006/relationships/hyperlink" Target="https://news.google.com/rss/articles/CBMi3AFBVV95cUxQSE5EbFFtT016ODBSVG1IaW1FR0MyOElmblhlUWw5QnppSHRkMEtUcnIwM1hMU2NuU2c1RzRZWS04NlZIa3N0ZDZrakVLX1pnMWI0Nl9iWHJ1M25pckRRODdfcVBOaVktMFlEYW9nRWZ0WEV6V3I4NThjel9KWGpLSWR1b1VPM05mdGF2MVl0MC0zV2RFRURaZUw3OVYyT1piQ1RVWTNBWE5FamZuSk1FN2FxMVdaR0J3RkJqOE9mT2lHUHRIcGlNRkQzbkFneU5KSFYzU3ZlZ05LLVpi0gHqAUFVX3lxTE5VbDhhdGk2bjVBYWRzRlFmc2hVRzVjQ1RZNzRFWVhvTzZvb2xSaXBnZjdoc1JQWVdjbGF0LUFNZWYwWWdoWHhOVzFKd3JGNGJRRkhLOGlpX0dLbjFNcUE2Um9UYkxXaXdTTzNMb3FTTWcyNXhWZ01MRXlXZ2Y0Q0JTQTFSOWVhRU1YdU9QNkRzSHJidjVwczl1b1loejZOekRXZUM0SWJNQWgyN25DZDFid3hreXBFUnhmbEUwNnJGcV9wLUlpbzhWcmJ5TEdPSV80N3hLV1k2STEwU3c0dWRaM1NkRkNXZnRTdw?oc=5" TargetMode="External" Id="rId29"/><Relationship Type="http://schemas.openxmlformats.org/officeDocument/2006/relationships/hyperlink" Target="https://news.google.com/rss/articles/CBMi0AFBVV95cUxPRmdFU2M4RThEY05Odm1kOFpLbU1oYWc2WHNaVmZzaU02Y09NOEdySDB5TEZxdndKbEM0RkhCVnlNZFlLYlBpMTgxdThpcmt0Zl95OG4wb3RWTXp3V2htOGhIOXFjanJEczFYam83X2pmNWcxamt4M1VUYTdGUnlCMjItRjVjdjhfWU50bFBCY2NRZjhGNEl4Rm9oSVNsVnNqT0lVZmgyR0JNY3JxeXo1eU5ISXdHcGhadWxwZHBYWThqTnphSTc5ZkZrOGpORFRD0gHTAUFVX3lxTE13TkpUcnEwbldvXzZTekhfc09aU0pYdE9SSWh1RG85S0lSZnpod0FCUFdSMjF5SXdPR2psUGh0RHg4OXRPSUhhWmtWWk80X3h0aFp1cVdYeG1lOG96bGVEbHFOQzZrSXAtZm1SQU5RT1NQaU1WLTF3TzlTYWctSnZYZmRsWkFHX1ZYck9wSExBcWlFMHBLM195VUY0d2t5ZlBBRnY2a1RObVJjOEdKNkwtcU1YZVFvaGhPVlFYWmYwU2kzeU9VcDd3NmRWUVY2SXkyWEU?oc=5" TargetMode="External" Id="rId30"/><Relationship Type="http://schemas.openxmlformats.org/officeDocument/2006/relationships/hyperlink" Target="https://news.google.com/rss/articles/CBMioAFBVV95cUxOZS1GWEJFV29qTHduMnpnTS10ZnNqaElCQ0NuNFJvQkxiX08wRW9TR3cyV3JNUy0tRC1hdTA0ZjNaTzdlbFg1a1oyUW5HZjJlV200UVZSRldVd014Z05xT05xdFNnam5CUWVSenJyZVFzN0Z4T2F1b0xOS3VwVW5GZHpmdjgyMDQ3T0h1cjZvSmtFWmtsM0l0RFpsM2c0S3Ja?oc=5" TargetMode="External" Id="rId31"/><Relationship Type="http://schemas.openxmlformats.org/officeDocument/2006/relationships/hyperlink" Target="https://news.google.com/rss/articles/CBMipAFBVV95cUxPWHVNQk5rbFFGZEtlam93TG5zOU1QYUJxc2V5NWpSSVVwc1VSbE9BSkZBQ0hXdF9EbHNYZzhncG0zMGxCenZrWXN1eVBjdkl1aEpwWi1RRXpJYU9zNlI2aDZpYVRrVWZ2RlZ2TEdUU1VGaWw5VW1KZ281elRsVTF0RjhUbGZuUkJ2QmYzUjFXWGpSckY1dzlzLWxxVzVRejc2YkdIZNIBqgFBVV95cUxNRGpoVUxreDZKZV9jZTNBUHhEQlZURmZ2b1VoMnVqbmREdDRRTGRERncwZWtVZDhQLU04STVuZHFfVUg3OEl3RmZHdXA0OUxlNWdEdzBpWnp1NTgyMlVqRWZtV3lYZk1JZHV3YmlOQkZfbDNaNVdncWJlVUM0TzR0dGZ5c1BKelk3ZWJ3OVRSVmYxT2dXUlV1YzYyRERoU2cwLUpzT3lOYk4tQQ?oc=5" TargetMode="External" Id="rId32"/><Relationship Type="http://schemas.openxmlformats.org/officeDocument/2006/relationships/hyperlink" Target="https://news.google.com/rss/articles/CBMi7wFBVV95cUxOQTlLZV9obFhRTUxhZHhJYVJ2UDdhTzlhVTVKcnQyNi0tWTVRekZhVXFZUUo4c0NrUHo0Y1hsU2lOdUlYMi01NFNhV25JQVU3YVl0REczWEdLY0VTVXpESDBraEY3OWt4WEQyM2tnUF9nWno4cXA1Q1BkYXFRRU1YV2VGU2pyT05WdUl1bXJ6MFN0MDRQdHNNVEpBNFkya2QwSzZ4NVR6YXROSm54ek9XWWwyUVR2VmNfNDJzaFZmM09Ec2RUTkIxdkQ4OEFHZWdYVDdjWmYySl9TYnJRQkFqU1c4amVSWjg3aGEydUQtcw?oc=5" TargetMode="External" Id="rId33"/><Relationship Type="http://schemas.openxmlformats.org/officeDocument/2006/relationships/hyperlink" Target="https://news.google.com/rss/articles/CBMitgFBVV95cUxOM1M1LWdKOG5CZE1FX1NOWk1PcWRtajNKaXo2djkySS1oTV9QWlE3LVRTaFpWWGdueG9tLXc4a1ZCT0YyM2FtWmUwQ3J6dWlfRjc3S2REc1JLT0F4UnVNaklkZExaYkVyaklvNmJqM1E0aDRtYXZJY1IzUWxTbzdxb3BOZGJ0SHAtTHB2V1Y3X2NiczNud2ZiLTh4RGxfdXJyUF95TWk3MlhnM2xyMnNtT0w4N3M2dw?oc=5" TargetMode="External" Id="rId34"/><Relationship Type="http://schemas.openxmlformats.org/officeDocument/2006/relationships/hyperlink" Target="https://news.google.com/rss/articles/CBMiiwJBVV95cUxNdTZOcVZ0NjNRQVZQMTVEaUFiV0s3SDhtb0pYVzRVR3FXVDZCU2hzSWR5bUN6WWFjWlpySl9QQldDRTNNUGo3WGZJV3JpWnNpTlI5RnV6WUpiWG5LWERQVXhqNDdfcVhBMmRrSXBBeHVfQW9IYUZ6RlQ3OXEzTFltalpIS3Z2YUhqR1IxcC00aUxXcmM0TFllZHhXc3BtcjlHbVc1ZTlhX1R0RjR1U3VfaFpBbWQ4dFRzS0pycThzdlhGZXRIU3VsVGJSd0t5MWdzS3VxMk5Mb2l3RUZMUVJmdUJiUkhDaEN1MzdzTTRpTFVwQWFKUW45cFE4YUdyZ1RTVm4wNUpTQ3dpaU3SAZACQVVfeXFMTzBXR0lpZ3lwMlFJSXBjaEFxa1pBdG1xU0tsZllvNnJFNTFYTjlpVVVmOWozUElsZEJzN1pMdHQ4TmJQN0hOOUVQeFdFX0RKOGd3cXRyaXEwemRpYzBXNFd0c3N0di1rSmFvendiVjhnUU8yVnZzY3RPRGpNSGRrT1JlZVR0WndDQTJ2ZGZkamRXcjlNVWJRNkc2V1N1VnhISXdOeGFsZElyU2pBTzZudzNyYm1UMGdFTnc5VlpzRGwwbUxQWXZZZWl4MEdJLVpQSFQtU3ppVE1zdUU5VjVrMEVONEdJRzJLOTlZZENETDVMU29malpZYkx2d05fZUJmRTIzTEpnY1ZTbU9nNlpPaTI?oc=5" TargetMode="External" Id="rId35"/><Relationship Type="http://schemas.openxmlformats.org/officeDocument/2006/relationships/hyperlink" Target="https://news.google.com/rss/articles/CBMigwFBVV95cUxOQXNPV281ZnNwaXYtVTZSNFdEcFlGVFU5YkRvT2JqQVJCRkU3QjZ1UXRLdm5YWGFEOG8yM3VaU196dlQ3MEctM1dWelVXaGtxNFkwNS1YdERRaXFkSERoTVJ1Z2lfb2ZRZXBIcWFlWjlQbVMyWTVkejRXREZOVHp5aUtJZw?oc=5" TargetMode="External" Id="rId36"/><Relationship Type="http://schemas.openxmlformats.org/officeDocument/2006/relationships/hyperlink" Target="https://news.google.com/rss/articles/CBMiwAFBVV95cUxOWThVcnJlSWpkU0QzNDF0WnY1Q0IybkhlSVRmdGpFMFE1dDFvZ2lxYnpXVnVoclVpbUFneTA5cDJ2Y3k1akphYkhYaEl6MU4tc3paVjZLQ25Xa2oyN3dadFJVemtDYmlHbzA1dVZfaU9iYnFDOHN0QklwRmdmWkpLTDVkcW8zZlpYZDNvVEE5amlIYlR3VnRkR0xFYWtsRW90MGN4dmxxa1p3U09ud1FLcGxsS25DQW1IVkNCbWxiX1jSAcgBQVVfeXFMUGtCLTkyQlZmNFhiNWYxY2dnUnVYOU15WGp3Zlp5RUJNLTNReU5uTWlXNHZ6Qk5XMVZXdzNFQWp6MkhHamFZRWVmay03bTV0RjlTdWIySUloSU16ckdtckt5SEI0Yk9HOG9BWnRoSG5EMTJKeENZaTRpZEZpMzJPZFFoLWtvb0lCVXllcFFaWlZlNTRRUE9obXdFSlNSNjF3QktiTjhJUTFENEk1VExSUUV3RmI2amxuVC02YW43VEd3UnVQemJrZHY?oc=5" TargetMode="External" Id="rId37"/><Relationship Type="http://schemas.openxmlformats.org/officeDocument/2006/relationships/hyperlink" Target="https://news.google.com/rss/articles/CBMikAJBVV95cUxNMmF0TGdKVDhMZFppQ1ZaWGdBWjRld0x4aTJHRTl5OWMyd1d3ZUZQTF9PeERyT2p1aGtlLVluYmdES0FjaTBIN0NlMk5KSHctMnhnVVVQaEFhVTU0YXBLZHJoMUptY216SHJudW9oU3llX280RWtiVEFGNldkWTlvYmdtaDZSZ2FfZmpvZzRYb0IwQ19kUW5mVVk1TkNSMzE0cm1QcjdOem8tNWlYcDNDWVNyY1FPb0FMTWZ6ekJBejJyWWl2NmhqQVNRQXNpUUpTZDU1VkVNWEZtVFhGSzBTYTZIbEZlUHFJdVpmTmFLZjUzRHh5SHRFUkJGQXRLTTRKY0Q1UGFGR2RldjN5Z2tubNIBlgJBVV95cUxNNjZFZmdwQVhHZElndVhuUG1fdXk2QXFZS25zbFNIZ3JDT1luVElkN2t5bFZ4bTRIQUJRNGtBLUUzWkppODcwQ09JZXdDQjhxcGVKaDBJdlh6cmR3U0Z4c1h1OS1hTG9abW11dC1RWFJVemVWbGtVQVFMa1VUSmV4UzVmM04yOE9TcjFScmtCWmNwVkE0djdhZHNlZWxLMXZNelAxVnJ4bGVRR191V3VrcFUzSmtsTGJ6OUNuTDRSZGExVm02UllqblFXSWpEeDZkdlRHQnVuRkFtVzBPRjBaaVJwUXo4TThwV3pIOXFJM3ZHM1V3N21OY0V4bnMwd3lqbFl6Ym9SS3U0b0tkbHFrTjV5Q0g4QQ?oc=5" TargetMode="External" Id="rId38"/><Relationship Type="http://schemas.openxmlformats.org/officeDocument/2006/relationships/hyperlink" Target="https://news.google.com/rss/articles/CBMiaEFVX3lxTE5ZZGplYzhKcGQ0TjNqWjd3LXV2ZDhtUkxDa25qeVJNQThoMmRTWUFfeXRpUXlpbDFwVHozZUNad0dGeTJNLUNQV2NscE44NENlTmloQmFNd0hDVXNhNDJGdUJQN0ZaZDlH?oc=5" TargetMode="External" Id="rId39"/><Relationship Type="http://schemas.openxmlformats.org/officeDocument/2006/relationships/hyperlink" Target="https://news.google.com/rss/articles/CBMiggJBVV95cUxPaGwzaml3Wkh1SFkybHEzdXMxQ25ieU1zcWFDaVM3VVEyVU9zRHQtdXBrbTFoRUJXS3h1WWEzT1FaYjgyZnJ5b1UxNXI2WEpBaXdzcXlUMjVYMU1pUUJTMjdreVU1UHM2eGNaRUV3Z1JoY0ZVeWxZTUlieE1TVUVMbldObmM3QVR5SjEtaktKWnUta3hqTTdDa243M0RZdUVvSTRfVEJSa0h1dUNhX3l5WGVMd1lCU1I1TzVVVm92aXVzY05hWXFhWFNsWS1tOS1JZVhjeVBycHpmTzBmcnBXOWtNcHFLZ0UtNE5PR0QtWkIxR25nc0RzeGxleGtaMllISGfSAYcCQVVfeXFMUC0ybXJyWTNvWEFGcjFlckxKQ1hXNEVNbUk1X1I0WVVsbEJpcFpvQTBaVUI2NVRrTTBtQVF3R2FTUWsxSTlXek1XWXhyUXZhdndRVUdNaWI3azFSRlpSQ1BuLTlTM29CZmVEX3VRTXFTSzljWXFlRHprR3dfaUR4NFd6VktPQ0U2b1RmVF9HNDRSdUNhUFhfdk1YVkFDU2dVcll0OTA0R3pCV2QtMW1ZdnRYRVhnUFFHOVY3YmtuMl9CMEZuY3lQMzlsdU9HZnRFQTQ1Wmo4YV83VU5OZ3Z3TzBJaXZOXzRtY3hDaW82TFJGa1RLZnZUZlowd2hvU2V4X2gwYUVYeXM?oc=5" TargetMode="External" Id="rId40"/><Relationship Type="http://schemas.openxmlformats.org/officeDocument/2006/relationships/hyperlink" Target="https://news.google.com/rss/articles/CBMiwwFBVV95cUxNVWowN3l3RDExYjFXZ1k0eXZaQ2g3b1BLOXdpWDFWYmlESVZUVlJEZjM0ckxjb2RubVlNU2wtWHExRS1hNDFzWGc5bE9lMU85Q2VkaFg0SFY0cGNlNjNZLW9sTmFka2NWdUUxZ1lnMkhiSEk0VURLTjNDWnBsREhLcm5OMlBiczZtMVZzOE5hOGQwbXQ1dTI3NUM1MGZRNFpqSGpNeTlUTFBYYWlnR3FnQW1oQnRUQkhMSUotaTAwX0pxM2vSAdABQVVfeXFMTjlOd3pSbEp4aXhFalFFWGtIRmc1b3ozU0FnenlmS0hMNnNYc0h4Y2hjNEoyTzZRR1RaNExVdlkxWUkweEpWZ1lHbWFEZS1YYVM4QmtiQXh3NjhmblpzNFkzUGtvVlRXVmVacVBjUzJkTzY0MDVabmtzeTlVQXZkTjY3amQ2TndoanNWcS1NNzVrY1dkSHFSMXFMX2tYMEhZaE1Jd3h4VW9XX1o4bVNsTmdhTUl5MzYxd0QwUk9McXpJZ2FZUmZlLVRXeTR6ZWYtOA?oc=5" TargetMode="External" Id="rId41"/><Relationship Type="http://schemas.openxmlformats.org/officeDocument/2006/relationships/hyperlink" Target="https://news.google.com/rss/articles/CBMizwFBVV95cUxNTHZDVW8xOFowalVxbDF1S1l4djA3bTItWEhPTWtGV2JiTDNILXg1RUJpM0psWU5EcmtTV0g1REg5Z2hPcnFVOGJTSm0wTmQxOUpWQTV0clNRemFxN2NZTV9WZ0tRbkFOcGdBSzdjN1puRFNqWDR6S2hCMzIzTk43VFNJbnpMMkozSmpxWW90OTN0bHMtbE5sRVNoU0gxcDg0Smg3NmZONkRGcklEYmlzeDFkMHBXbWllZWdrYmxlNDZEVDRSNEY0VTl3bUNZWHfSAc8BQVVfeXFMTUx2Q1VvMThaMGpVcWwxdUtZeHYwN20yLVhIT01rRldiYkwzSC14NUVCaTNKbFlORHJrU1dINURIOWdoT3JxVThiU0ptME5kMTlKVkE1dHJTUXphcTdjWU1fVmdLUW5BTnBnQUs3YzdabkRTalg0ektoQjMyM05ON1RTSW56TDJKM0pqcVlvdDkzdGxzLWxObEVTaFNIMXA4NEpoNzZmTjZERnJJRGJpc3gxZDBwV21pZWVna2JsZTQ2RFQ0UjRGNFU5d21DWVh3?oc=5" TargetMode="External" Id="rId42"/><Relationship Type="http://schemas.openxmlformats.org/officeDocument/2006/relationships/hyperlink" Target="https://news.google.com/rss/articles/CBMi5wFBVV95cUxNZDdBSGtJNndPUFREZ3ZYd2NQMmhmd1VNUWptQkxzLWNJYWhXWFQ0ZkNmMmdWOFFGZGdNZEUxM2hjVl9COHlVRlVaUVYzVEhfMU52N3h3bkw1ZHBLeXVjRHR6blJXbWpIejQzSktIZHVPRWxsX0NIWkNuNDhZYVZ4cjUzZHF2UVZua2sweXFCZGJ3RWxFVS02aXZwQy1YMUphWHRWY3NOb1Z2ei1YY3JhQ2xBUGJJTDFRUlVPN3hYV1l0dERaZ1NES1A4RWlzZGthSW9BWXRVdFdWUjZNM0Zfby11dnlib0HSAewBQVVfeXFMTUZkYXNMV0ZGY01YbnFNS3QxOFVCWFlvNW9iU0lsSkc3LV9qcTF0Rk9kZ192NUozb3RWVkJtMk03U2l4WlZVWVB2enZuYjBWRG9fenJFRU5MSHNrdE1ON2U5djBJMjFtUkx6MmhuX0dpa091UkFLX1oxcW1zbS03UElsVzhvb2RDcjFxYVdMNXNNaEpYMW5RaUlmQk01NGRRWXc3WDNnMndTbUYweHlMLUxwcWItemR4UnpuOWdXcXA1LTZaWURNOF9jZGF4d2duME5IWl8wazJzSF9qNDRHODdnbTRzUmZ2SWI5a3Y?oc=5" TargetMode="External" Id="rId43"/><Relationship Type="http://schemas.openxmlformats.org/officeDocument/2006/relationships/hyperlink" Target="https://news.google.com/rss/articles/CBMigAFBVV95cUxNX0ZxTVJ5UmMwMlRnYnNaLUdtc3BpYjBZOEY4MEdlTEt2V2FnNWpEOTJSRzdLZ2NxakhSU1ctRlVpZmNrS2lUbVoxVm9YNG0zOENucmcwWWl6NFJKM1c2d2VuQW03anhnU2ptQ2xjY3RCM3ZlN014VWRwZkFmeXoxaw?oc=5" TargetMode="External" Id="rId44"/><Relationship Type="http://schemas.openxmlformats.org/officeDocument/2006/relationships/hyperlink" Target="https://news.google.com/rss/articles/CBMifkFVX3lxTE9ScUtUMWZiMldaN2ZsUXNxWlN0WGZaU20yengtYV8xZWN2djBYdlZseVVDaldod3YtUUh1RlZZX29ZYUxPMWp5U1VGN3dlVXZVc2N1M2doMFFHTWlzZmFpMWhhRGUwZjdmaWxrVnNycGtBMmpjZDBfNHN3VklZZw?oc=5" TargetMode="External" Id="rId45"/><Relationship Type="http://schemas.openxmlformats.org/officeDocument/2006/relationships/hyperlink" Target="https://news.google.com/rss/articles/CBMiuwFBVV95cUxQRmJCSlF1UVlhWFA4QXI4YnA4NlVPMFBTb3loX0hGTEtoNG0td3FsZW9FX2Z2N19qTkRBOFZDOVR5Vzl4MXFTU3A3Y1dxQUVKcVVpNmRKZEpjaGlRdExrdzBiZ1BVTnJDa3hIdkNma1NuTENLZFljSVBWUFotZXJ2STRMTXduT2JFTEdUUkREazc5NHdpZmkzTG55dFJEODFEbG94ZjZpMDRiOXQwUVkzcDl6Q2thS3dTQ0Y00gHIAUFVX3lxTE9BZkNWN1gyVzhJSmlqZ3AyZ3B3amhfLWxLUkE1LUN4alpVYVpKMjUydzRYdlZySGRFelRaWjh4eE5GaXk4c2JfR0NyaURPUzRZLVRJcnUxWGlxRnA0QzVqdks1T1dDcnVxcHJ2SmRrVlluSTZlTW0yTzE4WU5VNUx1UVdPc0pGSWlCQjFrZXZFakI0TmZZczR3VTBnclpFT1NQSGJPendEcXdYU0xRZjhZdmdvWnBCbmo4bnVkbm05d25Wa0tCQ3N2?oc=5" TargetMode="External" Id="rId46"/><Relationship Type="http://schemas.openxmlformats.org/officeDocument/2006/relationships/hyperlink" Target="https://news.google.com/rss/articles/CBMixwFBVV95cUxQYXlXS3EwSzRVZ3puMU4xc0w5V0IzRWR0bkQ4UmtNQnVkLUVFSlk2N3Bma1hlMXYtUFAtcFppa1laeWFjT3I2WUpZRlQxUTlRZXVSMTVJX0M5aFIxVlpSUUZnZWpyYTQzTjFXRU5TQk9WdmdfV20xRHNFaTBGWGRKa0liNjhqeGs5SlFFTV8tR3daZHVZZjFaSmNGVExoVjl6eXhtbURYaHpKaE8xV2U4eWl2NkVRbklBZmxJd0lmcGNxaGlfWTln?oc=5" TargetMode="External" Id="rId47"/><Relationship Type="http://schemas.openxmlformats.org/officeDocument/2006/relationships/hyperlink" Target="https://news.google.com/rss/articles/CBMimwFBVV95cUxQZ1BOMU5hNW9FU2hKWE1POGtjZWg2RVZ4QnI1UGw2R2hhaEpVQVhrR1lwWnFSU09Za0UtWThyWHRKbl9KMlR1SFpNemFjcGhGanFUWWVfbGFYWWcxSExGS2VCdUV5QjJMeE1EcTduVUhxQlBseWpTcWhGbk5NVmhWUkdkZ1U2X2tnV2NfQWFWLS1FMVFFaEdNUmxIUQ?oc=5" TargetMode="External" Id="rId48"/><Relationship Type="http://schemas.openxmlformats.org/officeDocument/2006/relationships/hyperlink" Target="https://news.google.com/rss/articles/CBMi4AFBVV95cUxOT01heUxPd1lORk1maUJxZVhkcHBtcld3US1iOHoyZm9IcXp6TElLTnNlcUpCWmNhQXhzZEFXNVJaajJGZzYyR0JBRGRTMktuNkI3RzJ3MGNfLXdaLVNOY2ZOWmdRY2h0aWc1bXRubzNhUlZwbzZySFhVbE8yTGktc3lXMVZVTmxTa002YVZWMDJtWTlUVGdyYUpTaXFPVFFZQjdxS0NmVXZfdXlTUGUwcVpwcVVmWE0ybVVjOWNfYktkYXR5cV9meFVKTktweklxNTFMVDU0WmxIX2JVYnhEOA?oc=5" TargetMode="External" Id="rId49"/><Relationship Type="http://schemas.openxmlformats.org/officeDocument/2006/relationships/hyperlink" Target="https://news.google.com/rss/articles/CBMi0gFBVV95cUxPSWVIdTVWZFNIOXVDU2xZbElLZVBYZzFSa18xYzFQSEkwUl9YVkJPM1ZYRzdkMnlxenFHOVA5QU1LaHFrRUJFUWRjNGJHSnR1UnExcF9NaWdHcjJ3SFlPNnZoUjJ1Ulg0QndSWE1hUjVWRDRXUHhUNVItN2hkWkFNMnJ6RERrMlllSDZ1aTBnb3FvMVZ4cFhiRlp2TlFYdFhIcDJSOWFBS2Y1WlV0Ul9oWHR4Y3BibFl6dzRkREFHNExsNXNPV3VsU3AyV3dPWHl4bXfSAdcBQVVfeXFMTjlrRGZNd0pyTVkzbTd2WVVoUnh5aVhORzh4RXlUTWREZDA2SjU3eE5aU1FLWkpLT1A2RzVKVXVBN2VRTUZfeS1rVzAzY1FtT2NDZWdiUEZTc0ZTa1h1azVkMDNXX045WE5BWHRDYTNrUnpPdXBfRm81UUhXZG1NU253eS1LZjhKY0ZTcVN4b0piSkl4LTJLSFAwODJ6RmxYZXI2WnRGMThIVTV4N203anlzZHotNXlZZW14WlJkTTZFTGt5cXdUY2tIS05vb0w5NnpiS1NsYzA?oc=5" TargetMode="External" Id="rId50"/><Relationship Type="http://schemas.openxmlformats.org/officeDocument/2006/relationships/hyperlink" Target="https://news.google.com/rss/articles/CBMijwFBVV95cUxPdndmMFhWZ3pncW12S25NcDllS2NWRmFQWnRCZ0VVWHJ4b3FveTU2MzNzYkZwa0pXUzdVR1F1X09LanlDNjRGNUM3alRUMkVkUmkzN1g3UWxleVNWUGY3aF9DempIS0xreVh4QlhaNUdWUHczWE1Ub1Vzd0VuVDRlbVdCUUt5dzBhdi1DMDJRWQ?oc=5" TargetMode="External" Id="rId51"/><Relationship Type="http://schemas.openxmlformats.org/officeDocument/2006/relationships/hyperlink" Target="https://news.google.com/rss/articles/CBMiigJBVV95cUxNNUNtQk4xTENzdlgyS2dqZ2ZETkJUNzRWMFZyWjVaYXE1anFXZS1uYXhtcXBiWW9LMVJmTXliaHVLTjlKVjdsQVR0YjhmbEF5U3QyTkp3bHVKZ09KclhfVXQ5S01ZdnJGM3pHT3JXalNuV3k4S1ZzM3VFeHFqdGlFb1VCYlA5bFJYTFozazNVUGRlUG41aGlCdkpNRTVPRTFTWXdQMGR1MXN1RG9pSTdwQ1hQZFpHSFZkZlRnUHZUSXhhQkVGZk1OaTRiUG55d3VraVdyWmNTY01EcThnVG8wS1o3S3JTZWQ5TlRXd0RwQzJKcGx2UVh2VmdzVUFtSmk4UmRtSVF4OUl4UdIBgwJBVV95cUxPaV9nWTg0eTI2ZFhDRExUZWRaV2xmOXkwc1ZpU1hKZlNGRUpiN01JZGZ6U0hUMWZjVl9aNGtILVV1QXpNMkZuWFBjRkdyREotN2tYeVFvQWpQT2VOa0FzeEpZMUdRdVNia2tKeXVYajhYa2R3bENyQzg0YXdWemNfVmV6QldJZXpRWDFfbXJwRzhrZ2lxbDB5S3I5S191c2ljeTllTjFmM3ZoaHlVcE5Gam44djBhMXpQMDhXWkx1R3RkWWRoU25lX2NSUnQxUmppbF9FdnBEako1TmI4Q1dxMUEzN0oxNE84cFl2YXVsQWUtSWhsMnNoV0hUbl85TFQ2UDFv?oc=5" TargetMode="External" Id="rId52"/><Relationship Type="http://schemas.openxmlformats.org/officeDocument/2006/relationships/hyperlink" Target="https://news.google.com/rss/articles/CBMi8wFBVV95cUxNdGN6elhzdDBvY1pMU3pxekQ0a1VaNkpYU05LeTM0R1NWUm5VYURaRTBUd3NyckYxbnNoOVR6cGtFbl9KMC11Tmx6a1B5bTVGUmVkYURaQlRaVDFNZ0ZORG1BMFJhRDY0dC1DQ1BXWDNfbVdnNFhHTEVGd2ZBU3gwMlJLbkl0OXZSeFZfRWRoWnUtQVJQMlhwaUtWNThFaFFlWDI4TG9KOUJaV19TVjRzWjlBTGlzRnFTdkd6ZUNPYW4wd1E5Um1nMms4eVdMRzRWNlQzQWk4VW9tM2laSm44YS01V0RxOXFXNGhOMEN1RmQ5d03SAfgBQVVfeXFMTkpCazY1Qm5YTW45VHh5cEd0NWhwWXBNSnkycmFjQkNQZ3AwcEZCdHZ4ZktOSGpSQl8ySkpZX2xWUld0TTR3Q016VjBZV1ViWFo2cHFsRndlaEpBSlNzeWs4ZnhKdDA0a0ZQRGpvcFM2MTh2UkVOUmtMMnBQUEhDRHhIVnltMHVDWTMta25KR3ExLW1Vdm1QY2Z6c0NpdnBaUGhFYUxFR21GallHaHlRSUNRV3pHLUw5dTZrYW83dFJoYUFVcERLYWs5RmtwMXNiaXhmY0FRWGNFREJVZm00SkY1MmQwaE5vZWZjUlFHZ2Vpc3BmdXk3WFE?oc=5" TargetMode="External" Id="rId53"/><Relationship Type="http://schemas.openxmlformats.org/officeDocument/2006/relationships/hyperlink" Target="https://news.google.com/rss/articles/CBMi8AFBVV95cUxQTHpHTDdETHB2NjlFMGszUzl1UjdBQ195QXdIWGRpTnhJRlI3Z0xiR0syRmFuNzJ2VUhzSlZtek0td2RwTnVFekVDUUZqZ1BBUnItSjFqa2lUUUVoNzdCcTZVaE5pLUUyNXA0OUFYNllUZ2Uwa1hYbUhXemRtZjhMekhCVXlPbGtXakJfLXk5VEpuN2dHQURnODg1cnEwdjVfRF8wSmpORFVzSDRuN29weEZObzhCR1JJdzZqdnBNdF9DeUw1OUVvWjY0V1dFVlN2RDdPNTZRNXJTQ2JEQS13TndiMUNOWmZsTUJvZTdUaDPSAfYBQVVfeXFMUGxVT3dZX2RQU203ZXdSNjFZb3h2RHA2dnlOcEJ6OWp3Yl9NQkdLM3lyNUpFa0F5elZxa1otQ29uT0VzdEVRQzFpYzdvMlRFcEZaMkJPZlk5ZjR2LUREMXQ2cDl6STRTWDJ0NUgzLVlvdG9vZV9kSUpjNDl6X2FZOHZ4ajB2aUZmUDRjRGsyeVJZcmc0TmVCUEdqc0VyMHp6SC1QWTcwQXd4dlpfYkNVMGROMHB6cnZIUkFFVE5uNHlfU2Y4RGVJdlpPMmVIVlFIWUFzVGxEd25rT2VlMm1VVVYwNTNaYWFTM1F2TUs5c0JVZEpTNG93?oc=5" TargetMode="External" Id="rId54"/><Relationship Type="http://schemas.openxmlformats.org/officeDocument/2006/relationships/hyperlink" Target="https://news.google.com/rss/articles/CBMirAFBVV95cUxOUFdSdW1FbkhzY3J5Y04zU1VhQnN6MWpGazU1dXBDMU9md1Q3RjlLRUlwNEJHWW9rbzRXdGRqQ1FxQ24waTVZWEM0X0hmY0FySmVxNEpBQVJOamhEc2VNcmFvM3hTcUFVdzhGN1cycmt6Wk15U09iTk1uOFcybFVOcDVJUEVwMlFIMk5mUnlxdUhKR3ltY1czVkRUdU13dmxMUjNjWVVMRFgta2ZG?oc=5" TargetMode="External" Id="rId55"/><Relationship Type="http://schemas.openxmlformats.org/officeDocument/2006/relationships/hyperlink" Target="https://news.google.com/rss/articles/CBMiyAFBVV95cUxOT0R5YUpfUTZVQldYYWVSUGg5ai1nME56TTBXNXdyTEZCWHFvNVZ5cWhKNjRZMEJiaHEzSUpWcGpPQ09BejJFNlZhbXNoNU9HQm9BZnQ5OEVWY2dabzhYWU5xcUItMklhNjhSRzJNOWNTdC1YS3JKMHFqZmFSZUZtXzVPWG1YLTh2blB1RDBVdGJtR1NYVzBULUk3ckl0NUpjQmotdE5tazFsTE96VjhTMWs5cFZJRDRicXNZV2RzMG9tMjR1dUdxQg?oc=5" TargetMode="External" Id="rId56"/><Relationship Type="http://schemas.openxmlformats.org/officeDocument/2006/relationships/hyperlink" Target="https://news.google.com/rss/articles/CBMi8gFBVV95cUxORmdPaFREQ0lrNzg0b0NsbVktMmFTMjd5SG1PUGRuSFowajhYSzlxa0VZMnJKTjE4aGNjZDlPNmsxLTROQVA3ZndPLVRiU2xkUjZuNHk3QjNFaUh5R2VMZkR6YUZ4aFZZekoxX3RZV0t4aXI3d3NYSDZkWFp5X0Y3d2hmeG10dXR0TTl2QzNWTmV1VmpiOXIycTVER2ZfUms3ekxrOXhXRjdxNXMtZXpwUURaZUo3Tk5RUlh6V0cyUmhQUWwtWFFJWm9zRGp3NWJXcUZMMTNidjQ1QUN2S18tQ2t3NGhsQm9mNGp0dVExQjFFQdIB-gFBVV95cUxOTC1KMnFWYk40ZkpnbEpQOEduMUxtSmZYd1FJMkxWRTF0dGJFbjRwWmc1SWZQWVZwYlkxd2NGdUU4Zlo2NDR2ckNxZzNYdGdyN3lvemZCVVdMQTBRWHBwd2Q4MWdKTjhMQ1VZUWJFNmh5ZmVnTlBUWDhPekJTS2lrTmFoT0ktZWJPR2pRb1dTOTVTcFdueDZrdkdVZUdqeTktT2EweWMyQjFtd2RGU3dLdEJqTzJ1ZEdvUHBaMmdNTmdkdlpJZjI4cXhOMzdQUFM5WTdfeFUyT0NXZnBHLThYazZ4MEN0X2NwcWJYNkhwWHdENFk3UWJKX2Nn?oc=5" TargetMode="External" Id="rId57"/><Relationship Type="http://schemas.openxmlformats.org/officeDocument/2006/relationships/hyperlink" Target="https://news.google.com/rss/articles/CBMiXkFVX3lxTE1EdEhaMjJGMk1DR0ZaZkZfOVJ6V1pNODA0VlBGQ2p2eEtSNHc3ZzZ6d01sZVAwWE1HUkctaHk1aUNBTUY5ZXMxbVUxYWVFeFZHdU9aQW93UjlKbXhCSUE?oc=5" TargetMode="External" Id="rId58"/><Relationship Type="http://schemas.openxmlformats.org/officeDocument/2006/relationships/hyperlink" Target="https://news.google.com/rss/articles/CBMitgFBVV95cUxQZzVzMk9uc3VSN080aktTMVlwZTAzcUJaak9BQVJaMlJtYVZ4Z25YdGYtSDJzQXlSc1BicEZiay13UHc5dS1kbFZMZG1fQ0E0UlFSV1ZfaGRsRFp5RGZIcXZYalB1OUlJZi1kcUZkLTh2STNFMXRCOEc1YjNJSlg5Z3ZWcUtVYmxCSVZJU1BQQlRIVjNZcEktZGZMUFNoWkNRcXlqTVhXTnpzSkxic2h2bHdaZVF2dw?oc=5" TargetMode="External" Id="rId59"/><Relationship Type="http://schemas.openxmlformats.org/officeDocument/2006/relationships/hyperlink" Target="https://news.google.com/rss/articles/CBMimgFBVV95cUxQQUduaHBGYXJUR1M3c2o0dkVoQlBma2s1azVacFVaRmxGdWJodldIT2U2M2tydXd5NlJ3X0UyODFSTm9ybS13OWRPUTJvd0ZpaVczeHRsVWlIcmJRc2ZJQjNyVFJKSGJuV3RrRHVYbnUwQVM1QzlTYjl3dG1jWW1WNkVOZFBDaFBnYjVWTURzVWc0YW90UDByZGlR?oc=5" TargetMode="External" Id="rId60"/><Relationship Type="http://schemas.openxmlformats.org/officeDocument/2006/relationships/hyperlink" Target="https://news.google.com/rss/articles/CBMif0FVX3lxTFB4eE1jUG9mbl9oOVNybUE1Tld1ZDFxWDNzMk1nemwtbUUxaTFKZlhENndYYTQ5b296SFJMaktaSW00cTlwQzFybVdpWlB4Q2o0ZktBOFlIZ1ltLWxMdFl2VlpYWnY4UXgzM2NHQzVJbG5wbzU3TTZqQ3FTX2p6LXM?oc=5" TargetMode="External" Id="rId61"/><Relationship Type="http://schemas.openxmlformats.org/officeDocument/2006/relationships/hyperlink" Target="https://news.google.com/rss/articles/CBMirAFBVV95cUxPdkZiVkZoRXB6N3QxMEdpZDNIR3VHWGhxQXBWYXdUVlJhYnZ5MHpHTXFYcjVyaHlwTVRyeXc0amttYVpUaUI3a1J4a21fTmdpWnYtRzRTa093U2FDWHZKbmlmdVpjZnZWZTJvU3JPdmdhYmRlMWpycFBDcE14c2hxVVlqUlJHNlljMUVpVjV4Q3V5T2FSVDZsU1h6TmJqd1ZlNEtoSVNGbkVJRTFo0gGzAUFVX3lxTE5aM2ZseEFkNEFzaWxIaHFkVk5HVHJXRkJMWHVoeGxkY3NFQldYWnFLS3dmQzBNWGlKMUhSVnpMTm1EeGxXUHAzeHVfRlktOVlGQTB4Y0o1cWxfUUtRWUlZallFOTdicHhONDYxUENROElfY2RsVTR6SW1pX3dsT1dkYVBCckxKRUR0ay1lQVk2cGtRRWI4S3ZjSGxXano2YU16cWlLT3g1Rl9aN2YtdWU1cEtv?oc=5" TargetMode="External" Id="rId62"/><Relationship Type="http://schemas.openxmlformats.org/officeDocument/2006/relationships/hyperlink" Target="https://news.google.com/rss/articles/CBMinwFBVV95cUxORDBzakxjZHFFQmExLWozb3BHUm5IU0hWS0c2M05LTFdWaWlPUXhuT3pNOXNTSy1WUEFkV1VJM1Y5TGxQYWZYUHhiVWhzX1RUV0NiQ2Ffbk1QUl96Z2hLV05NTFIxM0VuOURtcGlFdmp4NmRLbE9ON2g1QlRQZ0cwWFhyZG5OTl80X05ldk1NelN1N1h6dkNydkExMGF4STTSAaQBQVVfeXFMT3hBWDFjS3RRWXdNZVhRTHVXQkNGSkZWaG50eldzSktNemhsdUFramNJR3BndFVoZkhkVTFXbGZaSkFkRzBNOTNzekRpUGVXblB2UklucUM0LUpkZ3dFeE1HTGQ2WGNQRzlyQVFueVZXaVQwYjM3NHByS1U3ek1MQ3lSY0Z0cGZ6YXMyNDVUSE8wbnJ4eTJWTW95ckFTRWRodF9qME8?oc=5" TargetMode="External" Id="rId63"/><Relationship Type="http://schemas.openxmlformats.org/officeDocument/2006/relationships/hyperlink" Target="https://news.google.com/rss/articles/CBMiyAFBVV95cUxNT3duVE8wRUZLYUs4MXhzYzA1VGI3QUhUOFVaaTgtUDdEQWdvbnhfWEhPNUptV2hPM05oanVtX0pTdEFGZUR3UkpGMHczWG83V0FaSTgzVFlENjA4TGxVWjFWampVbXluZ1d1SS1SMmkxVDJnU3ltd0t1MVNRcjlaVTVhQVVKQnpwVWl2ejFEMWl2ZXQzMDRta1NSMzluUWpaMXR3Qmc0Zk5hOXF2Z25OQUVGTzYtZ0RmOERZUFZ0T2JIMEl6anlqaA?oc=5" TargetMode="External" Id="rId64"/><Relationship Type="http://schemas.openxmlformats.org/officeDocument/2006/relationships/hyperlink" Target="https://news.google.com/rss/articles/CBMi0gFBVV95cUxPVlZYRkp5YTV1WG1STDFTejdFNkZzOTVHU3ZzQ1dDbmcyZnZsV0xmTGx6anZwd0dROER2c25iSE1PODVVcHc1OGxBajJvc1BMR3dKUy1rMkwyWmVTYXp6LWhsVGNLY0hqMkFGWE4tcVVPMHJEX29SZi1TM3FQRXlOUFg3bGlibC1MMmdITnZKNGhTNUhrQXpPaWI5dXZLMTFjcUcxdVJhejA4SXh2ZDBNbUJNbDN0VDhsWThXUV9Ud2tJaG1iQkUtUGNJNTExMjBOUkE?oc=5" TargetMode="External" Id="rId65"/><Relationship Type="http://schemas.openxmlformats.org/officeDocument/2006/relationships/hyperlink" Target="https://news.google.com/rss/articles/CBMiiAJBVV95cUxNSWY1ZEZmSmY1SW0xX080ckZUeGJBRE5wMGVDczNWaEF3M0M2UnRsWjdqZGY5LXc5aVFSTkRiXzVIRDA2X2VpVEpVclQzLWUtX2JqYTVrbUxGNXNMei0xT2JjSHl0c3NKTFM0akowQnB3UFZwX0lnbHBQVkJDWFB3SW9lVks0QnNoc1BKa2w3YWg0VnMxN0ZCWGstLXVWN2hySWlZc3JFM3lVMFlOWjVjalUtWU5EMm9GUS1jOFJDNl9vX2QybGFFUVhvaTM1VVVTWF9jMUxOSDlTR1d2TEFlamU2VHJWWEk3YkpxeEVnUHdYY081UnVlaU5zdGhsN2tvX2RJc0ItSHTSAY4CQVVfeXFMT1JHb1VNQWdPdkdfSDl5RVJGd3k3LTBtTXptX05kQWU3ZEVvYlFjSTlCRkhyNFZqaGRNTWRXa3V4bjMwNThYc2VMZWZ3Y2x3SDFEbktma1p2eUJESl91U05sSy1wMS0tZnQtMl9zd2RONWN2aFlrc1ZXQmdKTzNxTERpQ25jYnNWV09wUF80U1lWWGJ3Qk9YMVpFZUlfZUlneHQ5cGtUUDZMdkhzNTRnSkdMNVhUck16Wi1QNDZ5OFd3eEFMUGdWNXg4TmJaZGRINFhUa2V4YXR4eU5DVHdVd3o3aW9mdUpnaU9HSWJEdkV4clNDdkdUaC14RHVKNHZMV0JVT004dEtTVS1jQnhB?oc=5" TargetMode="External" Id="rId66"/><Relationship Type="http://schemas.openxmlformats.org/officeDocument/2006/relationships/hyperlink" Target="https://news.google.com/rss/articles/CBMi5AFBVV95cUxNcGdDREhER2NiVVUwbDVNQnAzS2I1Rm1rN0pGRUlxSVM1Y3R0M2ptc0YwTXVXbHkxNFgwTUp5cDhwc2ZpNDYzalRRMDZ4cHFhSHpicHpxdjJaUHpMXzdzc3BtOGhYNmhOcGxWYl9JTl9wVlZudk5BbGs0WHBBSmhpNGxBRFc4cVBZdFE4ajVtbHdtUU1pc2tScXk4d3k5b0RpOU9iRG9jcVVqNVFWLWhJcnJaWjVFTUNpOTdoY01VUkZVM3pfVGFFWGdkaF9mSWw4ckpzLU1vLVhRRDh6akdHWEFxdF8?oc=5" TargetMode="External" Id="rId67"/><Relationship Type="http://schemas.openxmlformats.org/officeDocument/2006/relationships/hyperlink" Target="https://news.google.com/rss/articles/CBMi8AFBVV95cUxQTllGdnhlNmU3YmU1cGRMZG42SFpFR3pqVUtxS25DRkZQM0g3NjRNbExtbExTYVFIZUdTVWl1QnBUSjBSQ1FSaGNsbVV5d2t5ckhNUHl0a1RvNC1KYmEtUDZYRGpINVBHRzFLQVZJN0FtbXJCQlMxR19WTnotYUw5X3ZnYzIteHRxLW41UmVfdGkwRllROF9WdkttalF3dFlTTUdaRFlHS1lINEtRZmtWQ0sxQWNyZGhzT1Rvb3JIRGJCR01tclV2YklCM0ppVUVjbWZBOHZJVHFFbG5FZFlCVHpLNFctZHJzNXpCem1yenrSAfYBQVVfeXFMT3pqMXJ4SUJUZE5NTGZHVVUxWVJkSzNtR3dnZjVFS2NqczZINGJyLVNFOFd5WW52dmZqNDhIUC1HU3p3MzJSM1lFZ3hocERXTFphMXpwQWZ5RVRyeTZCOEUwZE5KeGF5QXFNMlYxSVA2ZjNyNTdrcDFQeU5hMVZteEpXa3hHY0JwR2lkcmxPcmk1d0tlM1g5MDk3bnFMblhWSnMwY1h0STIzQ1lKSWNqekFkZjA4OW1UM1AzcVZjS0NWYU9uS3F5d1k0T0d6TjJfOWV2Q3FKaG5Dd1JWNHlBOUo0eFdmMTZvNWFGOXJzS3RzbXVKeGNR?oc=5" TargetMode="External" Id="rId68"/><Relationship Type="http://schemas.openxmlformats.org/officeDocument/2006/relationships/hyperlink" Target="https://news.google.com/rss/articles/CBMilAFBVV95cUxQZGxUMDA2QWVvRjlORjJPUTVkOVVneVh5UFIzTmM3blBpZUd3VUVjSE9PU19MdVZDbndrQ1VieHhacGpGb2NLVy04Zndqczl3QnJPS2lhREh0aERYZ01kdHBYSm1vMkxvYy00dl9QQnB5VnlMRWcyRkRtYUhPcEljeUwtQXZPQnFpMGU3WEZ1ekt5alAx?oc=5" TargetMode="External" Id="rId69"/><Relationship Type="http://schemas.openxmlformats.org/officeDocument/2006/relationships/hyperlink" Target="https://news.google.com/rss/articles/CBMiwwFBVV95cUxPQnl4ZlhzRzAxZUFvZUZ4YkdkRExURk5TZ1prblZYY2lxVERneHdHeUE3b0JyOU9qSnIwdmdzQTI2VlpOVERBcC1ZUDIxUFNkcmFjWWVILUV5THlKVU9fQlhnY2NzUGU2dEkzZk40aGNJNUlOek9vOHdlc3JYOGxnUU9TZ3BpNm5xTV9yV0xLSkFLWXQ4Z1pJRklxb2lNTEdJT1lGcjV2d1pOQTRxTXNpNEQtRUNLV0xaS0VNWl9TTFBqVE3SAcoBQVVfeXFMUDcwbVlvWnNlZ3BHMG1ZUDdFVC1wcDNtS1dlNUswODJvWFJVNW5fSkZuOUZ6OHo1TXRKR1RZN1JxTmlEQllXOHlkNVdqNTlfaWZ1X292UmF3QTdkdWFZZzlWbnJaTEUwZEN3aEFsTEc3b091TVVuYmRIaXg5Z1ZIOGNrM0F0SWV2OGdaZmZVSFNRVUVRSGhGdHZYaE9uazFFU2MwMXVCeXBCWUxod0dOUU1UOTc2ZVZ6VDkwa3pJSm82Y3pLbXBESlF6UQ?oc=5" TargetMode="External" Id="rId70"/><Relationship Type="http://schemas.openxmlformats.org/officeDocument/2006/relationships/hyperlink" Target="https://news.google.com/rss/articles/CBMixwFBVV95cUxOUURHNnU0ZHl1dUs0X016Y1V2eVFSb0FrWERUWWstcGo3TGRna2RJdnZaeE5CZFN1SS1mNUozTUQwczNrTHpQWnd6NFhiRHpPWTFpU2ZsdXdyc1VNU19OcjJkU2hzcVJMdVdOTzBmUW5XR2NOclhGRGk0bnBnTldEZ3pvMFp0Rmd3SEFFRXNTcWRJTmxhSm93RUoyRVRiTU1TYko3Ulpmc3lMS3owMXo0SWdMT0o4eTNXbW5PZ3htaWV5U25FMWI00gHMAUFVX3lxTFByc08wRlFNaEpnV1lzTS1HS2QtaHFYLTNMNGpXbnRiSFd2MFMxbUFpc01HUDQ4eUgyZnlBZkVsaG1RT2pEZzB4Tzg4YTZxbTU2b25YOU9qZVA5YlBFckxVdHd2QUJhQWxkaHBaUVc3cWZnWENSTTFlanlKSFZKSUdMcWtuYl8tT1dJRGRwYld5U2lxdVhGaGJtUkxnR0ZYYnJud0pCUEo2dVgyWUF0M2M4Q0ZXWHViU1pzb2phZGNRYnVFNllCMDFRMjNXag?oc=5" TargetMode="External" Id="rId71"/><Relationship Type="http://schemas.openxmlformats.org/officeDocument/2006/relationships/hyperlink" Target="https://news.google.com/rss/articles/CBMi3AFBVV95cUxQSXNZN2FrVndqQTAwM3ZDQVpDSHlQaWt2WFRRWFZLNUxrdG5vUmhmODh4dFkxakNqLWNkODBuOXZvZkpFMUVuOXExVXdIbEhqbVpKV3NiaG43UkJFWWVzMTMza3kzd3BIZHJ6UUgtdzMxWXNFTEFIQjBQYzY2YktJNTdEbzFfaWw4cUdkZGVXVWluaFRIN29zRnhfay13UjZVbGRkNzVGeDc4bi1kVXdUcFBWNDkxTGNSRnNDdUxKQXk3UnN6MFFvc2kwQWRyX2s0V2podlFQTlNBMTZX0gHiAUFVX3lxTE5nYXlRVjF6SVI2Y0cyM1hlUjgzOFRrcFM0T2xzeDlFalZxck5ldEVpaGlkSl8tRjE0NndpdW54TjdfNzM4MkNnX2szUDRzaDhhTG1waUszd1lhc2FrLXlXZm1lcnZkckp4U1F0ZHdLXzhTQ0xfOUZRVzU3QV9RUWd4SkU2emxyQXFseTJzMURzZmYycFF2WHVkcmx4ZzEzWmpORDVoM3QtNFlrTUVlaUNhbUVHc2Y5MmNQUWxTalg3cVk4a244WllhUnJWd1RFX1Q3YURRczk0QXIwZGpNU0Zmanc?oc=5" TargetMode="External" Id="rId72"/><Relationship Type="http://schemas.openxmlformats.org/officeDocument/2006/relationships/hyperlink" Target="https://news.google.com/rss/articles/CBMiwgFBVV95cUxPdGYtYXJ3ejgweVZJSFZPOGIta2ZwblZxOXktRWg1M0VkMDVvMC1BOUM1MHpkM21IS2wtbTMybk1FYXFjdm9lQmdYRU1QVDBJejQ0LS0wcjEzelJlM3dpNmlKUVpnX1htd3hZaHVweFRkenRHeGZXcDRSZlVYS1AzbG1wcVl0Wk5UT0d0a0tzS0NCTzRZU3NsVXF6QkV5R01HS3JvcjdyY2hDd1c3b2wtemJzQXNHTWdWTkJyT0sxWU1Zd9IByAFBVV95cUxOWlRRY2J5dEpYc2xtQkJ2MEVscGxWeVBIellwS3VZVDNETEg5XzJ1akJRMldJM2ljMk5WbmpvM0dGWTg4cU1tV2pfZHJvNGM5RXZSU0FKYjZGSXREejdoQXQ3bDNoUGl5dUpiOVBpcjRCQ0p2bUVCSndwcDhwOUJFZUpNWVE5R3g4S2VtT1pyaXZRZWVjQVEzNnlQM0ZJeWxzd1JoOHhaSHNGM09qNGRqbnhLcEFxdHl1R0Q1YUEzcEpYLWtCZG9xag?oc=5" TargetMode="External" Id="rId73"/><Relationship Type="http://schemas.openxmlformats.org/officeDocument/2006/relationships/hyperlink" Target="https://news.google.com/rss/articles/CBMif0FVX3lxTE9QV3RBWEo5UERocXBPVkpFMU0zNVJnejlUYU1DblNEV1JNcUtqRGJPOUNVZFd5TGdRb3pFamRucXY0U2tVYUVuOVNrMkZ6Yi1EZVFUQ0s2bUQxRmJlVjlBWUNIVnVqM0MtZm81bDlsbW1GdnMtcm9tdU1RcEdPYUU?oc=5" TargetMode="External" Id="rId74"/><Relationship Type="http://schemas.openxmlformats.org/officeDocument/2006/relationships/hyperlink" Target="https://news.google.com/rss/articles/CBMi6gFBVV95cUxOcndwYmN2ZDliYlZuZzBNRDcwM2FZdmdDSW5ZX3dIT1FWbTR1UWpsUkV2LW5iNFV1bEJILTZPRmlOdHB6WjRja2JsWFZuTVBnVldpS0RWNEI0Y0xXVEg1TEE1elQ3dTNGbThRTEJrRm54ODZNOVJFaldLdWtZbm5SLUo1WU9QNlNkdV9hWG41LWZSNDZrNWhaLWRhSGtwVnBIRkNxdGFHM01wdG14TWJWbmlNNWwyZUdjRnhzRFpFN1hYMnUyZU1sV015cURxZlY1UGUyVGh5SjBWYThPdEZnVGRhMExKSDI4ZEHSAewBQVVfeXFMT2E3cEVld2s5Q2QxT1VOSFhJUVBtQldHd3l1R0Q3cGxZdXc4ZFljWVFyQlFobkJnZ3JraEdwN19jSWNUWml6WUtubkJmYV9fTTZsNGRqM0taSHBRWDJoX0dyTFg3bjJLOGZmaFo0cDlacmRyZ3RxMFJLNGNHMnZwelZTaXlfRXotUHhmMy1FdWYzeUlheUVBcnRpSFdZMVp0V1dRLTJzTXZDNkg4a3lrYXZJUE5FOWEyT240NUx0cTJjWDJtaFRrQ0I3bTBFTFROcVFKeHgwYjNqa1djcGl2RVZkR3Ntc2p2OHJYbmU?oc=5" TargetMode="External" Id="rId75"/><Relationship Type="http://schemas.openxmlformats.org/officeDocument/2006/relationships/hyperlink" Target="https://news.google.com/rss/articles/CBMi0wFBVV95cUxPekExNHFieHhZTmJaSU5DYXkwaDRJSXVDb0ttOXJIMFIyWWdmdTBaQUxSVk5oVFBPZk54bV9FZXZvUVROTUVqbDZGMjVnUDQ4SVAzY05sSFZweVRiYlRmUlBWUk9vWDN2Y1FJaUNHT3habm9VakhQUHhnZUJnM1B1SlMtNjlnOEctN0lWUTc2emlSRW43TnFLUGNpaE5fdnhBSTRlRXF2REQxakg5RXhqSFZrRDZyNFhtMlFXd2E1X2MzT2picnFNaFE3Ty1JNy16MjRR?oc=5" TargetMode="External" Id="rId76"/><Relationship Type="http://schemas.openxmlformats.org/officeDocument/2006/relationships/hyperlink" Target="https://news.google.com/rss/articles/CBMi0wFBVV95cUxQVENJOFFndVJaR1h6aTFxRl9WcTFva2k5MjgxOHFJd25PQTZuTC1LaHY2eTNhRld3R1ZJb1VpT2VJLXFLU2FlVGNPdUdBNk9WOV9QcG9TbThBOWFnR1Q2ek5xbUpJZWVLZFdlY0plTVI2WXhYT0lqZTJtWUdBTk5Od3REbk5TYVl5MjhTdVA1TWJCTlplYWVLc2dfV2hvbWptZzlJNEU0dkNhWDRwZ2ttdTNRSUxUbzlvUGExNVNHMmMwVkExYTNtaXc4Q1ZpUU9jUy1j?oc=5" TargetMode="External" Id="rId77"/><Relationship Type="http://schemas.openxmlformats.org/officeDocument/2006/relationships/hyperlink" Target="https://news.google.com/rss/articles/CBMiqgFBVV95cUxNM2ltWm95UElYQks1ZVF0T21aN09vOUQ2TXA5ckZXNGU4YV85V2Nqb3VmVUsxTldkWTR2WEdvdHk0c01BaDdnbGQtT1d6MEk1b0l1MHhFX3I0cDVLZ0RMMDdDNjE1YnZhbWJkSGhrSGVHR2Z4RTBwZEpwa3VjNnlQZzdlVFpQVmQySlVqV3NHWHg5Rk45RzRZbnY3aFc3OWhHQlM4aGpwZkFrQdIBrwFBVV95cUxNQy14MHNUSTFhOXFUQkdKeWpjLUhTRmhhc2pEaHpUNDlYdG10RjJxSW5UVWU1d1dzMVZVWGdRQVduTmJWc0xkaGlheERUUnJobGQ3d0xqZWlWdmd6bDlGbGVDR2VkRm4wZ3J1QmZWOHFzX0dxMlYtY29RTjV1YmtoT1hhV1dWd0MtcXBoWHpmUFlHT3hNZjJOLU9HczZ6N2hpR2FKOHVqdjFLcG5UUXBZ?oc=5" TargetMode="External" Id="rId78"/><Relationship Type="http://schemas.openxmlformats.org/officeDocument/2006/relationships/hyperlink" Target="https://news.google.com/rss/articles/CBMiugFBVV95cUxOVVhfRHpsclY5cjFFXzdINEhyVnpwOGwtUDRpcEVfUVpNMTJGLXVzYWhzZHVScFUxaG5MNG9wX1pWQmJOUUFQUjc4dk53OXNTcUJ1OHhjQ0NCY0c2bk5IX3I0bVE2a0hiMGc4bmZPaVg0eDIyaUpvMzJJTEtrVEU5YUVzVndfUTJlYlF5R2JHSWtQVHJ6TmJaWEtRMEM2RXpQRkVOTkJXM1dicm9TZHdtbXhyeXVFS1RDYmfSAb8BQVVfeXFMT0Y5di1BZk5SS3RSR3hPQWs0T19sd2cyMGZienk2ZkxLZFZaeDBNcExZemJaNUF1X2dSeHFaUjJ0ekZUbmdaQUg2eDV6NUpVa0VONWpsei1OSjRGYll1YjlIVmpwbC1WQ1g1TDlxUnNfZjZVZXBSVVZtNy02NU5oNnFsN3FUR0ZGZ1JaeTFsV2FVOFdDUk5UQU4xaTZ6SnVOUy1PUzBGWVB3UmdrSnZnSGo1Yl9sQUM4VktadHZoYWM?oc=5" TargetMode="External" Id="rId79"/><Relationship Type="http://schemas.openxmlformats.org/officeDocument/2006/relationships/hyperlink" Target="https://news.google.com/rss/articles/CBMi5gFBVV95cUxORXJaWjJRdS14UmxUNlRCN2tyU3AyWVpaRTZWX3VhczU2TW8wRS1tNlpIenNqdU9SYjRnb2o0UjVoS29DSFhFb0t3dWZOYmotMWZHc1p6RXE2b2dnYjI3UUZObEtodlZiYldsejBVa2pGVldrYW40YVYyRXEzYXN0Wm93VGZrZHlKSGE4STRQNHdudGI4d0NsRDdoS2xsa0tlWndyWUt0aFNXVWttQmkzUER1UzFPeV8wTXpDUDZhNk9JaVpzaDlqSEhKNHUzVDA3amRKMTMtdm1tYzk3VXA5LURnbnJ0UdIB6wFBVV95cUxNUWYxa3hpckhZYXBRZ1YxYmVpQ2NPRHFNWUc0dVhkN2wzbmJEckJQVUEtRXotclBYelpsZTVkYW5acFA2QVI4Ym9kdlVaU3hjU0dkN3Y5Zy1uTEI4UmJJM2dPUURhblNSQVpyckFWLWNIVHBsUDlEeXcyZmw3YWQ5ampzRnJ1eHRPX1M5QkNfVk82OF9YaUoxOVJ0empmNXl6WkJuaHJreHBBOEdYZmc0dDVEeVhmTXhJUS1lUTc1ZUxNRE9mQ1ByMms5WFJ6THRKRi1aXzRJd0R2OTViMzhlcmR4WGtXZzllc0I4?oc=5" TargetMode="External" Id="rId80"/><Relationship Type="http://schemas.openxmlformats.org/officeDocument/2006/relationships/hyperlink" Target="https://news.google.com/rss/articles/CBMihwJBVV95cUxQUGRJM2YwcWlGNzgwM0s5dXo4WEljLTVqdlk5OEo0WHY3c2MyeC1IYnhUYlNyN2NETmZ4OEtlVGQ5engySzdHT3Bia1A3dFV4T0RWSjJVSlZTN0dRTnJCN05WT29NOXd4SzFlYWszWlgwN0hLR3pwTVNQOVhkdkw5Q2p0X2ZuUENnSVZaX05ULTBqa1RkTTRXYXc2S3hreHJpa3BNeUZxaHBCRlVyM1d3QlV0RU1FLVNhYnRQWi1ZZHh5Q09zZ1Z6bDJUV1F6UHJxVGg0dGFPTFVTNXpYTzV5SGh1enNTdlBkVmJGTHg1UkxFRzhySnVaNnZjYnJLcmoxRU43MmpiMNIBjAJBVV95cUxNMlBfRlFDRE92MGN3dnV5ZjBYaTVZWGp4WlN2MDc5VUlSVzh2X0RlWHY2eW5xQS1YUXRGT1RrWm5sdUhaSzV2VjdobEtMX1BncTVfWlhvX01IbE8zRGthSHZrTC1KVG45ekh1cWlJR19YS0JLem16NlZZZTJtRTdJbzZ0dVFvVkg3MTI5SURfOXBLajhZdmZlVFg2SmhpdEpSVXZhZ0NmWURYbnViX1l3M0VFbEtOX2lhVkJrblJMNlMwaVRBeFR0Vnl1bm15a1F1dGUtdVpxSnh1NWN3bkZKMnB3UU9ESzU5MEhDSW5OcjVPMXF4MExxYk5iOTBUek5GczBNTjlDZ25NZ3dP?oc=5" TargetMode="External" Id="rId81"/><Relationship Type="http://schemas.openxmlformats.org/officeDocument/2006/relationships/hyperlink" Target="https://news.google.com/rss/articles/CBMi2AFBVV95cUxNN2tpOWQwRFdubDZXbUdVTnd2YktOYmdLNXZNN2ZHTFBkZFZpTzZXS3FVb3pXM2c4X3RDVllVX1BuS25LQnJsdWc3MVphZHJPUnZ4RjRob0lpR0h5ZW13S0xCMmZQM3pMSlZMWnUwdERtUVRBOF91eWJMN2hxdEdESDNBcjhleVlCSzV3bjF5b3I2MW8tWTFhNnN6X2Q0bER5c200bXBYNFMzdXBHekZVUTJsSi14QnBrSkJmbzRzVkViWTZJZUtYMVJEcmZlN2lpOGpkSG05UGTSAd4BQVVfeXFMUEw4ZUZzMnVuVFA1OXNQeVd6UjdBcHk0aEVvUGxiR0tOU0s0X1BKZlJOQk1lWGVyb1FVM1BaNDZhYmRRMlE3X0JXWlJNY09MOVNWNGl6UDFTU0ZFV3JJdUdwQkl5VG5vSXZTeHJDNTFiaDIzYmM3N1BDQUVBSlllSE1aTjRGXzlRcWsyRTFwSjBzRm5zd09hb1U1eVVtbHhoM3pHbzJkVkZmOGdfS05qTTlwT3d1TDc1clNobFZJVjBkMFg4NFRjcGlrOWF6VkN2M0ozYmJOQjF2bURiMXFB?oc=5" TargetMode="External" Id="rId82"/><Relationship Type="http://schemas.openxmlformats.org/officeDocument/2006/relationships/hyperlink" Target="https://news.google.com/rss/articles/CBMi7AFBVV95cUxNM09pdWRYYmtDa1p4bnc2SDMwdFBhdHM4bXQ2MlZnb2hsOHZfZEpvdU1fWjBsTVI4RlZwV1lMNldqQWtMaGY0R282Rlhwd19Xb2FudjhRUHVIemJkQ2d0QmxnQWd2RDdhYnJVak51b3lHbERSMDQ5TWRNekpqSlZBc0pOTGtoSGl4M3RBRGQzXzdZMWVTQVhTNmVjdUZXMGlFblpQUDdxTWI1emllMnRMOGlIVDk4aXVqMXFUTWVpVm91UHlfUzdQREZWTXljbnVadS1TWWFRcFA3X19PQURRdjR1eTV1YU8wQkpDVNIB9AFBVV95cUxNOVYyWmZoeVpuQWMyd1YtR3FSdjhQaTBsZFhGMHlQYkJDRV90M3lTclBWZ1pDdElKbXBFZThJOTBsZGZqSkRibEJwellNakpFZEZfYWdqSEdWMm5vVVh6VVBjWUFHbmxGS1FXWWpnaWNtbHBKbnhJcnlRUEU2NVFfcFRCam5nOVk5MWUwWkREdTFMa215QkNmUjRqWlU3bEVoWG9uNkhXV1NHQkQ3QzlXc1NvZl9FS0czZWgtTUtxYnR1bjRGT0VDZndJZUZ2TjNpSWZrYjhldkpBaXVLSGVNRV9URlZUUDlOcHhuUUNrNXZrVnpy?oc=5" TargetMode="External" Id="rId83"/><Relationship Type="http://schemas.openxmlformats.org/officeDocument/2006/relationships/hyperlink" Target="https://news.google.com/rss/articles/CBMiggJBVV95cUxNelR4Y3Fnc20xbE9zM0J5Q0hkejJnX0xLOWpJSWFiNGJHUzRLTlRURDZUalpRR0RfUDFWYmZNcmVZeDN2Um1ucTRKUG1RdDdheGN5MlA3VmlxUl9CeHo4UFg4dmdaT21TZy1oNVpHdUxua2NlXzkyRkJUZC1BRlFQZWsxNEExTzdDMGgtTTBCT25UcU10WnJGcFNteHpPUU05X2daV0ptZkNZMXRQWVJ1S2FGc3hha19tdmJqeUdYajJ5TXpDTGw5SGI5cm91bGc0Rzc0QlhPVVk2cWJ6aEo1UmpkNENNQVZXWmRRdXNzWEhpZVdSSzAzaktXNWFmemR5bXfSAYcCQVVfeXFMUHN5NnlqU3RKdFdqbkJxenZDU3ZkWFhDemhuWXNXa0d1eUdFbnV0aC1Wa1VuenctX2loTGtock5yNUl2WjViaG9mVTE0aHI3RFg0Wnk3ZXhRcUhIc2I3N1RrdkFHLTl1RHJfeHYtWjJUcTYzSE1xX1JaWjd6bFpiOUVlQjhxbHY4emxpcDNQRmFONFJfdXF5Z1dYdHR5cTVzT04xcW5OYmM2VFg3YUJVQWNPWnk2Qk9wWGxLUzR0VHJLMHpMNUdBVWx4emxHWGU1WERGczVwOFYxRFo5ZDc2R0ZYbVhvZjhyTVRpT3BKLWhyMnJtd1R4UnhpV2RJbXZTRVdwWFRiLXc?oc=5" TargetMode="External" Id="rId84"/><Relationship Type="http://schemas.openxmlformats.org/officeDocument/2006/relationships/hyperlink" Target="https://news.google.com/rss/articles/CBMimgFBVV95cUxQQ1pWNnU5Rl9feER0WXN1ZFB1MmdLb1pQUFVvTTBFTmFDeXBMd1FWbEdTOUZ4a3hTMHhXSUlSTkpnVFo2N254SHV6YWJoS00tTEVxaWZ5UFNDNTZ5Z0E4V3p4dXVvNVByR3FRY1Vib0hSd2ZOZG9qNUJiLTRhZWhZd3h4VzNUaUFYeEVDVE1FdlBBNENGeHg2aWZn?oc=5" TargetMode="External" Id="rId85"/><Relationship Type="http://schemas.openxmlformats.org/officeDocument/2006/relationships/hyperlink" Target="https://news.google.com/rss/articles/CBMikAJBVV95cUxNd0NvRVRSTDduVC1XRTZSdGF4N25IeTIzSVVRX2FTOVdyakkxTkd4aU9ZWDgzM2tiTDI4dG9meHNRbmJQNEtiOFdrd0R4ZzhGYUlMaC1pbkFkLTM1UXdydnpvYWxaanE5Z2MtRkpvV01ZeV91YkFuYkVPdXVLT1hYdTNvNER4WWtkcmlUVV93dEtUSldpRmFPbUp4YjUway1BcDJuQVJfS21tcWtLSE9vX051N1I4enFFanFrY0hmUFhSeW5ZSE5wVThybElpTFFGT202QllJdnVPUm0xMFV0Nm9HM3BJZDRlSnNjRXdrbi11N3plak83N0ZhN1Fhd01kWloxcW5MekFIZEZNbmRZOdIBlgJBVV95cUxOUm1GN0VHQ201M1JmT3JES3FLOVA3UkM2X1RjOS1zMGs3MlNkcmFjOWNTUTZWUU5MN2FtRFFUVThDTjhOQm5ZNVJSSFFnRWZ1Mk94dUx5NmhDX2VIMjhHZTgweTBCQURQdkNEVHhGMDM1eXBmRDZfcnRzOFFXanNZQ3NSRHB1aVkwM3h6N05TaEZDcTNmZzlURjF6R1BaRlIxTVhzQjJnRmowb3h2UWpWU2laSmgyY2ZUNjNTc1EwVjNvSzlicFRmQ1Nzbk9hTDI2UjN4QXVCQXItYVhrYi1xNjhNeERVb1kyam8xeXFhTHRLZHI3V0RreFdMbXhlRDlyOWNKWnFGanlib1hxYzhiNnZsMVg1Zw?oc=5" TargetMode="External" Id="rId86"/><Relationship Type="http://schemas.openxmlformats.org/officeDocument/2006/relationships/hyperlink" Target="https://news.google.com/rss/articles/CBMi_gFBVV95cUxQVEVvQVUzUGVfWnBFVUVHZnlXN2p0RWU5cEtfWHRscHE4S21RZDRERnhVblBZVzZWWkVudWlQc3N5Nkdod1JxMWwwREs5MWdfX0Z2NlRmVUJhWERtdUFXUENZUWlGSU94Zm9nTGNlZXp5LVp3WXpPTFpWalJGOXZuZ2tMV2Vld0E0NzlMTWo5eTNTNV9TNWNtX0FFLXhPdTZXMnBVOEJrWE1EVnlaeWNqZS1BM2ZfaDdMT082NXQ2VWdOZFhiblNYclhLbWM4S05sd010SWpGZzVHbmgxRFhxWGlsY0VzdUNIcmx6UDVDWElOaHctSmx0Slo2dWQ4Zw?oc=5" TargetMode="External" Id="rId87"/><Relationship Type="http://schemas.openxmlformats.org/officeDocument/2006/relationships/hyperlink" Target="https://news.google.com/rss/articles/CBMijwJBVV95cUxQd25zczBMcWMxSmhGWU1pR01iWG5pMlRtTUwwR0ZOWl9ZbTdNQXZ2WEdLTk84SEFyeGl0YkFRazY3STl5Wl9zU1JRd2hMaFZtNzMtempfdk8ySDVQcV9scVFoU09WckgwV0RiMEJLQkxweVVUVUVCWU1zQ3p6Q3ZRTDBhUlFzbjBKajE1Q3BOOURaVExFR29JVzdSWnRJUE95OTgyaG1LVWlIWFJ6MFF4aWJGODQ1M3kyRkdyd2FrYmRrYVJ2VGwwdWxaSEdYOHdWVktIMFBvVjJZN3l6aUhLU1h1aWw3Ulh6aTBSem92SER4WWVEWjQ5T1pJbzE2bzM2NVY3WGc4ZEhkOS1xcUJB0gGUAkFVX3lxTE9iTF9TQkdKRHR6MEdPS1ZCaDJtYXFvTFUwZFJQM3dWdXZ0MkJmeHNneFVpVUEzZkNremlEMWJDUDdxQ3dBTnlwOU1GS1N6YmZsNlNOZUpPdVJrQ2p0eC1xUHJCUkN6dDM3dS0zMDk1c21XeTZXWGtsNUx0Z1hydndCYm9fS3EtMWpuOGFpamdHVUZFTy1ycFhpajkxZzJTTWViOVY2OHlzc0JWYXFmbDJqczdYd0FlaXhpVkc3QWRmTU00alRpSmVDamhHTUhlc25NVFRlejhwOFpSNjc2c2d3X3g2LU5vZExadWdORkxOUGR3c0VaRjNiTzRDNW9UVGpSbnFVaW1BejFpUE1TQW1MWGZzRA?oc=5" TargetMode="External" Id="rId88"/><Relationship Type="http://schemas.openxmlformats.org/officeDocument/2006/relationships/hyperlink" Target="https://news.google.com/rss/articles/CBMigAJBVV95cUxNSlpCZHRtdU1mRHhwdmZTUWZFd3lpN3A2bUxuQUR4eFNZUm9xdkEyRmN5RkRIYjlUVUVyUWVCNDRnSmlpZ2d5bGI2NU5weVBBcUdaazhCcnotZklaUWRKMy1JbzBiR0otSktubEpFcDRGT2ZablZnVXNkbEJLekhMZXpleFN3WF8wMWFNcmEyRVNnQVFTTXR4eGpPOWJsWXFnemhsSE80U2IySWFSdkt3WEZQRFpQcUY5VDRVcW9YbjJXdzA1T2NwWkY2UENKZ3lJX3BaMFkzT1NKMVVaNnYtUXJPTXBHbWZVVWVld2VlV3ZTUm81cnpEeDlNb2p6eVNa0gGGAkFVX3lxTE9CX1NSZFR1dlFHem5UcVVXbmJCOGhweGtqZkZFZ0VoRDF3WVNQcTBLMTBxTzhwTkE0LTR1NGlZQ0VNVERKdk0xNjVPVTAycFpidFBVMGlLdG4taGRnVElxOTV3aVpmYzhHU1M5di1EWlJqUkE1bVJ3MEEzV2xyaFdOTjhWSTRXRWxtR2lWdW1Yb1pXMUVEM2NlSm9JSmhlRl9keVdGaTdFMEtiblNXRDV0azdfMUN6eDZyWXdEX2MwaGx4WmxzdFI0WlU0U1dkNWQ4OEpNQm9nZGx3anFMbXY3V1hPUVdpOW9JMHJZVURSakdPS3RVZGQ3MkwwMUY0MGtwZnowelE?oc=5" TargetMode="External" Id="rId89"/><Relationship Type="http://schemas.openxmlformats.org/officeDocument/2006/relationships/hyperlink" Target="https://news.google.com/rss/articles/CBMirgFBVV95cUxOMTN1ZnFndVJWS25ybjFfblNPT2JQUThIRUxKR096TWxlUDhlSVQ3U3Y2dmZQZ2wwRkt3Z0owaWRxWXFPNUZVcDNEQTl0UHJkT0dDdFhPd280OG04VFBpMmREUDM3N0xxZE5MNTRYRWlmMzY1X05mdkt5S1AtTEdLb1ZJd0pIZFVGeWZmcWlWaFJ2QmthcjhYRzBKazBpeFBucll4YlFLNl9ENGRCZXc?oc=5" TargetMode="External" Id="rId90"/><Relationship Type="http://schemas.openxmlformats.org/officeDocument/2006/relationships/hyperlink" Target="https://news.google.com/rss/articles/CBMi3AFBVV95cUxPRUZ0YVJsTnBQVXVOTk43SDByb0RwaDdMR3k2dURLNlhHcVhNME9MQjJBazQwSTJ2SEdRQVFqS0tjOS14OWFTd25xeC15QkZpSXUyUzZ4WTlCVkpTZlBOa1dyamRoeWhLbzJYUC10ai1DUEFZQTFxOUxYWHBlOVJxU3VESXBzeUhjbjVaWDlFRVJId3ZId21YUXA4YzJYSjQ0M2tCYTJLVElwb2ZjYVhTajlURFJsX0NXTzRVQWZxVlR2OWp3bVhnTWhtMjhlb2s1R29nMk5uQjVBZHBK0gHiAUFVX3lxTFBmckdqOEpWNzdMTTdhUVd3OUpYZi1tYUxQOEdJdnlQVlQwNjAxNWVLMGt3cDN6dmtXYmdmTUp5SGxXcVp6ekNYU1c0UmRHc09vSHpSX2djcWp1VmdFOUVQWHF1dGdmQ3l1NzI1MzhwbjJBZmo2SE1hUHpwWDJUNFlOci03dUl6MXAwUklpOGgyaEdpY1N3REh1MDNrUnlvU0xaZnRrRmREeGlsQS1DVHJsZUhiUV95VDdicHNUaGZ5N0dGQlB0ZUZsV1lSUXdkNHdUaGcxTkRtNTNiUDlSWUFYTHc?oc=5" TargetMode="External" Id="rId91"/><Relationship Type="http://schemas.openxmlformats.org/officeDocument/2006/relationships/hyperlink" Target="https://news.google.com/rss/articles/CBMiuAFBVV95cUxNR2loRVl4VmFmUTQwUnNVdTJoMnFBZGFfU2M1UDRhUVpIUUpneGN3amZOeEtZZlpkVWl4U1hULUVjdEJWYVJlZDJJLWk4UHpFaUpHeF9wRG93Wno2aUN2amJXTGtZd2dfa3hNOTBJbmNYajNqVXNWOUZXV180blQ5SWtBMG5xR2tiWXlrUUdmRWdIX2dncU9ra3ZlTjhNZUpRNjh5aHRWRXJDdHg3ZU5UeVZqZld5WFRh?oc=5" TargetMode="External" Id="rId92"/><Relationship Type="http://schemas.openxmlformats.org/officeDocument/2006/relationships/hyperlink" Target="https://news.google.com/rss/articles/CBMi0gFBVV95cUxQamZwTFZweXdGSXUyYlBrUTItN3dlY21KWnMzTTZZR1A3bjNUT0VlLUdEcUI5VXZPMFpJZ2pMWTg4ZTZlU19GUUtnVUxyREh5WWJsZ183VVNyZC1TRng2Q0FOdnBwZVNEY21QYWI1ZHpQbHpLazNnN1pZRy1nMTZIaFdVaXNPczBjZEo3Q2xwVjJBemhtcmlmekhzVGJycUV6WXF1aG1wN0w3YkJaWVhsamVpTzl2X0VlYUJIcTNMZVQ0X1ZBMGt5TFNXZE5EbEdYUVHSAdcBQVVfeXFMTTIwMWlXOUxSdjgwc09kX0NQMm8tMklJLXlfNk9hbnlTR1YyVU5ZMG9IcDdLNVVPZmZiUUF5czVWblAzOXhMOWNvYXFiZmhISnYxb2d6ZFFUenZJZUFXcEhhd1pqWVJRZkZ4d0JNc2hiQW1nMU1ZbXlzQ0ZPNVdLa0s0RUViWVNLSWpMdnlSSHh1bUNMWk1GS2tEdHF3U3FzNHNPMEM2LWU0SWllaGJxSzdneE54UWNNXzhjQ0tONVZEQlBRWUktaFFmemk5NmM4UGNZNlRmYnM?oc=5" TargetMode="External" Id="rId93"/><Relationship Type="http://schemas.openxmlformats.org/officeDocument/2006/relationships/hyperlink" Target="https://news.google.com/rss/articles/CBMiwgFBVV95cUxPWmhhOV9UbzdzUnl1d3d3UWJ0WHdUVTFnVy1CRDlOaEtJRURFeG9MdzYwemoxblZHVFEyU3ZsSUpfd2R1QUVmRFhDakRUbWJvYTg1MVByOEtJZzhuZndaRkdHaU1BdGQ5bWVIMzRudUxYU0lvRk82UkFqd2tId2JMSDNVT1oxUzVPRWRsamprWWo2a0QxRXdGUUxhME03RWNTMmwwSmMxUkNkQS1yRmI0WUJ4X09BZWlTY2JxNG00X0Mydw?oc=5" TargetMode="External" Id="rId94"/><Relationship Type="http://schemas.openxmlformats.org/officeDocument/2006/relationships/hyperlink" Target="https://news.google.com/rss/articles/CBMi3gFBVV95cUxOUkZfc2syemoxZXByVTI1ek1maFRlU1gzOHNJWjVrT0RfaTVheGs1LWQzcVdkX19WS3lUTWlBN1c0UDQ2eDVGalk0MWl5Z1YwN3FRU3NfblhfbEdCVHBmOXVXaC15dWxkUUNLUlgyMHdjODFkcThoS0EwTWNMMEN6WGdFbnc5ZV83OW85aTRfMnFsZ1hwNXpPVDhFVTV3V1czbU1idW1MdGh4U25YejFZSWEyb0txSU01WEczcXNNLUlEWWV2SFRGMFZ2V1lqcFVpVlRvZVN4WVlkVEpZMEE?oc=5" TargetMode="External" Id="rId95"/><Relationship Type="http://schemas.openxmlformats.org/officeDocument/2006/relationships/hyperlink" Target="https://news.google.com/rss/articles/CBMimgFBVV95cUxPVU94dFhyMVNPZFBOeklEbER6NHMwNzZpZDdzamhwdXpTYWZjWkh1cVN6WFhGV2UxZWlyVEZrOUlRak5NSFQ5UWstcjFjMHNzWFNuTzZaRUFVWXVhM0YzU0F6clJYMWp1VlBSOTV2SEdTYlVFbTZkYTJQMzYyNzRZWllNaWhDWFduSmhKcmxicm51d1JuMGVjR3R3?oc=5" TargetMode="External" Id="rId96"/><Relationship Type="http://schemas.openxmlformats.org/officeDocument/2006/relationships/hyperlink" Target="https://news.google.com/rss/articles/CBMitgFBVV95cUxNekxkRmJZOTE5cGJkc1V0WmJnalVfXy1MTHlzdDV0OHFObTY4LTdlWDVPSk9aajJpbDlaRjJIZ3B3S3MtUXhwRFRRVEZhN0ppVlJmMVhsRGh0cDZNbDNVMW0xQzNjZjRHSWpYb3g5Q2FZTVh6QnA5VFlZLWVXdnB3S1Z2OC03dHhoZXJkTWUtcmVrVU5neHJsZ2s3VlF0dG1EWDREaVlJN2ZjS3hwb3ItR3lsLVp0dw?oc=5" TargetMode="External" Id="rId97"/><Relationship Type="http://schemas.openxmlformats.org/officeDocument/2006/relationships/hyperlink" Target="https://news.google.com/rss/articles/CBMiugFBVV95cUxOckJEMEtFUTYtLXN4WVA3R1IyaUJwZFRpb0dvRzVIbG5VOS1KYjhiM21QUGtxak9ibWhsWFJCSlRFQVRGMTktUW5Hc1NOa0RmWUhVOS1oajU4UFBmOUtmTnZmS0w3MGppamI4N0ZBRFA5NHpKQ0pYaE9PWjdBS0ZiV2xYSl9UcTdBSmhNaWZQWHFVanYzazcxWFk2eWNjQ1dJOUxkOXVuUi1VU3B5NnhUTk1RYmdpVGczQUHSAb8BQVVfeXFMT09KMExneUEyNDdWV3VqTXJPSWJGQVdVWklWcWJlWFh6MTVyLTA3XzRSa09xNkgxSnJySHJ3ZDl6Wng1NjFXU193TmtnUnUxUHk1dlQ1RURDSkcySDNPTmVwdjdsWElPemJUb3NjUWw4U2VyRVhpU3E5ZXQtczNUbzJrWnVRbGFia01OUkZmVDRPWFNhNm9HN1djcXJ3ZWxNRGtOYkNWcmVxa1hGdXFQNkthTEtxbXpVcnk0djlUdWM?oc=5" TargetMode="External" Id="rId98"/><Relationship Type="http://schemas.openxmlformats.org/officeDocument/2006/relationships/hyperlink" Target="https://news.google.com/rss/articles/CBMi6AFBVV95cUxOQkJxYjdKY1ZaUEpvOGhTWkNjcWNJQkRtcHBSendLbURRWk13SGZ3dHNmVVN1X3M4dkVTU1MyNkdoZmVGSlRqOXVXbjEzX0FoaUJTQXZXODBQR01tcFAweUJuMmlvOTZoZE1JS294bEJoTExmb0g4Wl85RTZMYnI4bElEZkVxdDhxY3NEZWMwQUlkNmZKeFMtcm1nRW5yZndpRC1vOGtlbjE4UzhId3Q3djlNQ3lRRlk1d013ZHI0UGlaTHFzVDFkd1EwbGdaaTRSUGoyNWw2SnppNndNbjNhQVFOTzgzYXEt0gHuAUFVX3lxTE1UMl8xcEVfMW9lYjl0Q1JvZTExVXZmNm1EUG1vUlpKZlhZS1p6QWp5OF9zeHRNYmw2OE1ta0tUbU9pcmtybFNKbGdPcTZTNDZKYWNKQ0d1elNpcDlzdXVzQ2JrZE9KNlcxWXJaT1VZbVhZV01ybjJURnd1cHZ2SDNDMHJfdU5LVUZlbFJJRGY0Q3o1TGJhQTlYdFl2Y0k1eGJaQ0Y5NHhqMThGWEY2MXZyWXcxNmZxNTJRTWtfUnVOeGxzb2lNRFpTRWNfeGotR1dIeFB3SnBULWVfSVNGMTVMOHVDcjNPbEFreVBvbWc?oc=5" TargetMode="External" Id="rId99"/><Relationship Type="http://schemas.openxmlformats.org/officeDocument/2006/relationships/hyperlink" Target="https://news.google.com/rss/articles/CBMi4AFBVV95cUxPLUlfUlJUeWVjbE9KbDd4eFp4aFJUNnZ0NnkySW50NndBdGI5U2Fza0NFZnFGNEdJX2hiTjhjeUJKQ2gycmJrNDU1MmViWmtyNXk3dWZ4bGN1TUpodHJpbVlrdXhpMDVZaERHV2V2NVFobVc1akFIVE4zUm5mYklPU05MUEpCOW5RRjdrZFFuUmVLU2hjQjc0bll3dlhkZlVJbWFlWmZpZ3J0QWk1SHZKclowRU9RSEt4YUdCcmJVY1RqMzJFdHAzRU1lVWNIaklZX3BwN2hjVHd1azgwYmVQcg?oc=5" TargetMode="External" Id="rId100"/><Relationship Type="http://schemas.openxmlformats.org/officeDocument/2006/relationships/hyperlink" Target="https://news.google.com/rss/articles/CBMigAJBVV95cUxObXdLMUV2eVRrS1hrZl9CS0FjNXZNRUZ1V1dKT0hwZ1d4NVlpZlUxTzJnbk96UUdzM0V3WlM1RW9DZEFsTVVxSG93LW0wQ0tNNTZrZ21CcV95YUIweXdfSkxULUotVnNIbkc5alVPcG9qdUNZcURWZjhuemhJRzgwa0tHZktmR2tsMjNqbExYZ1V1ZWZFcnotU2Z1UkpsaUZLX1VFQnhLMHBURDRwa1dubkZnSTVNWmI4b19EVy1BSDFmSFM3OHpqdlJaYmx0UU5TSXNUZWVqMUFKMXNFV1FkLVc1M181bmptUl9ZaGRzS1ZJQ29Kek53aktubmNoVnpN?oc=5" TargetMode="External" Id="rId101"/><Relationship Type="http://schemas.openxmlformats.org/officeDocument/2006/relationships/hyperlink" Target="https://news.google.com/rss/articles/CBMilgFBVV95cUxNOTdkYUFNemdmRzJSVm1SSTlQa0pYQVJEN3drNWtBeWdDSjF0eHdUTnoxVDZseHR1VWNWakdhUG5pelZaN2czQld0RGtHUG1yNlF6NUp0SllkSEpPaklaTU00MldIRkl4VGo5cDdZaHFyZ0Q1bnR0andtbC1kSDJrb09tM3M1eWhiYVJzRzd6Y09iWlRMeWc?oc=5" TargetMode="External" Id="rId102"/><Relationship Type="http://schemas.openxmlformats.org/officeDocument/2006/relationships/hyperlink" Target="https://news.google.com/rss/articles/CBMixgFBVV95cUxPRlN6bkgtTEY3cU9JS3Q1SXIxNkluQkxsRmdZNnRSVzBiRDBMWXppWXplYzdVQ215RkVMMGpXSUtTXzZwbEhEX2M0T2YxbFJNdXBCTTY4SkpsOVlacEdsTjItQWpBSmdvTnBrZHNYcW5UVFBrMTBlYXppQ0szTGdqdGp0c0htQm9fOGRyYW1nU3VTaU5vakhWV1hZY3Q3dkt6eGtoZWRkbWdzXzhUTjk0SE90d3ZUNlUxemh1cDZnMDZocl9zbFE?oc=5" TargetMode="External" Id="rId103"/><Relationship Type="http://schemas.openxmlformats.org/officeDocument/2006/relationships/hyperlink" Target="https://news.google.com/rss/articles/CBMi3AFBVV95cUxNc0xST01Fb0RyMzJMb0NaN0VnWUhobDRMRGtwT1F2UlFLMHFjUm1YdmtqS3prVEtYcFQ2MV9hZXBFMXhndVhtZV93ZFZIY2ZIZlFta19ta1E2YWE0bHcxWHJEZERPckdiQWc1THdPREVEaFRRVkZOejhfMFoyaFNfWnhjdzhxQ1VMRlVtcGM4ZGIxY3JTWVFMdVZYa3hsU0VOa3VMSDZqc0kxRVVDTDdOV1JNLXhDNFJ2VUNVbTlwa1BGRmZTdk1oUDAwZDlNaXdwQlZ5OVp4cDhranAy0gHiAUFVX3lxTE1LRWVGcjJOMzVMZGdvdzNKOUdvZUY5SURqN2tfTkcxNVJvaFJBRGU1LTFjTUpKVkp3cWtOV2VqOVRmSmJBUDhZS0R3SFNmTm5mWVdLalVLREVSVDE3RG10RGFkZDFFWFE3bHhNaXNWaVh5b0E3SXM5ckdaenBUTmhTal8wWWV3WUU3VVFGQ2NFUks5WG92WHpFT0UzZVg4ZG1HM2FkUVNfMkg5S0p0Y1VmUjdzb01ocWxFTXFERnFMU1h5M0JxMHFpZDI3N29PUVppajNpZzY1UHlxaWxwX2JDUEE?oc=5" TargetMode="External" Id="rId104"/><Relationship Type="http://schemas.openxmlformats.org/officeDocument/2006/relationships/hyperlink" Target="https://news.google.com/rss/articles/CBMiiwJBVV95cUxQdlhSVmFPSkpscDh6TDRBWGZxT2E1YmVST3ZXV2JqUFlPSTdCeER3cUVWejRORE9oVE1xVlFsd3ZLcWlPcWY3WXhtd3djLXlxeEtra09Vc01nU1BiaW1wLUpvcjZHNi1UQWRXTGVVQzE0V0VqUGwwUW1hQWphZklnUDF0VEtGOWdnT3diUlEtNEFCR0NlRXE2RFdQdHlLTGZObWhjbW53cnEtMnZmb1k3NEN6by1wckNZbThnbXc5SnVzN1ZPb1hONzhaVVBTTEloX0xpRld4Z2F0Q0NranNua0Q4X004TUY3anNBREROV0VKcnFUZVFxRkpKT29TY09WekhURmNJVUdPaWPSAZACQVVfeXFMTXN2YUZQUU9DSGlHTmJyMUxVYS1uMzNsRTNYVmotSmk1a0l4MC1DWjRTTHVTMHh6R2hSNGxVbDJrNUd6Z3Y2aU9GcXBLMFhBTjhoYzJWWWNZMGo3SV9YdDdYNWtvVGlFNkxlanE1NUI4cjBvMUdrd3A2bndyMXVDdUp2c2lUZUpPeUNMWnBZc0dIYmF0LWg5NjZ4cGlmWlh1amllaDZ4UGNla1JPbGlENUJPTHhsaTh3XzlhSDhPSDh6NDUxLUZHSFd2TnZtd3g5NEp5RWRFcy0wRUNFcHBuVGEyVjZzWUVYZ21IX0p6VkNWZURhQUh1WU9NeGoyZGJNaUNRQ29ERkdUT1B3NllWT3A?oc=5" TargetMode="External" Id="rId105"/><Relationship Type="http://schemas.openxmlformats.org/officeDocument/2006/relationships/hyperlink" Target="https://news.google.com/rss/articles/CBMivwFBVV95cUxPb2JPVGdUY1JyMDA3N19WeWRDc2RJNnc1d3BOdDNfNTVUa05IbjdkMGg4NzhsUk5PUWVNMEdwN1pWZnVTQ19VSWVJMl84REV1N2FjdFk0VWFncFpFQzR3MnBHNndMN3dvWmZDclhUOE42NV9ZSkdQT3JOV1pzVERDQy1FR1h2QWFUZGY4RGp2QVg0RE15RmtDZVNBc0xyLWloS3pzXzVXcHFEZzN3VnVhTk5kV1hYQmZ3RlltYkZocw?oc=5" TargetMode="External" Id="rId106"/><Relationship Type="http://schemas.openxmlformats.org/officeDocument/2006/relationships/hyperlink" Target="https://news.google.com/rss/articles/CBMi5gFBVV95cUxNQ1U4TXZLU3NVTnNha3RtZi1kWWVBX3NpRWliSV9UeWxvU3JqUFh0QW8zc2xhV285NzJFMHVDZXlvVHhLY2dScV9kUnRtbnUzeWVQNUVhN214Z0lkOHg1QWEzdm9udWp6dTdPZGxmMzMxVExsMk15dzdFVTZfVTJ4OWxMVzhoeUNGYzVkN016MF9SSlQxZkxqejlLc3QzWXh5d1d1bUNYNElGcVZibWZ4bWhQRXRRc05sUGNqTjVNUDlJeWJoU0J6X0lRQjhwQnFBeWdZRGplRHJHZDU1b2JmOWtqZUdjUdIB6wFBVV95cUxQbG1KLUxFZDY4X19ySk50dEZDZFdnOUxCd2xkRF9kMzQzalRkcGVSLUlCSnJfUWx5QVNRQjBEMXZ6YjdCTGdjdU5YX2ZlRGRHT1lDdUlIcWs5OVBOOTVpeDlkc20tM24wenFwc3ktc2YtQzMwbGNjQU5JdFRHYzVxWGJPaDdtVDBWNnRlSTJrUXNoQXA3dExRTUtfOS1jcFNxT0J2S3RabVcxbzRnVlpmcWtsVm5yN3Q5RVF0d2gyZnN0WWNxMnkyMWxVOFpZclhNQWdFU1MxMUd0cUNpUGFVSm9CZ015alhDbFg4?oc=5" TargetMode="External" Id="rId107"/><Relationship Type="http://schemas.openxmlformats.org/officeDocument/2006/relationships/hyperlink" Target="https://news.google.com/rss/articles/CBMi9AFBVV95cUxPdzBtSkdsSVdRTFRYMEtLZjhuRnVja3lZdU1OOU1VRDh2NnlVZi11LVp2OTZyMDllOVlfd3Q0S2lsdnc1blozdFJqLWVmOHUwbGhmN1I1STBycTdfbTVsV1N2ZXBVMzhDYUZMdWFCWm1rYlV5SDJKc3hLZjhTYnU1c09TX0tnLXZwU2RhNnk3OExrbFd2Vm1DRGZvTl9tWTI1S3lOM3FvSlQxV2c0M2hHSkdYU1JYUHZxa2x4Vl9MRXdPNENfMENvdmdTVldxZnZ0ZW45c0N2UXk3eXR6dVdMeEU2S3pKY2hRbE1Za3haNVREQ3BR0gH6AUFVX3lxTE5KcFI5ejFJX3FEMk1mM01QLVZJTnZsUnBna01ybXlNNFVzZlVoeTlYd0d2bXd4UnZpUV9Zc1lCa0l0dmlMMlgzbUJvQlZtNnBJMTdnMGhEc2s2T0xHTldTTlpFLTlpZ0pNRFdwSjNKQ2hiTk5KOWlDX1ZManY1a3ZYdUlJTk94aTNnZ2pTeFVILUFtMkNLakV4by16Y0kwVm5ZX0FwOGJNelNtbGwxeEdKVVF6SURKdXotQ1pxZzB6OEtpRWtjU0MtOXBqN2NMLWRmZXJJWFR1NWpQaUNmTlJnQzI1eFpMVDYxOGo3OVFIM2hwSG4xLVZpUFE?oc=5" TargetMode="External" Id="rId108"/><Relationship Type="http://schemas.openxmlformats.org/officeDocument/2006/relationships/hyperlink" Target="https://news.google.com/rss/articles/CBMixgFBVV95cUxOeW1pUlBTcVhWck1QcC1Zdk1EcWxiSnhORDBwT291RzZCb2JaYlVvT0dxMGVuWWp3b0ctam5raFFWT3ExOWpncmVKVUVHcDVIZVlLOHN2OFJfVF9hWWxzTEtXakhEX1k3cTBUT2l0YmlBcjJkcUhkQUtBLURqR2thRjNrdU5XSzdBTE55M1RlMVBOaXAybnF6SGRrVVAwX3JFQWNvRFBlTWJhemtuak53ZVNyQVJDeHV0ZnB0NFNUTnM3VkxBYUHSAcsBQVVfeXFMTnJ2X3ZPNzAyUlNYdlplOTVNRGVwZmI0LWRmVkhkSmNLVUFCYU1MX05ESUlaWnBadWs5RnNsSVdrZklDbmFzVTFvdDF4dDRpZFhaZ2IwdGZicVROU2ZKb2dQSDlObGNxd0pFeGppUFZFeUIzNUZ6M2U2d0dDbTdqNXpialhFV0syWG02T0RtaWNMZFlkY1FraEJ6dXZ2QzNkaHkzQmFsaFFSejNlRTAySC1XYWtqNVV3SkEwcDVLY0lMZk9sYko5ZG1qV3M?oc=5" TargetMode="External" Id="rId109"/><Relationship Type="http://schemas.openxmlformats.org/officeDocument/2006/relationships/hyperlink" Target="https://news.google.com/rss/articles/CBMi6gFBVV95cUxOSmFaV0tWVjhCSmdEeWtESzMxOFdMblhmWXJ2ZGo1RW1aQ0VualdKUG9VZlQxT1VSN0FiRGZsZS0wTjBkZnFNUzVBeldLOWZVeEhPMjZzWFB2SGZ4eEZ4S2VkTlJCLTlLRGtCcS1mQ1UxZUxtM21PSW5HZEhxNGxPbjZXa3g5WXN4RkhoYkFMWXBqbEcteHJVUmEtc2lRaVVDc2I5Mk9KSWtzbUluNENuamJfWk1vZlZJeUFkMEJxRFlLVEJvYUJNTzBpSnVhUnd6UkNtM0Vhcm5takoyZ0dZM2xXMXBkUFF0WEHSAe8BQVVfeXFMT3FmTE9kMS1wMzlEaFQ3WHQ2ZFdzeTV2MzY2MkJ0YW9nc1lNclJEdTlGUGMzcFE1SHpwNXBNLW9WWWVDSnk0eFZ4OEFtM2RWN3FUWXRIbTlyc2ZzYlN1MHJxa2puRkNRSDRxTS11SkNUWjJacFREeHpKbzliS19nY2dzb3ROTC1meDRuZnQ0ZUY0M0FkdlFVVlZsVGJhZllTaUdJMnVsdVVMejV1WDRiVkd4VE5nQnRnOGFLUUVUTHJvZFNfMUF4QjZVYldMNm9wMllHRzl3dTlzZmw1NndJbFNRb1VPQVlKZ3NUcEJFYmM?oc=5" TargetMode="External" Id="rId110"/><Relationship Type="http://schemas.openxmlformats.org/officeDocument/2006/relationships/hyperlink" Target="https://news.google.com/rss/articles/CBMitgFBVV95cUxPZGlfdDlHeUNLX1BzVGVSeGJtOEk5RXc5ZG9NUzZiVzh5MnBpRWRpVUw0S3BhQXI4cktqd0VSOEdkUFN6aV9WUE1xZENfaDhjMGhNcHRJbFRCelRhRmlHNFhuS3F2OW13YUEzWUVGRDI5MVpzeDQ1eExBRk5iTkZ0MVZWTjN5dHgyWURWcWdGbTFENlRFMlpNT3BXRUJHQjBDYk0zWmIzNWtmQm1qdjR4ckFBLUkzUdIBuwFBVV95cUxQRko3Vm9WNGlXREFmc0RyYVhkeVk4YmIxX0N6MDNXdE5wZjFFc1lJUURObXNoN3hoNElpanlzWm5yclFkbmF5SU5nT00wYVpWZmMySzQ2VjJkMlhRYXFzQzNQZ3VSMFd0MlFFN1JKZFo1Y2lpQm5uWnp6SV9jcmxLcnBibVRDY0tZRnI4MnhDcUdLYWQwQzRGTTdJNTVpQ29jY19HNDZqUDdlOUZCT0R3V0N4Ym9BbDV0NEo0?oc=5" TargetMode="External" Id="rId111"/><Relationship Type="http://schemas.openxmlformats.org/officeDocument/2006/relationships/hyperlink" Target="https://news.google.com/rss/articles/CBMivwFBVV95cUxNb0N2TFlyemRFSmxhRy00QzhkVmlpV0xQOEp1UjEtOUtDeEg3VnhYUXJXcHRZMkk2d1VWZlo3bVgyQVcyMUxjTk04OEtSZ0tjWS02ektxdTM4dlZnWjlST2cyTkdHbFNYZ3NmdGdUVFRFSWN3WDhmMTR4cG5tT2t0amUzaG9kZUdYTm5MNTlLaDZhMXVMNjRMVGtNM0RvZGk3WndHbUxVMGRmazZPcFBiNk1oWEdxSWstNXd4enNyONIBxgFBVV95cUxPV1RiejFBcWVGeEUtdjFqWi1KbmJsVGk1WW1iczJrWnR3TUQ0VVNiM0EtVUNNTEVvUU5GWEFkVnNmeXMwbmpxaFFiaTA5VzZ2eVpXbXRLblVSak9YUXoybFNBUUhLWE1lQVoxMUlkNVBpdkdtQkwwSHBNNDlyZlBGaTRCNXZ0Y2RwMlZaY1FVQWF0bnp2OC1xeFItSVJmZE1heDR0eWN5WXA1Ni1wRzJCNHhFVXQtVWpqekNjMlVXMDNWQVZkb2c?oc=5" TargetMode="External" Id="rId112"/><Relationship Type="http://schemas.openxmlformats.org/officeDocument/2006/relationships/hyperlink" Target="https://news.google.com/rss/articles/CBMirgFBVV95cUxNeGQzUFJSLVlXa19FRktDZkR5VTBmNS1yWVM4NnJVUVpzWXFJUHV5N0J6UDZBWWZjVU91YlYwLXB2ZE9JRmNOTmxPdm5BTWZHWDJDOFFOSV9rUmFtZFd2Rl82ZFRSZ01lTTdUVEx4emxUeUY4YVVSN0ZYTHduR0lzWE1ZeHNRZTNnWEVQZFI2Vmg5WnBUQl9QME5KWkpBNWZ6X2ZFd3p4Z1dCSVZjbEHSAbQBQVVfeXFMUEpDS21Hc2NyUnJPYXcyU29CV1V0SnltMlFnY3FQemhvUWh0TnhodnEwOUdWTk9XMmllQTlsZlQxXzJOSk5QRWtkbE82MjFOSUNpa2lLckI3dUo3T2t3TlM5cklvUWxkemZGZzVONzlJV1pFWFg3MUp1RUFTOWdmcDZlaGFObHZhdVptRnVfZW1ZSFNXWlo0WEJDS3ZHNlEwNlJYOEY4TnlCWFBfZEJORVVLaDNt?oc=5" TargetMode="External" Id="rId113"/><Relationship Type="http://schemas.openxmlformats.org/officeDocument/2006/relationships/hyperlink" Target="https://news.google.com/rss/articles/CBMigAFBVV95cUxPQUxBSWtnLWFqMkRfMks5NTlUcF9sTm1lNEtSdFZDaEstMWw3ejZUX2czMHFwS3k5MEFOWHNBb2w5VElVd011VTdpZ3V4OE94Q3ZGUVhJYTJhXzlKQnRicGVnc25ZNDZDdzhmN09xTzJCNDhLM0JQOHdRZlFKTXlXLQ?oc=5" TargetMode="External" Id="rId114"/><Relationship Type="http://schemas.openxmlformats.org/officeDocument/2006/relationships/hyperlink" Target="https://news.google.com/rss/articles/CBMi4gFBVV95cUxQUmdTVng0b2RkSU41RDdxaVpxeEN5dlZNQ1lOMzRGNm56WmlEeTR2OWdxZTRON3BLeWVlbUlNU3R3dXNLdTBjaWhrYmNkdkdpdFVHY3RuV0YzVXFtRWVWUzFTMUxKYVhuZ0ZGNExzQUZJWHI1aXVlTFdxY0R4aEhBLTFlaUl2XzBnVkN2TnpuS2pWNXduLWhEQXBEUWFIVTlXUlEzcTIyNVJDS05GRHVTaDVHOVBMeU1GUk1tWjZ2SElHYTE0SGV0SHJVYlI2Z2VPS1lVWnFMOGJadVZYVXdvUkl30gHnAUFVX3lxTE5vTHQzdmZvaEZpVWdVbm1Iel9zdGdTR256RXVDWExRVkdJbjctWWRiZ2xFSUc5bGdhRUxFRndWSElTME5sdFNMcFNNU0g0NTdMWXJYTXF1Y2RDekgyT1EzLU1lZkdKblFzMzFxZF9fakROWXo1WVRHZ2FraVVGM2hrSHJHRVlveUJLTzVnb2ZCSloyQ0czSTMzR19sZm5fU2tnTFgwalRsbHpMVXpESl9ra3daOGVieHgwLU1OYnB1amUxQUF0aUVLMXRCRUVuX0NhNENCTWtMMlRzaVpObGZOalNwTTg0Zw?oc=5" TargetMode="External" Id="rId115"/><Relationship Type="http://schemas.openxmlformats.org/officeDocument/2006/relationships/hyperlink" Target="https://news.google.com/rss/articles/CBMi-AFBVV95cUxNUVg1SzlrckdTQVVqNm13Vkhlbm5fZEtOY2FwQU5rTnBUNnZJMUJ2RTFnVmRTR2tiVHdCMUJPM1NXTjRiWTJqNVJ1Z1ItazlaM01iWDZfcXl6V2ItVzRVRExLZUZrRGdmcExGN2VUVktHZlkyaXhJZWkyNzZwSU51N0J4U3Ezd0t5RTNFR05sT3VaX0hTZ09vdVJFUV9LeTQ2eHJ5NWhsVjBJdVptSFhGTnJ0aWtiTjNKMU1oY3ZDTnQxNEhYWjRZSzZGQ1FFNkFITjRUUmM2OHNsamh1SEhZYlhfT3YtZWNrNW9vS2JzWlBENWRic0ZxdNIB_gFBVV95cUxPRXVxWGZIdTZDS2E1eXpzRS1ELXJpbERYTVpneGJ0eGtYWU05dmhCdktKQnhnN0FEVWMyWWp0SDR4ZkRtNWxuc1VtM0JjX2lsNjExLVh6Y2hMeFhvWkFjVmRpcnI2bzEtRGZBQjVnUWtVazVjYi1PSzZ1NkU0RktPeWl2U3hLRGJGRXcwNjdGUFB4aElSTWxFeHpuQ1dUWXdjSW1ZZmtlMUlsdklDdUVfeVVoZ3k2eURRRGhOSGo5M1JLTWJwWTVMY2FXM1NEU3k4NFJISlVQY0FVUzRmTThqeVdaYWVhVXUzY3RZajlpZUNUdVVUM0FVQlVDd2FwZw?oc=5" TargetMode="External" Id="rId116"/><Relationship Type="http://schemas.openxmlformats.org/officeDocument/2006/relationships/hyperlink" Target="https://news.google.com/rss/articles/CBMikAJBVV95cUxPNWxfbDM3Qjd4Tm13aUg3T2R4ZFhjMElFdHIyQldHcVltX0ZtZXdsakJOT3U3ekFfT3VWZ0RDem5ZR2JIXzJsSlBuUDR4SzA4bTJkWVg5WkluaVFVWTBUYzJwbnFnTUhOempLeFluOEdnVUgwcGpvM2N1d0Z1TWVoaEhPR2RSMVluWG9KVUduWHJkMG9tTkoxcHdrcFkzV255N3BZemFHRVJTT3VGXzktYWdGX3YwQ2haMnp4cmdycDZmM2N3dmdqWmtaWkRYam5NVTlLZF9fdlVYMDBGWXZyWVJaWklfMUJ0a0EwY3QtNm5QSkpqOE44dmVWdzJ0MlpIQVA1UERwVl9teHpEY1dvctIBlgJBVV95cUxQckQ3bm4wX25ncVFVQVhkQjAzV2dka25EUGRINzhjSkhNOWptUTVFeUt0MWdCZkVWWHI2VG9mLXNKc2tHeWxtMXN4RlJ2dDYxMFJRQ2RrQzdkdkR1Vy16QVJtZUtJZWpRTVl5SmtOcjhSUmZrOFdFZGd3QUY0TDUzNlN5eDFuaEVKZF96dURyV3JyOVpYQ1V0SERONjBHek9VVHlod3NDZjJPY3VrcFBjc2ozUGgxbXQ2SHhMMGhpZVBjdmRpWVZxclRaQmduLXhuZEhLNzgxVnRYemxkelVXUV9DQVF0QjhUQ1JRS1NCZUlyOUZkTUw2WG5VaXhMZUNRSDNUYlJQY2xYbUJKX0RtdlV0Y0RKUQ?oc=5" TargetMode="External" Id="rId117"/><Relationship Type="http://schemas.openxmlformats.org/officeDocument/2006/relationships/hyperlink" Target="https://news.google.com/rss/articles/CBMijAJBVV95cUxQcnR0TFpzNlZabjJueFo4OWtfWHptOHpRbFZTZ0JQZVRWc1RFTWdBMngyZnFIREVfekl2UFYtaHJiLXVFSnV1emVXMV9TQmYyN3lHTjNHZkdtZ0F0ZzV2Y3MxRDU4OWF3dWFKUVNJNlpWZFJsUTltWUtqMDJDZjNIdXZPOUNvRHBNVHgwMlpUbHVyRFFmWlFSSEdYUGFheFRvSmJ1VGdXbEZqQ3loaENCNi1nUzBOVWlMTDBoSWxsRzMzRlh2dGRZM0l3REg2U0Q4My1QMkdGbDlKc0haek5oQlBYXzVSWWV4dTlCRW1BbGtFc21keWxkMkNCUHhoeW8wc1NVWUpaeHU3N0430gGSAkFVX3lxTE9hVHRMUHNwVXJJVk5UbXVOdHdfdnJUaGxFQ2xPTFhCa2g5UzJ3eURLazFaVzI0eUIwenJ5UWU2N3dIUmVsY2cxR1FSZFVmWjhhaWJ5Y2VBTWVoOVJpa3VyOWR2ZTVCNWZnWTA1R3VzY0NhMjRWOGxxdlUwS1dGZGtOR0tNU1dmaUxIS3NEeEw4R0haUm5WaXRfUHp5cS1YRDN5QVJsRGZLa3praG04ZFZ1VTZVWmVXVWRjcWs3LUR0bEdCQUVET3I2UFZxQ3JmUEhZcnhhbWRiTWRGeFhoRldzbzZfclUyWTltUXJYVkdibHhZVDVlcG4wMk1WbmxpQlhDTzM1Z1dpNDlNc1NlMGpHWUE?oc=5" TargetMode="External" Id="rId118"/><Relationship Type="http://schemas.openxmlformats.org/officeDocument/2006/relationships/hyperlink" Target="https://news.google.com/rss/articles/CBMiuAFBVV95cUxPNXktbmdLdk5ia29mWlp6Q1QzRWdPaVFKVjlKRWR4RjNZaEJBZDg2MVcyRFlCT3JGeUd4c2dsdlMwaHhleVBralN4LWpOUEs2TWFxTWxUUXFudE9YUDB4T28xX294dkswTFJ5MmZZakY2ZDZSZTQ4QkJnVG9vWVJzQU5yTW9YTUY4NmpzLU1GbHF5Z0xRblZwU3N5MTlOa01NSnB6ZXZVOWNzSEd5bU5SQ2MyS2h6bGxm0gHAAUFVX3lxTE5PQVJTcVhrVlBVR1pReEp4d2UtQkRqRHNocXdrbUZDem9oOUpXbEJVYm5uU3Vyd000VU1ONE92Qkctc0t4OTVHZndldGJVOVpTbjFzU29tekxTaFBWaE9JZXpTUWtUajRUR3VyVEFabVhzVmEyYjRGdmlDRXpYOWQ1b2dwbU5Ya01Hc2ppcEpfeFJvTWk0OVN6b0Y5SHdPWnpDOHdYVVBENHNCZlRneGhuQkE0eTFERDlWYmpvVVhGTA?oc=5" TargetMode="External" Id="rId119"/><Relationship Type="http://schemas.openxmlformats.org/officeDocument/2006/relationships/hyperlink" Target="https://news.google.com/rss/articles/CBMi8gFBVV95cUxQdTNRb3hkb09CSHJoak5QRXhGQmxTZU50RVB6UTZLM2k5UndlM1lHbmliQUgwaXlIelJGZVpUc2F2cUdNUDYtRFd2SngzZFpFZjdsQWN0LWFhVDBuaXlBRDZwb0xGVHpaQUNtSE5NNlVtSzdFa3BrRTdBZkVnVUNKNTluNFBPWnpmNVIzUkQ2RVptelZmZmszS1FtelRDeFNfRTZmaWdMWUZGVnpvSnZlZnhXX05uUTZWZzhfMkVzUE5NUjdaOGNrRmM5eU9sM3BmaENuVkhxd196ODFwdDVRbDNrUF9NU05iNlo2VFUtVkp4Z9IB9wFBVV95cUxNekxXdFZqNlZFVzRMaGRoZEt1UFlranNSS3lDMXBjd1dhUnpyeU1jSGJzOGZVOUh3MXBvZU9aMDN5QTFsNFV1dF9iVXR5Sk1wNTVSVFRzcnF6V19veUY5QjdGNDZGdzZMLTBtNmdWdGc1Z3RJaXgzd3RFd0xyOXF5NmtPNmczVzFwV1d0NEhnRXBUdldoaDBRajA3bjRham9Ldm5nZ01udkd5Snhwd2dvR1BDNThxTktzdDFVbzhxVHFXb1VPemdPRGhMTjVFZl9HRl9TOG9nVE1vUWt3U3JaRG1mQmZlMnNURWhTeHpqNXd1YXBQN21v?oc=5" TargetMode="External" Id="rId120"/><Relationship Type="http://schemas.openxmlformats.org/officeDocument/2006/relationships/hyperlink" Target="https://news.google.com/rss/articles/CBMijgJBVV95cUxQTlJJMldmZ1hUOWtaT1NwNnpfRFhYaS00WmRoNGRXUzV3M0wzWkdTUWg5WmNGdDByTGEzZ09YaWNFTk5zbzhmdXNPM2stcGZtNFNHUVItcXpmMU9nTFBaR1hUdkNCT1hzUGt3cnFVZnhtRWxmZkdkN0xBSWE1NmhFLWt1aFc3RWlmckJJR3NuSWRBd3FPeDZqbkF3ejZrRkNCN3ZaaWtIaWJia3F1aFVWZzEteFhsM3loNFlWeTg0aDQtUE1pcGprVjQ0b3JDU2hEN0NMby03Q0g4QjhwV0xsdU9Fc0F5djA2VHVkNFg3dWxLR1Y4RUQzZUNmVTRDWDF0Vmw1NkFxM2lmN0dJckHSAZYCQVVfeXFMTWtxYkJGVWJldWQyTFNqX1IxWWlIY29xRi1oOExXdTdBQVdzNHNQbGs4c1pFem5FeTJhYnBwYWprZTRqT1RmeXJOY0d1UENsTmFydjVwRjZ3ekxJdjhLMUMxTVJEOVFQQ0RzQWxYNk44c3Znelp4Nlc0VUhBUFBTYlFvaDl6dDQtSEtUbk1IVDh0WV91UDR5cThWNFdfREpiNjJpaTBOanhfbkstNHd6dmtnc0JVbEhpNXBOYTI1MXlaSW9tS0J3bkVJdElWUW5UaEtybjBjMjRONDBhNWdYVl9UMGd4RXBMNllRcXFtM3ZGaG95UlZHM1pueElnRkF2VVZWQWZuTHM4NjJ5RWd6d2phdGtTVWc?oc=5" TargetMode="External" Id="rId121"/><Relationship Type="http://schemas.openxmlformats.org/officeDocument/2006/relationships/hyperlink" Target="https://news.google.com/rss/articles/CBMimgJBVV95cUxOa2FJbGZhc2FObHZPcDQ2eWhNRy1GTThGSkpWOUFGbWt5VDRlRmhiSE9VaHlNN2NkV3kwQXhmT21SdWx3SXZwNlQ1QlRtSmpMOFBOdko5cmsxT3QyaFVFdi1Vbkp6U2lfaEZJb0dPNk12bjFFWXlHaXVmMU9BVlB0dXdEeWlrRjdyLUFNZzNVTUZtMGR1U3lNM20tN3phRmo1aFVobDlmMU1nUUR5djNtSjhLZmFpTzc0OVZVTkVZeXptc2tMb3pqelg2d0IybXlLS3M0Sk5zc19KSEpiVjJrOF9OUU43ZlJtWUEzd2ttNk9VWWFwN19uLUg3eTdVZzJZMDl0dVh4Y3V3bzl0d2VRWGRIVk4zcjJRNHfSAZ8CQVVfeXFMUHptakdTU1k5aVVSSU8wM0p5R3hsbmQySUhlSFB0Tm9rbU53SVJWM1ExMWVJSWZwVDU5amhEUHppN3V0TUV0NEpMTksyRmVuTXVtY2tMNTcxZGRPYkpXYUVWa1NZRDEtdjBicm5paFYtMVBnTHBsSXJQNG10aEVoZ0N3S2l6VEtSR0FRc2piYzcydGZ3Xy1EeS1zU3NXdW8zajRBV2hpYzRab2w3V1QwUDdkcGZ2Sm1uVjM5bHQ3UHRCZEpHTk5wMURyMURZb0VJVDhySkJNV3JQbGRrNml1cEtaNUpNTEZfWFRHVVFNM2hOZXpDOHQtdVVBdmV6c2JaYzl3WlRTX3pleGRmcmgtLUNaU28tS3FEcHZJQXY5Tmc?oc=5" TargetMode="External" Id="rId122"/><Relationship Type="http://schemas.openxmlformats.org/officeDocument/2006/relationships/hyperlink" Target="https://news.google.com/rss/articles/CBMigwFBVV95cUxQQXA2UFZabEp4aDZnajF0NXBnMjJfSlIzWVZsc3BLbWtZZ1pmR0h5OVBUZjY0NGc2dkZlejJHZ2JHUlZsSkhBZldvdlJIc1pXeWZldnVZeV9ndzdMNTZ4ODUyczE3ZmFyd1p0XzBKbk5weGJBTU80MmxOMExfQVJYNGtlaw?oc=5" TargetMode="External" Id="rId123"/><Relationship Type="http://schemas.openxmlformats.org/officeDocument/2006/relationships/hyperlink" Target="https://news.google.com/rss/articles/CBMieEFVX3lxTFBJQ0hiQ1ZuU2pKT2tSbTdaelNCNXduZWdNdE82cUh5NWNMZGUteVV1NEVBSVktM1dXRVpKc3Nzbk9RU2VxR3VVVDR3RGpKMm83MEZwZWdONmkyZmJNbzREd3F2Tk1JU1diVVdCWlhGWkxnUW04NDBKSg?oc=5" TargetMode="External" Id="rId124"/><Relationship Type="http://schemas.openxmlformats.org/officeDocument/2006/relationships/hyperlink" Target="https://news.google.com/rss/articles/CBMigANBVV95cUxOTXhUOXBubWk0Tmp4eFVkZFVzVVBKeTE4VjdRdDdyNWRZa1NOUW5EdlBFbkFqR2p6N2x3Rm5HTjZ2NTdDREtIQVFCMFhINDhxbmJvVHd0WlpuSG9uUndEd2I4a3hTcVRTeGNuZjRkcjREUzlnb3htd1pDc0VoelRISHdzdjJhTXd0aTJaM3poWThWc1hHMmhkdHdhMUtWQ1l1YTM4S0pPdlZHMWtWS3dFRWU4N0s4QjJkNnVtY3VfZVhPTXdRdkU3bzdDZW1BcFVFbUNtTDR1bHhVYkpMSFlwTGJLdFN6M0VrMlVxcEs1YW9BbTA1b2xSRHJDMXppS09vdEZjMVgxSk9LQUJfME1aaFhBRnFhUFhseGpTQzh2c0k4YTBmeDY3LVVBMkpEdXZVZVVwaGtjaXJfOEtDMDdXMHhvVDJXWlFKYlFjRFVlWGo3Y1lHajJUOHQxSl90MXJtOTVEb2YyTUkwX1ZvUERRNzVPclpsV2xfZU5HZWRJM1g?oc=5" TargetMode="External" Id="rId125"/><Relationship Type="http://schemas.openxmlformats.org/officeDocument/2006/relationships/hyperlink" Target="https://news.google.com/rss/articles/CBMihwFBVV95cUxQbmZGX3Fjei1iMFA4RGU4cDl2LU9UTUQyWW9DdUp5T1VjMDhVaVM5NFNZTThGaEVwelRJaFdqRDdxZURYdkZldDBJQXV0al9WOGhoTVZ2SXNlU0ExVjI0Zy01ZG5WczhUdjdmT0U0akJBTHo2aVdITVp4VkpCVGJPLTgyVjFDeTQ?oc=5" TargetMode="External" Id="rId126"/><Relationship Type="http://schemas.openxmlformats.org/officeDocument/2006/relationships/hyperlink" Target="https://news.google.com/rss/articles/CBMibkFVX3lxTFBvVWltYXREcXkwczVqbHJWVTFqX2hQakxXQWRVQ3VUbExmNy1mdnRUU3VjajY1LVpPN0dTd3dtdGxReF9oSW1EZXJJZUE2N1ZhMVdQOUNoSmdPaHNTRFI1ZnlGYlpjbEprdmt5aUlB?oc=5" TargetMode="External" Id="rId127"/><Relationship Type="http://schemas.openxmlformats.org/officeDocument/2006/relationships/hyperlink" Target="https://news.google.com/rss/articles/CBMiYkFVX3lxTE5YUzBvWXl5aUlkLV9pdHlkVk1Pako1N3lrd1dTQWxzVm4tMXRUQjFBX09UQWRaUDBnZnRQZlhZQVNkVWxyTFg3S1lGXzVaZEU4a2ZWY051X0lCU3MwS1dNeE5R?oc=5" TargetMode="External" Id="rId128"/><Relationship Type="http://schemas.openxmlformats.org/officeDocument/2006/relationships/hyperlink" Target="https://news.google.com/rss/articles/CBMi6wFBVV95cUxQdGxSSk9pVFhWaWd6YUhVVmxDalItUnRlLUtvNllsdG5JcHBhNHlORUpRaWkwQTJlbVFKTzdmWHFTZ0R6N2FnWDZzWW1QYnc2WU03OC1NTGZCM1pSN1lkQWhsYnhONi1iOHRqQnBVdkhfWF96VUg1ODAySlpVSFVZbWRQQ1pRYVVMczd6UTBtREhucE84Ukw4YTlRTFR3ZERYT3p5bXRuUlM1YUdsOF9xUzNiMFZUODcycU4xRjNscXB3eTNTWFhPTkl0clowbXZZSG5QTXNYMFFYUjRRYnZWazZvS08yMzBXT3FF0gHwAUFVX3lxTE1UTFNBOW1QODFDSklvWTdzWDQ2OFEyWVd5dml0cXA3ZnpQbWNiX0FVejFYNmJGUVMxUDlzSF9LVGVMLUhIbk1ubm1YTkp2bkQwN0ZrMVpkMmtVMU0zWkhJWWpFVVZHV3E4cjBaUmdzZGI5b0ROc19wZlNqcTNfaTJOTVI5amJkOVQwbXZ0ZUo2dWpqRFFrRWhpT0VWRmliQkVxVlNYRl9VRmhobEZlOWdpYVVMN2dZMDhtWk9ZMllYX1I0akJOYVNyU1RnN3NrNDlTUl8zM1VfWHVXdWlWYkEtUklQMXhfMV9wM3NqSXJYRA?oc=5" TargetMode="External" Id="rId129"/><Relationship Type="http://schemas.openxmlformats.org/officeDocument/2006/relationships/hyperlink" Target="https://news.google.com/rss/articles/CBMizAFBVV95cUxPSDltclgtZ3dzVVRrVmJNWG5LRnBBVFBwZUpNTDA0VHB6dmNmLThGeHh6bEMydzNZaldNU1g3TEswd2JKem5HalZqZkQ5M19DS2txOGQ3ZlRxZ2lYWkttTzQtbmZMV0ZnR0EzVnZvcVBMcTNqOUV4NFctQ3dPMl9iMDFEb3NqY0UwLXZTNloyLXIxR28yRks3TVVzZ2RtRXZnN09WODZCUXBBMkctQThwTjloektUTVJENm5oU295ZnFvU1dQYzc2NUNGZVHSAdIBQVVfeXFMT3diSHJBcGRFb3VUSW9uQ01WUnRHZUY4QkVrTFNnWUswVFN1dXdDQTgzZ1NMdEhYSlVZM0FYaG9VeXRPTk9CYnYwNGhtLTdES05qR2lhbFRqTFNpZFQ5TUpuYjNILWhnbkxGdGVaVU4yaGdjcFVwenp0ZHhHUWxjNUJyVTV0VFpscmZ4VnpGbmxWTURWMnVnd3I3dVk4YURQRkF1YUFNa2t1eWZFTDRJUld4LUtmTVVfLUJMVWo0ell4c3AyN2V1aVhMR3YtdE93X2h3?oc=5" TargetMode="External" Id="rId130"/><Relationship Type="http://schemas.openxmlformats.org/officeDocument/2006/relationships/hyperlink" Target="https://news.google.com/rss/articles/CBMihgJBVV95cUxQQXozTEF5ci05ekVqMzNQRWZocFNrLUJJU2VBSllHLWxHWnlPMzZOaHFheE1ab09fdDJXVEJTTWNVNDN6ZzdOZmpvMkhNQWtLdzdZSjdjMVZOTG15Z1F4bENWY1p4SGtVdEJVWWI0N0tpbVo0bjVqMFlpMWM4SGVVSS1OclFtbVZWWkx5R01ZaFlkbVJPd2xYV2ZsRkNBYTJYMWxVcE4tUFJnMzF3U3o1cGJpWVBzSkRzckRyc3k5WERDYmI5TFNOeWJ6Q2s5aFZ5dHpLaVR1eUdMdnFRVlQxMDJ5REdLdVdFemU4Qmt5SE4xc0FUbjJWYXNlUm5FNDVJa3h3TDNR0gGLAkFVX3lxTE8zRHB2em93TnNhcG9TYUU0YXJ4UVM1N3gyeEZNeW5EMkJIcWVyUEc1eG00X3VKNk5vRm1LMjdNaU1KTXlQaFFKdEp4Zkh4eEhUZXVwcnhDY1p3X1JkS2E1T21rT3FfNUV5LVkyQzlfTHNLekhBRm4yUldodnljcG5UYjdNT1ZrSTBTRXRhaVdFWXBPajd5MUwtaEp0cFBCT2tMM1RYOE1NamxwUnRvOHJqV0ZOblNsYUNINU9ORGp3eHU2TkNCRGhaMGxZQkV4cGpmTW5lZXBFU1FxTHd6bF9ocDc0M2VkRzhoUjh4bHFUM2IxZ3dTalZzczhoRzVUVTZIMno4RWwwR0t5aw?oc=5" TargetMode="External" Id="rId131"/></Relationships>
</file>

<file path=xl/worksheets/sheet1.xml><?xml version="1.0" encoding="utf-8"?>
<worksheet xmlns="http://schemas.openxmlformats.org/spreadsheetml/2006/main">
  <sheetPr>
    <tabColor rgb="002F4BD8"/>
    <outlinePr summaryBelow="1" summaryRight="1"/>
    <pageSetUpPr fitToPage="1"/>
  </sheetPr>
  <dimension ref="A1:L3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1" t="inlineStr">
        <is>
          <t>SwingScope Momentum Batch 2026-09-28 — 21-Day Dashboard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8" customHeight="1">
      <c r="A2" s="3" t="inlineStr">
        <is>
          <t>Signal 2026-09-28  •  Day 7 of 21  •  Holding  •  Exit ~2026-10-29  •  Updated 07-Oct-2026 12:35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B4" s="4" t="inlineStr">
        <is>
          <t>PROGRESS  Day 7/21</t>
        </is>
      </c>
    </row>
    <row r="5" ht="10" customHeight="1">
      <c r="B5" s="5" t="n"/>
      <c r="C5" s="5" t="n"/>
      <c r="D5" s="5" t="n"/>
      <c r="E5" s="6" t="n"/>
      <c r="F5" s="6" t="n"/>
      <c r="G5" s="6" t="n"/>
      <c r="H5" s="6" t="n"/>
      <c r="I5" s="6" t="n"/>
      <c r="J5" s="6" t="n"/>
      <c r="K5" s="6" t="n"/>
      <c r="L5" s="4" t="inlineStr">
        <is>
          <t>33%</t>
        </is>
      </c>
    </row>
    <row r="7">
      <c r="B7" s="7" t="inlineStr">
        <is>
          <t>CURRENT DAY</t>
        </is>
      </c>
      <c r="C7" s="8" t="n"/>
      <c r="E7" s="7" t="inlineStr">
        <is>
          <t>LAST SESSION</t>
        </is>
      </c>
      <c r="F7" s="8" t="n"/>
      <c r="H7" s="7" t="inlineStr">
        <is>
          <t>INVESTED</t>
        </is>
      </c>
      <c r="I7" s="8" t="n"/>
      <c r="K7" s="7" t="inlineStr">
        <is>
          <t>MARKET VALUE</t>
        </is>
      </c>
      <c r="L7" s="8" t="n"/>
    </row>
    <row r="8" ht="26" customHeight="1">
      <c r="B8" s="9" t="inlineStr">
        <is>
          <t>Day 7 / 21</t>
        </is>
      </c>
      <c r="C8" s="10" t="n"/>
      <c r="E8" s="9" t="inlineStr">
        <is>
          <t>2026-10-07</t>
        </is>
      </c>
      <c r="F8" s="10" t="n"/>
      <c r="H8" s="11">
        <f>'Daily Closes'!E16</f>
        <v/>
      </c>
      <c r="I8" s="10" t="n"/>
      <c r="K8" s="11">
        <f>'Daily Closes'!AB16</f>
        <v/>
      </c>
      <c r="L8" s="10" t="n"/>
    </row>
    <row r="9">
      <c r="B9" s="12" t="inlineStr">
        <is>
          <t>Holding</t>
        </is>
      </c>
      <c r="C9" s="10" t="n"/>
      <c r="E9" s="12" t="inlineStr">
        <is>
          <t>Exit ~2026-10-29</t>
        </is>
      </c>
      <c r="F9" s="10" t="n"/>
      <c r="H9" s="12" t="inlineStr">
        <is>
          <t>Qty × entry price</t>
        </is>
      </c>
      <c r="I9" s="10" t="n"/>
      <c r="K9" s="12" t="inlineStr">
        <is>
          <t>At latest close</t>
        </is>
      </c>
      <c r="L9" s="10" t="n"/>
    </row>
    <row r="11">
      <c r="B11" s="7" t="inlineStr">
        <is>
          <t>GROSS P&amp;L</t>
        </is>
      </c>
      <c r="C11" s="8" t="n"/>
      <c r="E11" s="7" t="inlineStr">
        <is>
          <t>GROSS RETURN</t>
        </is>
      </c>
      <c r="F11" s="8" t="n"/>
      <c r="H11" s="7" t="inlineStr">
        <is>
          <t>EST. COSTS</t>
        </is>
      </c>
      <c r="I11" s="8" t="n"/>
      <c r="K11" s="7" t="inlineStr">
        <is>
          <t>NET P&amp;L</t>
        </is>
      </c>
      <c r="L11" s="8" t="n"/>
    </row>
    <row r="12" ht="26" customHeight="1">
      <c r="B12" s="11">
        <f>'Daily Closes'!AD16</f>
        <v/>
      </c>
      <c r="C12" s="10" t="n"/>
      <c r="E12" s="13">
        <f>'Daily Closes'!AC16</f>
        <v/>
      </c>
      <c r="F12" s="10" t="n"/>
      <c r="H12" s="11">
        <f>'Daily Closes'!E16*0.006</f>
        <v/>
      </c>
      <c r="I12" s="10" t="n"/>
      <c r="K12" s="11">
        <f>B12-H12</f>
        <v/>
      </c>
      <c r="L12" s="10" t="n"/>
    </row>
    <row r="13">
      <c r="B13" s="12" t="inlineStr">
        <is>
          <t>Before costs</t>
        </is>
      </c>
      <c r="C13" s="10" t="n"/>
      <c r="E13" s="12" t="inlineStr">
        <is>
          <t>vs entry</t>
        </is>
      </c>
      <c r="F13" s="10" t="n"/>
      <c r="H13" s="12" t="inlineStr">
        <is>
          <t>0.6% round trip</t>
        </is>
      </c>
      <c r="I13" s="10" t="n"/>
      <c r="K13" s="12" t="inlineStr">
        <is>
          <t>After est. costs</t>
        </is>
      </c>
      <c r="L13" s="10" t="n"/>
    </row>
    <row r="15">
      <c r="B15" s="7" t="inlineStr">
        <is>
          <t>NIFTY 50</t>
        </is>
      </c>
      <c r="C15" s="8" t="n"/>
      <c r="E15" s="7" t="inlineStr">
        <is>
          <t>ALPHA vs NIFTY</t>
        </is>
      </c>
      <c r="F15" s="8" t="n"/>
      <c r="H15" s="7" t="inlineStr">
        <is>
          <t>WINNERS / LOSERS</t>
        </is>
      </c>
      <c r="I15" s="8" t="n"/>
      <c r="K15" s="7" t="inlineStr">
        <is>
          <t>MAX DRAWDOWN</t>
        </is>
      </c>
      <c r="L15" s="8" t="n"/>
    </row>
    <row r="16" ht="26" customHeight="1">
      <c r="B16" s="13" t="n">
        <v>-0.007778667925066651</v>
      </c>
      <c r="C16" s="10" t="n"/>
      <c r="E16" s="13" t="n">
        <v>0.07115687399908829</v>
      </c>
      <c r="F16" s="10" t="n"/>
      <c r="H16" s="9" t="inlineStr">
        <is>
          <t>7 / 3</t>
        </is>
      </c>
      <c r="I16" s="10" t="n"/>
      <c r="K16" s="13" t="n">
        <v>-0.01975050041810578</v>
      </c>
      <c r="L16" s="10" t="n"/>
    </row>
    <row r="17">
      <c r="B17" s="12" t="inlineStr">
        <is>
          <t>Same window</t>
        </is>
      </c>
      <c r="C17" s="10" t="n"/>
      <c r="E17" s="12" t="inlineStr">
        <is>
          <t>Gross return − Nifty</t>
        </is>
      </c>
      <c r="F17" s="10" t="n"/>
      <c r="H17" s="12" t="inlineStr">
        <is>
          <t>of 10 stocks</t>
        </is>
      </c>
      <c r="I17" s="10" t="n"/>
      <c r="K17" s="12" t="inlineStr">
        <is>
          <t>Peak-to-trough, portfolio</t>
        </is>
      </c>
      <c r="L17" s="10" t="n"/>
    </row>
    <row r="19">
      <c r="B19" s="14" t="inlineStr">
        <is>
          <t>STOCK LEAGUE TABLE (sorted by return)</t>
        </is>
      </c>
    </row>
    <row r="20">
      <c r="B20" s="15" t="inlineStr">
        <is>
          <t>Symbol</t>
        </is>
      </c>
      <c r="C20" s="15" t="inlineStr">
        <is>
          <t>Qty</t>
        </is>
      </c>
      <c r="D20" s="15" t="inlineStr">
        <is>
          <t>Entry ₹</t>
        </is>
      </c>
      <c r="E20" s="15" t="inlineStr">
        <is>
          <t>Last ₹</t>
        </is>
      </c>
      <c r="F20" s="15" t="inlineStr">
        <is>
          <t>Return %</t>
        </is>
      </c>
      <c r="G20" s="15" t="inlineStr">
        <is>
          <t>P&amp;L ₹</t>
        </is>
      </c>
      <c r="H20" s="15" t="inlineStr">
        <is>
          <t>Max gain %</t>
        </is>
      </c>
      <c r="I20" s="15" t="inlineStr">
        <is>
          <t>Max loss %</t>
        </is>
      </c>
      <c r="J20" s="15" t="inlineStr">
        <is>
          <t>Weight %</t>
        </is>
      </c>
      <c r="K20" s="15" t="inlineStr">
        <is>
          <t>Contrib %</t>
        </is>
      </c>
    </row>
    <row r="21">
      <c r="B21" s="16" t="inlineStr">
        <is>
          <t>E2E</t>
        </is>
      </c>
      <c r="C21" s="17" t="n">
        <v>23</v>
      </c>
      <c r="D21" s="18" t="n">
        <v>619.55</v>
      </c>
      <c r="E21" s="18" t="n">
        <v>723.3</v>
      </c>
      <c r="F21" s="19" t="n">
        <v>0.16746</v>
      </c>
      <c r="G21" s="20" t="n">
        <v>2386.25</v>
      </c>
      <c r="H21" s="19" t="n">
        <v>0.16746</v>
      </c>
      <c r="I21" s="19" t="n">
        <v>0.04592</v>
      </c>
      <c r="J21" s="21" t="n">
        <v>0.101816</v>
      </c>
      <c r="K21" s="19" t="n">
        <v>0.01705</v>
      </c>
    </row>
    <row r="22">
      <c r="B22" s="22" t="inlineStr">
        <is>
          <t>TDPOWERSYS</t>
        </is>
      </c>
      <c r="C22" s="23" t="n">
        <v>20</v>
      </c>
      <c r="D22" s="24" t="n">
        <v>719</v>
      </c>
      <c r="E22" s="24" t="n">
        <v>821.1</v>
      </c>
      <c r="F22" s="25" t="n">
        <v>0.142003</v>
      </c>
      <c r="G22" s="26" t="n">
        <v>2042</v>
      </c>
      <c r="H22" s="25" t="n">
        <v>0.142003</v>
      </c>
      <c r="I22" s="25" t="n">
        <v>0.081154</v>
      </c>
      <c r="J22" s="27" t="n">
        <v>0.102747</v>
      </c>
      <c r="K22" s="25" t="n">
        <v>0.01459</v>
      </c>
    </row>
    <row r="23">
      <c r="B23" s="16" t="inlineStr">
        <is>
          <t>RRKABEL</t>
        </is>
      </c>
      <c r="C23" s="17" t="n">
        <v>6</v>
      </c>
      <c r="D23" s="18" t="n">
        <v>2459.8</v>
      </c>
      <c r="E23" s="18" t="n">
        <v>2722.5</v>
      </c>
      <c r="F23" s="19" t="n">
        <v>0.106797</v>
      </c>
      <c r="G23" s="20" t="n">
        <v>1576.2</v>
      </c>
      <c r="H23" s="19" t="n">
        <v>0.134117</v>
      </c>
      <c r="I23" s="19" t="n">
        <v>0.023742</v>
      </c>
      <c r="J23" s="21" t="n">
        <v>0.105454</v>
      </c>
      <c r="K23" s="19" t="n">
        <v>0.011262</v>
      </c>
    </row>
    <row r="24">
      <c r="B24" s="22" t="inlineStr">
        <is>
          <t>AEROFLEX</t>
        </is>
      </c>
      <c r="C24" s="23" t="n">
        <v>29</v>
      </c>
      <c r="D24" s="24" t="n">
        <v>511.3</v>
      </c>
      <c r="E24" s="24" t="n">
        <v>563.85</v>
      </c>
      <c r="F24" s="25" t="n">
        <v>0.102777</v>
      </c>
      <c r="G24" s="26" t="n">
        <v>1523.95</v>
      </c>
      <c r="H24" s="25" t="n">
        <v>0.102777</v>
      </c>
      <c r="I24" s="25" t="n">
        <v>0.019656</v>
      </c>
      <c r="J24" s="27" t="n">
        <v>0.105946</v>
      </c>
      <c r="K24" s="25" t="n">
        <v>0.010889</v>
      </c>
    </row>
    <row r="25">
      <c r="B25" s="16" t="inlineStr">
        <is>
          <t>DIACABS</t>
        </is>
      </c>
      <c r="C25" s="17" t="n">
        <v>44</v>
      </c>
      <c r="D25" s="18" t="n">
        <v>336.9</v>
      </c>
      <c r="E25" s="18" t="n">
        <v>369.15</v>
      </c>
      <c r="F25" s="19" t="n">
        <v>0.09572600000000001</v>
      </c>
      <c r="G25" s="20" t="n">
        <v>1419</v>
      </c>
      <c r="H25" s="19" t="n">
        <v>0.09572600000000001</v>
      </c>
      <c r="I25" s="19" t="n">
        <v>0.024043</v>
      </c>
      <c r="J25" s="21" t="n">
        <v>0.105917</v>
      </c>
      <c r="K25" s="19" t="n">
        <v>0.010139</v>
      </c>
    </row>
    <row r="26">
      <c r="B26" s="22" t="inlineStr">
        <is>
          <t>KIRLOSENG</t>
        </is>
      </c>
      <c r="C26" s="23" t="n">
        <v>7</v>
      </c>
      <c r="D26" s="24" t="n">
        <v>2141.2</v>
      </c>
      <c r="E26" s="24" t="n">
        <v>2230.8</v>
      </c>
      <c r="F26" s="25" t="n">
        <v>0.041846</v>
      </c>
      <c r="G26" s="26" t="n">
        <v>627.2</v>
      </c>
      <c r="H26" s="25" t="n">
        <v>0.121801</v>
      </c>
      <c r="I26" s="25" t="n">
        <v>0.041846</v>
      </c>
      <c r="J26" s="27" t="n">
        <v>0.107094</v>
      </c>
      <c r="K26" s="25" t="n">
        <v>0.004481</v>
      </c>
    </row>
    <row r="27">
      <c r="B27" s="16" t="inlineStr">
        <is>
          <t>LAURUSLABS</t>
        </is>
      </c>
      <c r="C27" s="17" t="n">
        <v>7</v>
      </c>
      <c r="D27" s="18" t="n">
        <v>2020.7</v>
      </c>
      <c r="E27" s="18" t="n">
        <v>2052.8</v>
      </c>
      <c r="F27" s="19" t="n">
        <v>0.015886</v>
      </c>
      <c r="G27" s="20" t="n">
        <v>224.7</v>
      </c>
      <c r="H27" s="19" t="n">
        <v>0.015886</v>
      </c>
      <c r="I27" s="19" t="n">
        <v>-0.024397</v>
      </c>
      <c r="J27" s="21" t="n">
        <v>0.101067</v>
      </c>
      <c r="K27" s="19" t="n">
        <v>0.001606</v>
      </c>
    </row>
    <row r="28">
      <c r="B28" s="22" t="inlineStr">
        <is>
          <t>ATHERENERG</t>
        </is>
      </c>
      <c r="C28" s="23" t="n">
        <v>10</v>
      </c>
      <c r="D28" s="24" t="n">
        <v>1460.2</v>
      </c>
      <c r="E28" s="24" t="n">
        <v>1455</v>
      </c>
      <c r="F28" s="25" t="n">
        <v>-0.003561</v>
      </c>
      <c r="G28" s="26" t="n">
        <v>-52</v>
      </c>
      <c r="H28" s="25" t="n">
        <v>-0.003561</v>
      </c>
      <c r="I28" s="25" t="n">
        <v>-0.03705</v>
      </c>
      <c r="J28" s="27" t="n">
        <v>0.104333</v>
      </c>
      <c r="K28" s="25" t="n">
        <v>-0.000372</v>
      </c>
    </row>
    <row r="29">
      <c r="B29" s="16" t="inlineStr">
        <is>
          <t>ACUTAAS</t>
        </is>
      </c>
      <c r="C29" s="17" t="n">
        <v>4</v>
      </c>
      <c r="D29" s="18" t="n">
        <v>3290</v>
      </c>
      <c r="E29" s="18" t="n">
        <v>3174.2</v>
      </c>
      <c r="F29" s="19" t="n">
        <v>-0.035198</v>
      </c>
      <c r="G29" s="20" t="n">
        <v>-463.2</v>
      </c>
      <c r="H29" s="19" t="n">
        <v>0.004286</v>
      </c>
      <c r="I29" s="19" t="n">
        <v>-0.051003</v>
      </c>
      <c r="J29" s="21" t="n">
        <v>0.09403</v>
      </c>
      <c r="K29" s="19" t="n">
        <v>-0.00331</v>
      </c>
    </row>
    <row r="30">
      <c r="B30" s="22" t="inlineStr">
        <is>
          <t>THANGAMAYL</t>
        </is>
      </c>
      <c r="C30" s="23" t="n">
        <v>2</v>
      </c>
      <c r="D30" s="24" t="n">
        <v>5010</v>
      </c>
      <c r="E30" s="24" t="n">
        <v>4803</v>
      </c>
      <c r="F30" s="25" t="n">
        <v>-0.041317</v>
      </c>
      <c r="G30" s="26" t="n">
        <v>-414</v>
      </c>
      <c r="H30" s="25" t="n">
        <v>0.038822</v>
      </c>
      <c r="I30" s="25" t="n">
        <v>-0.052495</v>
      </c>
      <c r="J30" s="27" t="n">
        <v>0.071594</v>
      </c>
      <c r="K30" s="25" t="n">
        <v>-0.002958</v>
      </c>
    </row>
  </sheetData>
  <mergeCells count="38">
    <mergeCell ref="K16:L16"/>
    <mergeCell ref="E12:F12"/>
    <mergeCell ref="B16:C16"/>
    <mergeCell ref="B7:C7"/>
    <mergeCell ref="K15:L15"/>
    <mergeCell ref="K9:L9"/>
    <mergeCell ref="E17:F17"/>
    <mergeCell ref="H9:I9"/>
    <mergeCell ref="E8:F8"/>
    <mergeCell ref="B12:C12"/>
    <mergeCell ref="A2:L2"/>
    <mergeCell ref="K11:L11"/>
    <mergeCell ref="B11:C11"/>
    <mergeCell ref="E13:F13"/>
    <mergeCell ref="B17:C17"/>
    <mergeCell ref="E9:F9"/>
    <mergeCell ref="B8:C8"/>
    <mergeCell ref="H17:I17"/>
    <mergeCell ref="B13:C13"/>
    <mergeCell ref="H11:I11"/>
    <mergeCell ref="K12:L12"/>
    <mergeCell ref="E15:F15"/>
    <mergeCell ref="K8:L8"/>
    <mergeCell ref="H16:I16"/>
    <mergeCell ref="H7:I7"/>
    <mergeCell ref="E11:F11"/>
    <mergeCell ref="B9:C9"/>
    <mergeCell ref="H13:I13"/>
    <mergeCell ref="K17:L17"/>
    <mergeCell ref="K7:L7"/>
    <mergeCell ref="H12:I12"/>
    <mergeCell ref="B15:C15"/>
    <mergeCell ref="E16:F16"/>
    <mergeCell ref="E7:F7"/>
    <mergeCell ref="A1:L1"/>
    <mergeCell ref="H15:I15"/>
    <mergeCell ref="H8:I8"/>
    <mergeCell ref="K13:L13"/>
  </mergeCells>
  <conditionalFormatting sqref="B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B1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E1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16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F21:F30">
    <cfRule type="cellIs" priority="13" operator="greaterThan" dxfId="2">
      <formula>0</formula>
    </cfRule>
    <cfRule type="cellIs" priority="14" operator="lessThan" dxfId="3">
      <formula>0</formula>
    </cfRule>
  </conditionalFormatting>
  <conditionalFormatting sqref="G21:G30">
    <cfRule type="cellIs" priority="15" operator="greaterThan" dxfId="2">
      <formula>0</formula>
    </cfRule>
    <cfRule type="cellIs" priority="16" operator="lessThan" dxfId="3">
      <formula>0</formula>
    </cfRule>
    <cfRule type="dataBar" priority="23">
      <dataBar showValue="1">
        <cfvo type="min"/>
        <cfvo type="max"/>
        <color rgb="005B8DEF"/>
      </dataBar>
    </cfRule>
  </conditionalFormatting>
  <conditionalFormatting sqref="H21:H30">
    <cfRule type="cellIs" priority="17" operator="greaterThan" dxfId="2">
      <formula>0</formula>
    </cfRule>
    <cfRule type="cellIs" priority="18" operator="lessThan" dxfId="3">
      <formula>0</formula>
    </cfRule>
  </conditionalFormatting>
  <conditionalFormatting sqref="I21:I30">
    <cfRule type="cellIs" priority="19" operator="greaterThan" dxfId="2">
      <formula>0</formula>
    </cfRule>
    <cfRule type="cellIs" priority="20" operator="lessThan" dxfId="3">
      <formula>0</formula>
    </cfRule>
  </conditionalFormatting>
  <conditionalFormatting sqref="K21:K30">
    <cfRule type="cellIs" priority="21" operator="greaterThan" dxfId="2">
      <formula>0</formula>
    </cfRule>
    <cfRule type="cellIs" priority="22" operator="lessThan" dxfId="3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7C86"/>
    <outlinePr summaryBelow="1" summaryRight="1"/>
    <pageSetUpPr fitToPage="1"/>
  </sheetPr>
  <dimension ref="A1:AF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11" customWidth="1" min="28" max="28"/>
    <col width="10" customWidth="1" min="29" max="29"/>
    <col width="11" customWidth="1" min="30" max="30"/>
    <col width="10" customWidth="1" min="31" max="31"/>
    <col width="9" customWidth="1" min="32" max="32"/>
  </cols>
  <sheetData>
    <row r="1" ht="30" customHeight="1">
      <c r="A1" s="1" t="inlineStr">
        <is>
          <t>SwingScope Batch 2026-09-28 — Daily Close Tracker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</row>
    <row r="2" ht="18" customHeight="1">
      <c r="A2" s="3" t="inlineStr">
        <is>
          <t>Signal 2026-09-28  •  Day 7 of 21  •  Holding  •  Exit ~2026-10-29  •  Updated 07-Oct-2026 12:35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</row>
    <row r="3">
      <c r="A3" s="28" t="inlineStr">
        <is>
          <t>Closes from Day 0 (signal) to Day 21 (exit). Highlighted column = latest session. Grey = future session (projected date).</t>
        </is>
      </c>
    </row>
    <row r="4" ht="20" customHeight="1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29" t="inlineStr">
        <is>
          <t>Day 0</t>
        </is>
      </c>
      <c r="G4" s="29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30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29" t="inlineStr">
        <is>
          <t>Day 21</t>
        </is>
      </c>
      <c r="AB4" s="31" t="inlineStr">
        <is>
          <t>Last Close</t>
        </is>
      </c>
      <c r="AC4" s="31" t="inlineStr">
        <is>
          <t>Return %</t>
        </is>
      </c>
      <c r="AD4" s="31" t="inlineStr">
        <is>
          <t>P&amp;L ₹</t>
        </is>
      </c>
      <c r="AE4" s="31" t="inlineStr">
        <is>
          <t>Day Chg %</t>
        </is>
      </c>
      <c r="AF4" s="31" t="inlineStr">
        <is>
          <t>Trend</t>
        </is>
      </c>
    </row>
    <row r="5">
      <c r="A5" s="32" t="n"/>
      <c r="B5" s="32" t="n"/>
      <c r="C5" s="32" t="n"/>
      <c r="D5" s="32" t="n"/>
      <c r="E5" s="32" t="n"/>
      <c r="F5" s="33" t="inlineStr">
        <is>
          <t>28-Sep</t>
        </is>
      </c>
      <c r="G5" s="33" t="inlineStr">
        <is>
          <t>29-Sep</t>
        </is>
      </c>
      <c r="H5" s="33" t="inlineStr">
        <is>
          <t>30-Sep</t>
        </is>
      </c>
      <c r="I5" s="33" t="inlineStr">
        <is>
          <t>01-Oct</t>
        </is>
      </c>
      <c r="J5" s="33" t="inlineStr">
        <is>
          <t>02-Oct</t>
        </is>
      </c>
      <c r="K5" s="33" t="inlineStr">
        <is>
          <t>05-Oct</t>
        </is>
      </c>
      <c r="L5" s="33" t="inlineStr">
        <is>
          <t>06-Oct</t>
        </is>
      </c>
      <c r="M5" s="33" t="inlineStr">
        <is>
          <t>07-Oct</t>
        </is>
      </c>
      <c r="N5" s="34" t="inlineStr">
        <is>
          <t>09-Oct (p)</t>
        </is>
      </c>
      <c r="O5" s="34" t="inlineStr">
        <is>
          <t>12-Oct (p)</t>
        </is>
      </c>
      <c r="P5" s="34" t="inlineStr">
        <is>
          <t>13-Oct (p)</t>
        </is>
      </c>
      <c r="Q5" s="34" t="inlineStr">
        <is>
          <t>14-Oct (p)</t>
        </is>
      </c>
      <c r="R5" s="34" t="inlineStr">
        <is>
          <t>15-Oct (p)</t>
        </is>
      </c>
      <c r="S5" s="34" t="inlineStr">
        <is>
          <t>16-Oct (p)</t>
        </is>
      </c>
      <c r="T5" s="34" t="inlineStr">
        <is>
          <t>19-Oct (p)</t>
        </is>
      </c>
      <c r="U5" s="34" t="inlineStr">
        <is>
          <t>21-Oct (p)</t>
        </is>
      </c>
      <c r="V5" s="34" t="inlineStr">
        <is>
          <t>22-Oct (p)</t>
        </is>
      </c>
      <c r="W5" s="34" t="inlineStr">
        <is>
          <t>23-Oct (p)</t>
        </is>
      </c>
      <c r="X5" s="34" t="inlineStr">
        <is>
          <t>26-Oct (p)</t>
        </is>
      </c>
      <c r="Y5" s="34" t="inlineStr">
        <is>
          <t>27-Oct (p)</t>
        </is>
      </c>
      <c r="Z5" s="34" t="inlineStr">
        <is>
          <t>28-Oct (p)</t>
        </is>
      </c>
      <c r="AA5" s="34" t="inlineStr">
        <is>
          <t>29-Oct (p)</t>
        </is>
      </c>
      <c r="AB5" s="32" t="n"/>
      <c r="AC5" s="32" t="n"/>
      <c r="AD5" s="32" t="n"/>
      <c r="AE5" s="32" t="n"/>
      <c r="AF5" s="32" t="n"/>
    </row>
    <row r="6">
      <c r="A6" s="35" t="n">
        <v>1</v>
      </c>
      <c r="B6" s="16" t="inlineStr">
        <is>
          <t>TDPOWERSYS</t>
        </is>
      </c>
      <c r="C6" s="36" t="inlineStr">
        <is>
          <t>INE419M01035</t>
        </is>
      </c>
      <c r="D6" s="17" t="n">
        <v>20</v>
      </c>
      <c r="E6" s="37" t="n">
        <v>719</v>
      </c>
      <c r="F6" s="18" t="n">
        <v>722</v>
      </c>
      <c r="G6" s="18" t="n">
        <v>777.35</v>
      </c>
      <c r="H6" s="18" t="n">
        <v>786.05</v>
      </c>
      <c r="I6" s="18" t="n">
        <v>792.15</v>
      </c>
      <c r="J6" s="18" t="n">
        <v>792.15</v>
      </c>
      <c r="K6" s="18" t="n">
        <v>812.9</v>
      </c>
      <c r="L6" s="18" t="n">
        <v>816</v>
      </c>
      <c r="M6" s="38" t="n">
        <v>821.1</v>
      </c>
      <c r="N6" s="39" t="n"/>
      <c r="O6" s="39" t="n"/>
      <c r="P6" s="39" t="n"/>
      <c r="Q6" s="39" t="n"/>
      <c r="R6" s="39" t="n"/>
      <c r="S6" s="39" t="n"/>
      <c r="T6" s="39" t="n"/>
      <c r="U6" s="39" t="n"/>
      <c r="V6" s="39" t="n"/>
      <c r="W6" s="39" t="n"/>
      <c r="X6" s="39" t="n"/>
      <c r="Y6" s="39" t="n"/>
      <c r="Z6" s="39" t="n"/>
      <c r="AA6" s="39" t="n"/>
      <c r="AB6" s="37">
        <f>LOOKUP(2,1/(F6:AA6&lt;&gt;""),F6:AA6)</f>
        <v/>
      </c>
      <c r="AC6" s="40">
        <f>AB6/E6-1</f>
        <v/>
      </c>
      <c r="AD6" s="41">
        <f>D6*(AB6-E6)</f>
        <v/>
      </c>
      <c r="AE6" s="19">
        <f>IFERROR(M6/L6-1,0)</f>
        <v/>
      </c>
      <c r="AF6" s="35">
        <f>IF(AC6&gt;0,"▲ Up",IF(AC6&lt;0,"▼ Down","■ Flat"))</f>
        <v/>
      </c>
    </row>
    <row r="7">
      <c r="A7" s="42" t="n">
        <v>2</v>
      </c>
      <c r="B7" s="22" t="inlineStr">
        <is>
          <t>AEROFLEX</t>
        </is>
      </c>
      <c r="C7" s="43" t="inlineStr">
        <is>
          <t>INE024001021</t>
        </is>
      </c>
      <c r="D7" s="23" t="n">
        <v>29</v>
      </c>
      <c r="E7" s="44" t="n">
        <v>511.3</v>
      </c>
      <c r="F7" s="24" t="n">
        <v>513.4</v>
      </c>
      <c r="G7" s="24" t="n">
        <v>539.6</v>
      </c>
      <c r="H7" s="24" t="n">
        <v>536.6</v>
      </c>
      <c r="I7" s="24" t="n">
        <v>521.35</v>
      </c>
      <c r="J7" s="24" t="n">
        <v>521.35</v>
      </c>
      <c r="K7" s="24" t="n">
        <v>544.35</v>
      </c>
      <c r="L7" s="24" t="n">
        <v>560.75</v>
      </c>
      <c r="M7" s="38" t="n">
        <v>563.85</v>
      </c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7">
        <f>LOOKUP(2,1/(F7:AA7&lt;&gt;""),F7:AA7)</f>
        <v/>
      </c>
      <c r="AC7" s="40">
        <f>AB7/E7-1</f>
        <v/>
      </c>
      <c r="AD7" s="41">
        <f>D7*(AB7-E7)</f>
        <v/>
      </c>
      <c r="AE7" s="19">
        <f>IFERROR(M7/L7-1,0)</f>
        <v/>
      </c>
      <c r="AF7" s="35">
        <f>IF(AC7&gt;0,"▲ Up",IF(AC7&lt;0,"▼ Down","■ Flat"))</f>
        <v/>
      </c>
    </row>
    <row r="8">
      <c r="A8" s="35" t="n">
        <v>3</v>
      </c>
      <c r="B8" s="16" t="inlineStr">
        <is>
          <t>ATHERENERG</t>
        </is>
      </c>
      <c r="C8" s="36" t="inlineStr">
        <is>
          <t>INE0LEZ01016</t>
        </is>
      </c>
      <c r="D8" s="17" t="n">
        <v>10</v>
      </c>
      <c r="E8" s="37" t="n">
        <v>1460.2</v>
      </c>
      <c r="F8" s="18" t="n">
        <v>1454.9</v>
      </c>
      <c r="G8" s="18" t="n">
        <v>1407</v>
      </c>
      <c r="H8" s="18" t="n">
        <v>1425</v>
      </c>
      <c r="I8" s="18" t="n">
        <v>1406.1</v>
      </c>
      <c r="J8" s="18" t="n">
        <v>1406.1</v>
      </c>
      <c r="K8" s="18" t="n">
        <v>1409.9</v>
      </c>
      <c r="L8" s="18" t="n">
        <v>1446</v>
      </c>
      <c r="M8" s="38" t="n">
        <v>1455</v>
      </c>
      <c r="N8" s="39" t="n"/>
      <c r="O8" s="39" t="n"/>
      <c r="P8" s="39" t="n"/>
      <c r="Q8" s="39" t="n"/>
      <c r="R8" s="39" t="n"/>
      <c r="S8" s="39" t="n"/>
      <c r="T8" s="39" t="n"/>
      <c r="U8" s="39" t="n"/>
      <c r="V8" s="39" t="n"/>
      <c r="W8" s="39" t="n"/>
      <c r="X8" s="39" t="n"/>
      <c r="Y8" s="39" t="n"/>
      <c r="Z8" s="39" t="n"/>
      <c r="AA8" s="39" t="n"/>
      <c r="AB8" s="37">
        <f>LOOKUP(2,1/(F8:AA8&lt;&gt;""),F8:AA8)</f>
        <v/>
      </c>
      <c r="AC8" s="40">
        <f>AB8/E8-1</f>
        <v/>
      </c>
      <c r="AD8" s="41">
        <f>D8*(AB8-E8)</f>
        <v/>
      </c>
      <c r="AE8" s="19">
        <f>IFERROR(M8/L8-1,0)</f>
        <v/>
      </c>
      <c r="AF8" s="35">
        <f>IF(AC8&gt;0,"▲ Up",IF(AC8&lt;0,"▼ Down","■ Flat"))</f>
        <v/>
      </c>
    </row>
    <row r="9">
      <c r="A9" s="42" t="n">
        <v>4</v>
      </c>
      <c r="B9" s="22" t="inlineStr">
        <is>
          <t>THANGAMAYL</t>
        </is>
      </c>
      <c r="C9" s="43" t="inlineStr">
        <is>
          <t>INE085J01014</t>
        </is>
      </c>
      <c r="D9" s="23" t="n">
        <v>2</v>
      </c>
      <c r="E9" s="44" t="n">
        <v>5010</v>
      </c>
      <c r="F9" s="24" t="n">
        <v>5011.5</v>
      </c>
      <c r="G9" s="24" t="n">
        <v>5204.5</v>
      </c>
      <c r="H9" s="24" t="n">
        <v>5062</v>
      </c>
      <c r="I9" s="24" t="n">
        <v>4861</v>
      </c>
      <c r="J9" s="24" t="n">
        <v>4861</v>
      </c>
      <c r="K9" s="24" t="n">
        <v>4747</v>
      </c>
      <c r="L9" s="24" t="n">
        <v>4758.5</v>
      </c>
      <c r="M9" s="38" t="n">
        <v>4803</v>
      </c>
      <c r="N9" s="39" t="n"/>
      <c r="O9" s="39" t="n"/>
      <c r="P9" s="39" t="n"/>
      <c r="Q9" s="39" t="n"/>
      <c r="R9" s="39" t="n"/>
      <c r="S9" s="39" t="n"/>
      <c r="T9" s="39" t="n"/>
      <c r="U9" s="39" t="n"/>
      <c r="V9" s="39" t="n"/>
      <c r="W9" s="39" t="n"/>
      <c r="X9" s="39" t="n"/>
      <c r="Y9" s="39" t="n"/>
      <c r="Z9" s="39" t="n"/>
      <c r="AA9" s="39" t="n"/>
      <c r="AB9" s="37">
        <f>LOOKUP(2,1/(F9:AA9&lt;&gt;""),F9:AA9)</f>
        <v/>
      </c>
      <c r="AC9" s="40">
        <f>AB9/E9-1</f>
        <v/>
      </c>
      <c r="AD9" s="41">
        <f>D9*(AB9-E9)</f>
        <v/>
      </c>
      <c r="AE9" s="19">
        <f>IFERROR(M9/L9-1,0)</f>
        <v/>
      </c>
      <c r="AF9" s="35">
        <f>IF(AC9&gt;0,"▲ Up",IF(AC9&lt;0,"▼ Down","■ Flat"))</f>
        <v/>
      </c>
    </row>
    <row r="10">
      <c r="A10" s="35" t="n">
        <v>5</v>
      </c>
      <c r="B10" s="16" t="inlineStr">
        <is>
          <t>RRKABEL</t>
        </is>
      </c>
      <c r="C10" s="36" t="inlineStr">
        <is>
          <t>INE777K01022</t>
        </is>
      </c>
      <c r="D10" s="17" t="n">
        <v>6</v>
      </c>
      <c r="E10" s="37" t="n">
        <v>2459.8</v>
      </c>
      <c r="F10" s="18" t="n">
        <v>2459.8</v>
      </c>
      <c r="G10" s="18" t="n">
        <v>2523.2</v>
      </c>
      <c r="H10" s="18" t="n">
        <v>2518.6</v>
      </c>
      <c r="I10" s="18" t="n">
        <v>2518.2</v>
      </c>
      <c r="J10" s="18" t="n">
        <v>2518.2</v>
      </c>
      <c r="K10" s="18" t="n">
        <v>2648</v>
      </c>
      <c r="L10" s="18" t="n">
        <v>2789.7</v>
      </c>
      <c r="M10" s="38" t="n">
        <v>2722.5</v>
      </c>
      <c r="N10" s="39" t="n"/>
      <c r="O10" s="39" t="n"/>
      <c r="P10" s="39" t="n"/>
      <c r="Q10" s="39" t="n"/>
      <c r="R10" s="39" t="n"/>
      <c r="S10" s="39" t="n"/>
      <c r="T10" s="39" t="n"/>
      <c r="U10" s="39" t="n"/>
      <c r="V10" s="39" t="n"/>
      <c r="W10" s="39" t="n"/>
      <c r="X10" s="39" t="n"/>
      <c r="Y10" s="39" t="n"/>
      <c r="Z10" s="39" t="n"/>
      <c r="AA10" s="39" t="n"/>
      <c r="AB10" s="37">
        <f>LOOKUP(2,1/(F10:AA10&lt;&gt;""),F10:AA10)</f>
        <v/>
      </c>
      <c r="AC10" s="40">
        <f>AB10/E10-1</f>
        <v/>
      </c>
      <c r="AD10" s="41">
        <f>D10*(AB10-E10)</f>
        <v/>
      </c>
      <c r="AE10" s="19">
        <f>IFERROR(M10/L10-1,0)</f>
        <v/>
      </c>
      <c r="AF10" s="35">
        <f>IF(AC10&gt;0,"▲ Up",IF(AC10&lt;0,"▼ Down","■ Flat"))</f>
        <v/>
      </c>
    </row>
    <row r="11">
      <c r="A11" s="42" t="n">
        <v>6</v>
      </c>
      <c r="B11" s="22" t="inlineStr">
        <is>
          <t>ACUTAAS</t>
        </is>
      </c>
      <c r="C11" s="43" t="inlineStr">
        <is>
          <t>INE00FF01025</t>
        </is>
      </c>
      <c r="D11" s="23" t="n">
        <v>4</v>
      </c>
      <c r="E11" s="44" t="n">
        <v>3290</v>
      </c>
      <c r="F11" s="24" t="n">
        <v>3214.4</v>
      </c>
      <c r="G11" s="24" t="n">
        <v>3304.1</v>
      </c>
      <c r="H11" s="24" t="n">
        <v>3279.4</v>
      </c>
      <c r="I11" s="24" t="n">
        <v>3196.5</v>
      </c>
      <c r="J11" s="24" t="n">
        <v>3196.5</v>
      </c>
      <c r="K11" s="24" t="n">
        <v>3122.2</v>
      </c>
      <c r="L11" s="24" t="n">
        <v>3156.7</v>
      </c>
      <c r="M11" s="38" t="n">
        <v>3174.2</v>
      </c>
      <c r="N11" s="39" t="n"/>
      <c r="O11" s="39" t="n"/>
      <c r="P11" s="39" t="n"/>
      <c r="Q11" s="39" t="n"/>
      <c r="R11" s="39" t="n"/>
      <c r="S11" s="39" t="n"/>
      <c r="T11" s="39" t="n"/>
      <c r="U11" s="39" t="n"/>
      <c r="V11" s="39" t="n"/>
      <c r="W11" s="39" t="n"/>
      <c r="X11" s="39" t="n"/>
      <c r="Y11" s="39" t="n"/>
      <c r="Z11" s="39" t="n"/>
      <c r="AA11" s="39" t="n"/>
      <c r="AB11" s="37">
        <f>LOOKUP(2,1/(F11:AA11&lt;&gt;""),F11:AA11)</f>
        <v/>
      </c>
      <c r="AC11" s="40">
        <f>AB11/E11-1</f>
        <v/>
      </c>
      <c r="AD11" s="41">
        <f>D11*(AB11-E11)</f>
        <v/>
      </c>
      <c r="AE11" s="19">
        <f>IFERROR(M11/L11-1,0)</f>
        <v/>
      </c>
      <c r="AF11" s="35">
        <f>IF(AC11&gt;0,"▲ Up",IF(AC11&lt;0,"▼ Down","■ Flat"))</f>
        <v/>
      </c>
    </row>
    <row r="12">
      <c r="A12" s="35" t="n">
        <v>7</v>
      </c>
      <c r="B12" s="16" t="inlineStr">
        <is>
          <t>DIACABS</t>
        </is>
      </c>
      <c r="C12" s="36" t="inlineStr">
        <is>
          <t>INE989C01038</t>
        </is>
      </c>
      <c r="D12" s="17" t="n">
        <v>44</v>
      </c>
      <c r="E12" s="37" t="n">
        <v>336.9</v>
      </c>
      <c r="F12" s="18" t="n">
        <v>339.25</v>
      </c>
      <c r="G12" s="18" t="n">
        <v>352.05</v>
      </c>
      <c r="H12" s="18" t="n">
        <v>354.2</v>
      </c>
      <c r="I12" s="18" t="n">
        <v>345</v>
      </c>
      <c r="J12" s="18" t="n">
        <v>345</v>
      </c>
      <c r="K12" s="18" t="n">
        <v>350.8</v>
      </c>
      <c r="L12" s="18" t="n">
        <v>368.3</v>
      </c>
      <c r="M12" s="38" t="n">
        <v>369.15</v>
      </c>
      <c r="N12" s="39" t="n"/>
      <c r="O12" s="39" t="n"/>
      <c r="P12" s="39" t="n"/>
      <c r="Q12" s="39" t="n"/>
      <c r="R12" s="39" t="n"/>
      <c r="S12" s="39" t="n"/>
      <c r="T12" s="39" t="n"/>
      <c r="U12" s="39" t="n"/>
      <c r="V12" s="39" t="n"/>
      <c r="W12" s="39" t="n"/>
      <c r="X12" s="39" t="n"/>
      <c r="Y12" s="39" t="n"/>
      <c r="Z12" s="39" t="n"/>
      <c r="AA12" s="39" t="n"/>
      <c r="AB12" s="37">
        <f>LOOKUP(2,1/(F12:AA12&lt;&gt;""),F12:AA12)</f>
        <v/>
      </c>
      <c r="AC12" s="40">
        <f>AB12/E12-1</f>
        <v/>
      </c>
      <c r="AD12" s="41">
        <f>D12*(AB12-E12)</f>
        <v/>
      </c>
      <c r="AE12" s="19">
        <f>IFERROR(M12/L12-1,0)</f>
        <v/>
      </c>
      <c r="AF12" s="35">
        <f>IF(AC12&gt;0,"▲ Up",IF(AC12&lt;0,"▼ Down","■ Flat"))</f>
        <v/>
      </c>
    </row>
    <row r="13">
      <c r="A13" s="42" t="n">
        <v>8</v>
      </c>
      <c r="B13" s="22" t="inlineStr">
        <is>
          <t>KIRLOSENG</t>
        </is>
      </c>
      <c r="C13" s="43" t="inlineStr">
        <is>
          <t>INE146L01010</t>
        </is>
      </c>
      <c r="D13" s="23" t="n">
        <v>7</v>
      </c>
      <c r="E13" s="44" t="n">
        <v>2141.2</v>
      </c>
      <c r="F13" s="24" t="n">
        <v>2141.2</v>
      </c>
      <c r="G13" s="24" t="n">
        <v>2402</v>
      </c>
      <c r="H13" s="24" t="n">
        <v>2304.2</v>
      </c>
      <c r="I13" s="24" t="n">
        <v>2242.7</v>
      </c>
      <c r="J13" s="24" t="n">
        <v>2242.7</v>
      </c>
      <c r="K13" s="24" t="n">
        <v>2243.7</v>
      </c>
      <c r="L13" s="24" t="n">
        <v>2266.1</v>
      </c>
      <c r="M13" s="38" t="n">
        <v>2230.8</v>
      </c>
      <c r="N13" s="39" t="n"/>
      <c r="O13" s="39" t="n"/>
      <c r="P13" s="39" t="n"/>
      <c r="Q13" s="39" t="n"/>
      <c r="R13" s="39" t="n"/>
      <c r="S13" s="39" t="n"/>
      <c r="T13" s="39" t="n"/>
      <c r="U13" s="39" t="n"/>
      <c r="V13" s="39" t="n"/>
      <c r="W13" s="39" t="n"/>
      <c r="X13" s="39" t="n"/>
      <c r="Y13" s="39" t="n"/>
      <c r="Z13" s="39" t="n"/>
      <c r="AA13" s="39" t="n"/>
      <c r="AB13" s="37">
        <f>LOOKUP(2,1/(F13:AA13&lt;&gt;""),F13:AA13)</f>
        <v/>
      </c>
      <c r="AC13" s="40">
        <f>AB13/E13-1</f>
        <v/>
      </c>
      <c r="AD13" s="41">
        <f>D13*(AB13-E13)</f>
        <v/>
      </c>
      <c r="AE13" s="19">
        <f>IFERROR(M13/L13-1,0)</f>
        <v/>
      </c>
      <c r="AF13" s="35">
        <f>IF(AC13&gt;0,"▲ Up",IF(AC13&lt;0,"▼ Down","■ Flat"))</f>
        <v/>
      </c>
    </row>
    <row r="14">
      <c r="A14" s="35" t="n">
        <v>9</v>
      </c>
      <c r="B14" s="16" t="inlineStr">
        <is>
          <t>E2E</t>
        </is>
      </c>
      <c r="C14" s="36" t="inlineStr">
        <is>
          <t>INE255Z01027</t>
        </is>
      </c>
      <c r="D14" s="17" t="n">
        <v>23</v>
      </c>
      <c r="E14" s="37" t="n">
        <v>619.55</v>
      </c>
      <c r="F14" s="18" t="n">
        <v>625.9</v>
      </c>
      <c r="G14" s="18" t="n">
        <v>651.8</v>
      </c>
      <c r="H14" s="18" t="n">
        <v>650.5</v>
      </c>
      <c r="I14" s="18" t="n">
        <v>648</v>
      </c>
      <c r="J14" s="18" t="n">
        <v>648</v>
      </c>
      <c r="K14" s="18" t="n">
        <v>656.1</v>
      </c>
      <c r="L14" s="18" t="n">
        <v>688.9</v>
      </c>
      <c r="M14" s="38" t="n">
        <v>723.3</v>
      </c>
      <c r="N14" s="39" t="n"/>
      <c r="O14" s="39" t="n"/>
      <c r="P14" s="39" t="n"/>
      <c r="Q14" s="39" t="n"/>
      <c r="R14" s="39" t="n"/>
      <c r="S14" s="39" t="n"/>
      <c r="T14" s="39" t="n"/>
      <c r="U14" s="39" t="n"/>
      <c r="V14" s="39" t="n"/>
      <c r="W14" s="39" t="n"/>
      <c r="X14" s="39" t="n"/>
      <c r="Y14" s="39" t="n"/>
      <c r="Z14" s="39" t="n"/>
      <c r="AA14" s="39" t="n"/>
      <c r="AB14" s="37">
        <f>LOOKUP(2,1/(F14:AA14&lt;&gt;""),F14:AA14)</f>
        <v/>
      </c>
      <c r="AC14" s="40">
        <f>AB14/E14-1</f>
        <v/>
      </c>
      <c r="AD14" s="41">
        <f>D14*(AB14-E14)</f>
        <v/>
      </c>
      <c r="AE14" s="19">
        <f>IFERROR(M14/L14-1,0)</f>
        <v/>
      </c>
      <c r="AF14" s="35">
        <f>IF(AC14&gt;0,"▲ Up",IF(AC14&lt;0,"▼ Down","■ Flat"))</f>
        <v/>
      </c>
    </row>
    <row r="15">
      <c r="A15" s="42" t="n">
        <v>10</v>
      </c>
      <c r="B15" s="22" t="inlineStr">
        <is>
          <t>LAURUSLABS</t>
        </is>
      </c>
      <c r="C15" s="43" t="inlineStr">
        <is>
          <t>INE947Q01028</t>
        </is>
      </c>
      <c r="D15" s="23" t="n">
        <v>7</v>
      </c>
      <c r="E15" s="44" t="n">
        <v>2020.7</v>
      </c>
      <c r="F15" s="24" t="n">
        <v>2010.7</v>
      </c>
      <c r="G15" s="24" t="n">
        <v>1979</v>
      </c>
      <c r="H15" s="24" t="n">
        <v>1980</v>
      </c>
      <c r="I15" s="24" t="n">
        <v>1984</v>
      </c>
      <c r="J15" s="24" t="n">
        <v>1984</v>
      </c>
      <c r="K15" s="24" t="n">
        <v>1971.4</v>
      </c>
      <c r="L15" s="24" t="n">
        <v>2050</v>
      </c>
      <c r="M15" s="38" t="n">
        <v>2052.8</v>
      </c>
      <c r="N15" s="39" t="n"/>
      <c r="O15" s="39" t="n"/>
      <c r="P15" s="39" t="n"/>
      <c r="Q15" s="39" t="n"/>
      <c r="R15" s="39" t="n"/>
      <c r="S15" s="39" t="n"/>
      <c r="T15" s="39" t="n"/>
      <c r="U15" s="39" t="n"/>
      <c r="V15" s="39" t="n"/>
      <c r="W15" s="39" t="n"/>
      <c r="X15" s="39" t="n"/>
      <c r="Y15" s="39" t="n"/>
      <c r="Z15" s="39" t="n"/>
      <c r="AA15" s="39" t="n"/>
      <c r="AB15" s="37">
        <f>LOOKUP(2,1/(F15:AA15&lt;&gt;""),F15:AA15)</f>
        <v/>
      </c>
      <c r="AC15" s="40">
        <f>AB15/E15-1</f>
        <v/>
      </c>
      <c r="AD15" s="41">
        <f>D15*(AB15-E15)</f>
        <v/>
      </c>
      <c r="AE15" s="19">
        <f>IFERROR(M15/L15-1,0)</f>
        <v/>
      </c>
      <c r="AF15" s="35">
        <f>IF(AC15&gt;0,"▲ Up",IF(AC15&lt;0,"▼ Down","■ Flat"))</f>
        <v/>
      </c>
    </row>
    <row r="16">
      <c r="A16" s="45" t="inlineStr"/>
      <c r="B16" s="46" t="inlineStr">
        <is>
          <t>PORTFOLIO</t>
        </is>
      </c>
      <c r="C16" s="45" t="inlineStr"/>
      <c r="D16" s="47">
        <f>SUM(D6:D15)</f>
        <v/>
      </c>
      <c r="E16" s="48">
        <f>SUMPRODUCT(D6:D15,E6:E15)</f>
        <v/>
      </c>
      <c r="F16" s="48">
        <f>IF(COUNT(F6:F15)=0,"",SUMPRODUCT($D$6:$D$15,F6:F15))</f>
        <v/>
      </c>
      <c r="G16" s="48">
        <f>IF(COUNT(G6:G15)=0,"",SUMPRODUCT($D$6:$D$15,G6:G15))</f>
        <v/>
      </c>
      <c r="H16" s="48">
        <f>IF(COUNT(H6:H15)=0,"",SUMPRODUCT($D$6:$D$15,H6:H15))</f>
        <v/>
      </c>
      <c r="I16" s="48">
        <f>IF(COUNT(I6:I15)=0,"",SUMPRODUCT($D$6:$D$15,I6:I15))</f>
        <v/>
      </c>
      <c r="J16" s="48">
        <f>IF(COUNT(J6:J15)=0,"",SUMPRODUCT($D$6:$D$15,J6:J15))</f>
        <v/>
      </c>
      <c r="K16" s="48">
        <f>IF(COUNT(K6:K15)=0,"",SUMPRODUCT($D$6:$D$15,K6:K15))</f>
        <v/>
      </c>
      <c r="L16" s="48">
        <f>IF(COUNT(L6:L15)=0,"",SUMPRODUCT($D$6:$D$15,L6:L15))</f>
        <v/>
      </c>
      <c r="M16" s="48">
        <f>IF(COUNT(M6:M15)=0,"",SUMPRODUCT($D$6:$D$15,M6:M15))</f>
        <v/>
      </c>
      <c r="N16" s="48">
        <f>IF(COUNT(N6:N15)=0,"",SUMPRODUCT($D$6:$D$15,N6:N15))</f>
        <v/>
      </c>
      <c r="O16" s="48">
        <f>IF(COUNT(O6:O15)=0,"",SUMPRODUCT($D$6:$D$15,O6:O15))</f>
        <v/>
      </c>
      <c r="P16" s="48">
        <f>IF(COUNT(P6:P15)=0,"",SUMPRODUCT($D$6:$D$15,P6:P15))</f>
        <v/>
      </c>
      <c r="Q16" s="48">
        <f>IF(COUNT(Q6:Q15)=0,"",SUMPRODUCT($D$6:$D$15,Q6:Q15))</f>
        <v/>
      </c>
      <c r="R16" s="48">
        <f>IF(COUNT(R6:R15)=0,"",SUMPRODUCT($D$6:$D$15,R6:R15))</f>
        <v/>
      </c>
      <c r="S16" s="48">
        <f>IF(COUNT(S6:S15)=0,"",SUMPRODUCT($D$6:$D$15,S6:S15))</f>
        <v/>
      </c>
      <c r="T16" s="48">
        <f>IF(COUNT(T6:T15)=0,"",SUMPRODUCT($D$6:$D$15,T6:T15))</f>
        <v/>
      </c>
      <c r="U16" s="48">
        <f>IF(COUNT(U6:U15)=0,"",SUMPRODUCT($D$6:$D$15,U6:U15))</f>
        <v/>
      </c>
      <c r="V16" s="48">
        <f>IF(COUNT(V6:V15)=0,"",SUMPRODUCT($D$6:$D$15,V6:V15))</f>
        <v/>
      </c>
      <c r="W16" s="48">
        <f>IF(COUNT(W6:W15)=0,"",SUMPRODUCT($D$6:$D$15,W6:W15))</f>
        <v/>
      </c>
      <c r="X16" s="48">
        <f>IF(COUNT(X6:X15)=0,"",SUMPRODUCT($D$6:$D$15,X6:X15))</f>
        <v/>
      </c>
      <c r="Y16" s="48">
        <f>IF(COUNT(Y6:Y15)=0,"",SUMPRODUCT($D$6:$D$15,Y6:Y15))</f>
        <v/>
      </c>
      <c r="Z16" s="48">
        <f>IF(COUNT(Z6:Z15)=0,"",SUMPRODUCT($D$6:$D$15,Z6:Z15))</f>
        <v/>
      </c>
      <c r="AA16" s="48">
        <f>IF(COUNT(AA6:AA15)=0,"",SUMPRODUCT($D$6:$D$15,AA6:AA15))</f>
        <v/>
      </c>
      <c r="AB16" s="48">
        <f>SUMPRODUCT(D6:D15,AB6:AB15)</f>
        <v/>
      </c>
      <c r="AC16" s="49">
        <f>AB16/E16-1</f>
        <v/>
      </c>
      <c r="AD16" s="48">
        <f>SUM(AD6:AD15)</f>
        <v/>
      </c>
      <c r="AE16" s="45" t="inlineStr"/>
      <c r="AF16" s="45" t="inlineStr"/>
    </row>
  </sheetData>
  <mergeCells count="12">
    <mergeCell ref="B4:B5"/>
    <mergeCell ref="A1:AF1"/>
    <mergeCell ref="A4:A5"/>
    <mergeCell ref="C4:C5"/>
    <mergeCell ref="D4:D5"/>
    <mergeCell ref="E4:E5"/>
    <mergeCell ref="AB4:AB5"/>
    <mergeCell ref="AE4:AE5"/>
    <mergeCell ref="AC4:AC5"/>
    <mergeCell ref="AF4:AF5"/>
    <mergeCell ref="AD4:AD5"/>
    <mergeCell ref="A2:AF2"/>
  </mergeCells>
  <conditionalFormatting sqref="AC6:AC16">
    <cfRule type="cellIs" priority="1" operator="greaterThan" dxfId="2">
      <formula>0</formula>
    </cfRule>
    <cfRule type="cellIs" priority="2" operator="lessThan" dxfId="3">
      <formula>0</formula>
    </cfRule>
  </conditionalFormatting>
  <conditionalFormatting sqref="AE6:AE16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AD6:AD15">
    <cfRule type="dataBar" priority="5">
      <dataBar showValue="1">
        <cfvo type="min"/>
        <cfvo type="max"/>
        <color rgb="005B8DEF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F9D63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8.5" customWidth="1" min="24" max="24"/>
    <col width="8.5" customWidth="1" min="25" max="25"/>
    <col width="8.5" customWidth="1" min="26" max="26"/>
    <col width="8.5" customWidth="1" min="27" max="27"/>
  </cols>
  <sheetData>
    <row r="1" ht="30" customHeight="1">
      <c r="A1" s="1" t="inlineStr">
        <is>
          <t>Cumulative Return vs Entry (%)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Each cell = close ÷ entry − 1. Colour scale: red → white → green.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3">
      <c r="A3" s="28" t="inlineStr">
        <is>
          <t>Formulas link to 'Daily Closes' — edit a close there and this sheet updates.</t>
        </is>
      </c>
    </row>
    <row r="4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15" t="inlineStr">
        <is>
          <t>Day 0</t>
        </is>
      </c>
      <c r="G4" s="15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30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15" t="inlineStr">
        <is>
          <t>Day 21</t>
        </is>
      </c>
    </row>
    <row r="5">
      <c r="F5" s="50">
        <f>'Daily Closes'!F5</f>
        <v/>
      </c>
      <c r="G5" s="50">
        <f>'Daily Closes'!G5</f>
        <v/>
      </c>
      <c r="H5" s="50">
        <f>'Daily Closes'!H5</f>
        <v/>
      </c>
      <c r="I5" s="50">
        <f>'Daily Closes'!I5</f>
        <v/>
      </c>
      <c r="J5" s="50">
        <f>'Daily Closes'!J5</f>
        <v/>
      </c>
      <c r="K5" s="50">
        <f>'Daily Closes'!K5</f>
        <v/>
      </c>
      <c r="L5" s="50">
        <f>'Daily Closes'!L5</f>
        <v/>
      </c>
      <c r="M5" s="50">
        <f>'Daily Closes'!M5</f>
        <v/>
      </c>
      <c r="N5" s="50">
        <f>'Daily Closes'!N5</f>
        <v/>
      </c>
      <c r="O5" s="50">
        <f>'Daily Closes'!O5</f>
        <v/>
      </c>
      <c r="P5" s="50">
        <f>'Daily Closes'!P5</f>
        <v/>
      </c>
      <c r="Q5" s="50">
        <f>'Daily Closes'!Q5</f>
        <v/>
      </c>
      <c r="R5" s="50">
        <f>'Daily Closes'!R5</f>
        <v/>
      </c>
      <c r="S5" s="50">
        <f>'Daily Closes'!S5</f>
        <v/>
      </c>
      <c r="T5" s="50">
        <f>'Daily Closes'!T5</f>
        <v/>
      </c>
      <c r="U5" s="50">
        <f>'Daily Closes'!U5</f>
        <v/>
      </c>
      <c r="V5" s="50">
        <f>'Daily Closes'!V5</f>
        <v/>
      </c>
      <c r="W5" s="50">
        <f>'Daily Closes'!W5</f>
        <v/>
      </c>
      <c r="X5" s="50">
        <f>'Daily Closes'!X5</f>
        <v/>
      </c>
      <c r="Y5" s="50">
        <f>'Daily Closes'!Y5</f>
        <v/>
      </c>
      <c r="Z5" s="50">
        <f>'Daily Closes'!Z5</f>
        <v/>
      </c>
      <c r="AA5" s="50">
        <f>'Daily Closes'!AA5</f>
        <v/>
      </c>
    </row>
    <row r="6">
      <c r="A6" s="51">
        <f>'Daily Closes'!A6</f>
        <v/>
      </c>
      <c r="B6" s="16">
        <f>'Daily Closes'!B6</f>
        <v/>
      </c>
      <c r="C6" s="52">
        <f>'Daily Closes'!C6</f>
        <v/>
      </c>
      <c r="D6" s="51">
        <f>'Daily Closes'!D6</f>
        <v/>
      </c>
      <c r="E6" s="18">
        <f>'Daily Closes'!E6</f>
        <v/>
      </c>
      <c r="F6" s="35" t="inlineStr">
        <is>
          <t>—</t>
        </is>
      </c>
      <c r="G6" s="19">
        <f>IF('Daily Closes'!G6="","",'Daily Closes'!G6/$E6-1)</f>
        <v/>
      </c>
      <c r="H6" s="19">
        <f>IF('Daily Closes'!H6="","",'Daily Closes'!H6/$E6-1)</f>
        <v/>
      </c>
      <c r="I6" s="19">
        <f>IF('Daily Closes'!I6="","",'Daily Closes'!I6/$E6-1)</f>
        <v/>
      </c>
      <c r="J6" s="19">
        <f>IF('Daily Closes'!J6="","",'Daily Closes'!J6/$E6-1)</f>
        <v/>
      </c>
      <c r="K6" s="19">
        <f>IF('Daily Closes'!K6="","",'Daily Closes'!K6/$E6-1)</f>
        <v/>
      </c>
      <c r="L6" s="19">
        <f>IF('Daily Closes'!L6="","",'Daily Closes'!L6/$E6-1)</f>
        <v/>
      </c>
      <c r="M6" s="19">
        <f>IF('Daily Closes'!M6="","",'Daily Closes'!M6/$E6-1)</f>
        <v/>
      </c>
      <c r="N6" s="19">
        <f>IF('Daily Closes'!N6="","",'Daily Closes'!N6/$E6-1)</f>
        <v/>
      </c>
      <c r="O6" s="19">
        <f>IF('Daily Closes'!O6="","",'Daily Closes'!O6/$E6-1)</f>
        <v/>
      </c>
      <c r="P6" s="19">
        <f>IF('Daily Closes'!P6="","",'Daily Closes'!P6/$E6-1)</f>
        <v/>
      </c>
      <c r="Q6" s="19">
        <f>IF('Daily Closes'!Q6="","",'Daily Closes'!Q6/$E6-1)</f>
        <v/>
      </c>
      <c r="R6" s="19">
        <f>IF('Daily Closes'!R6="","",'Daily Closes'!R6/$E6-1)</f>
        <v/>
      </c>
      <c r="S6" s="19">
        <f>IF('Daily Closes'!S6="","",'Daily Closes'!S6/$E6-1)</f>
        <v/>
      </c>
      <c r="T6" s="19">
        <f>IF('Daily Closes'!T6="","",'Daily Closes'!T6/$E6-1)</f>
        <v/>
      </c>
      <c r="U6" s="19">
        <f>IF('Daily Closes'!U6="","",'Daily Closes'!U6/$E6-1)</f>
        <v/>
      </c>
      <c r="V6" s="19">
        <f>IF('Daily Closes'!V6="","",'Daily Closes'!V6/$E6-1)</f>
        <v/>
      </c>
      <c r="W6" s="19">
        <f>IF('Daily Closes'!W6="","",'Daily Closes'!W6/$E6-1)</f>
        <v/>
      </c>
      <c r="X6" s="19">
        <f>IF('Daily Closes'!X6="","",'Daily Closes'!X6/$E6-1)</f>
        <v/>
      </c>
      <c r="Y6" s="19">
        <f>IF('Daily Closes'!Y6="","",'Daily Closes'!Y6/$E6-1)</f>
        <v/>
      </c>
      <c r="Z6" s="19">
        <f>IF('Daily Closes'!Z6="","",'Daily Closes'!Z6/$E6-1)</f>
        <v/>
      </c>
      <c r="AA6" s="19">
        <f>IF('Daily Closes'!AA6="","",'Daily Closes'!AA6/$E6-1)</f>
        <v/>
      </c>
    </row>
    <row r="7">
      <c r="A7" s="51">
        <f>'Daily Closes'!A7</f>
        <v/>
      </c>
      <c r="B7" s="16">
        <f>'Daily Closes'!B7</f>
        <v/>
      </c>
      <c r="C7" s="52">
        <f>'Daily Closes'!C7</f>
        <v/>
      </c>
      <c r="D7" s="51">
        <f>'Daily Closes'!D7</f>
        <v/>
      </c>
      <c r="E7" s="18">
        <f>'Daily Closes'!E7</f>
        <v/>
      </c>
      <c r="F7" s="35" t="inlineStr">
        <is>
          <t>—</t>
        </is>
      </c>
      <c r="G7" s="19">
        <f>IF('Daily Closes'!G7="","",'Daily Closes'!G7/$E7-1)</f>
        <v/>
      </c>
      <c r="H7" s="19">
        <f>IF('Daily Closes'!H7="","",'Daily Closes'!H7/$E7-1)</f>
        <v/>
      </c>
      <c r="I7" s="19">
        <f>IF('Daily Closes'!I7="","",'Daily Closes'!I7/$E7-1)</f>
        <v/>
      </c>
      <c r="J7" s="19">
        <f>IF('Daily Closes'!J7="","",'Daily Closes'!J7/$E7-1)</f>
        <v/>
      </c>
      <c r="K7" s="19">
        <f>IF('Daily Closes'!K7="","",'Daily Closes'!K7/$E7-1)</f>
        <v/>
      </c>
      <c r="L7" s="19">
        <f>IF('Daily Closes'!L7="","",'Daily Closes'!L7/$E7-1)</f>
        <v/>
      </c>
      <c r="M7" s="19">
        <f>IF('Daily Closes'!M7="","",'Daily Closes'!M7/$E7-1)</f>
        <v/>
      </c>
      <c r="N7" s="19">
        <f>IF('Daily Closes'!N7="","",'Daily Closes'!N7/$E7-1)</f>
        <v/>
      </c>
      <c r="O7" s="19">
        <f>IF('Daily Closes'!O7="","",'Daily Closes'!O7/$E7-1)</f>
        <v/>
      </c>
      <c r="P7" s="19">
        <f>IF('Daily Closes'!P7="","",'Daily Closes'!P7/$E7-1)</f>
        <v/>
      </c>
      <c r="Q7" s="19">
        <f>IF('Daily Closes'!Q7="","",'Daily Closes'!Q7/$E7-1)</f>
        <v/>
      </c>
      <c r="R7" s="19">
        <f>IF('Daily Closes'!R7="","",'Daily Closes'!R7/$E7-1)</f>
        <v/>
      </c>
      <c r="S7" s="19">
        <f>IF('Daily Closes'!S7="","",'Daily Closes'!S7/$E7-1)</f>
        <v/>
      </c>
      <c r="T7" s="19">
        <f>IF('Daily Closes'!T7="","",'Daily Closes'!T7/$E7-1)</f>
        <v/>
      </c>
      <c r="U7" s="19">
        <f>IF('Daily Closes'!U7="","",'Daily Closes'!U7/$E7-1)</f>
        <v/>
      </c>
      <c r="V7" s="19">
        <f>IF('Daily Closes'!V7="","",'Daily Closes'!V7/$E7-1)</f>
        <v/>
      </c>
      <c r="W7" s="19">
        <f>IF('Daily Closes'!W7="","",'Daily Closes'!W7/$E7-1)</f>
        <v/>
      </c>
      <c r="X7" s="19">
        <f>IF('Daily Closes'!X7="","",'Daily Closes'!X7/$E7-1)</f>
        <v/>
      </c>
      <c r="Y7" s="19">
        <f>IF('Daily Closes'!Y7="","",'Daily Closes'!Y7/$E7-1)</f>
        <v/>
      </c>
      <c r="Z7" s="19">
        <f>IF('Daily Closes'!Z7="","",'Daily Closes'!Z7/$E7-1)</f>
        <v/>
      </c>
      <c r="AA7" s="19">
        <f>IF('Daily Closes'!AA7="","",'Daily Closes'!AA7/$E7-1)</f>
        <v/>
      </c>
    </row>
    <row r="8">
      <c r="A8" s="51">
        <f>'Daily Closes'!A8</f>
        <v/>
      </c>
      <c r="B8" s="16">
        <f>'Daily Closes'!B8</f>
        <v/>
      </c>
      <c r="C8" s="52">
        <f>'Daily Closes'!C8</f>
        <v/>
      </c>
      <c r="D8" s="51">
        <f>'Daily Closes'!D8</f>
        <v/>
      </c>
      <c r="E8" s="18">
        <f>'Daily Closes'!E8</f>
        <v/>
      </c>
      <c r="F8" s="35" t="inlineStr">
        <is>
          <t>—</t>
        </is>
      </c>
      <c r="G8" s="19">
        <f>IF('Daily Closes'!G8="","",'Daily Closes'!G8/$E8-1)</f>
        <v/>
      </c>
      <c r="H8" s="19">
        <f>IF('Daily Closes'!H8="","",'Daily Closes'!H8/$E8-1)</f>
        <v/>
      </c>
      <c r="I8" s="19">
        <f>IF('Daily Closes'!I8="","",'Daily Closes'!I8/$E8-1)</f>
        <v/>
      </c>
      <c r="J8" s="19">
        <f>IF('Daily Closes'!J8="","",'Daily Closes'!J8/$E8-1)</f>
        <v/>
      </c>
      <c r="K8" s="19">
        <f>IF('Daily Closes'!K8="","",'Daily Closes'!K8/$E8-1)</f>
        <v/>
      </c>
      <c r="L8" s="19">
        <f>IF('Daily Closes'!L8="","",'Daily Closes'!L8/$E8-1)</f>
        <v/>
      </c>
      <c r="M8" s="19">
        <f>IF('Daily Closes'!M8="","",'Daily Closes'!M8/$E8-1)</f>
        <v/>
      </c>
      <c r="N8" s="19">
        <f>IF('Daily Closes'!N8="","",'Daily Closes'!N8/$E8-1)</f>
        <v/>
      </c>
      <c r="O8" s="19">
        <f>IF('Daily Closes'!O8="","",'Daily Closes'!O8/$E8-1)</f>
        <v/>
      </c>
      <c r="P8" s="19">
        <f>IF('Daily Closes'!P8="","",'Daily Closes'!P8/$E8-1)</f>
        <v/>
      </c>
      <c r="Q8" s="19">
        <f>IF('Daily Closes'!Q8="","",'Daily Closes'!Q8/$E8-1)</f>
        <v/>
      </c>
      <c r="R8" s="19">
        <f>IF('Daily Closes'!R8="","",'Daily Closes'!R8/$E8-1)</f>
        <v/>
      </c>
      <c r="S8" s="19">
        <f>IF('Daily Closes'!S8="","",'Daily Closes'!S8/$E8-1)</f>
        <v/>
      </c>
      <c r="T8" s="19">
        <f>IF('Daily Closes'!T8="","",'Daily Closes'!T8/$E8-1)</f>
        <v/>
      </c>
      <c r="U8" s="19">
        <f>IF('Daily Closes'!U8="","",'Daily Closes'!U8/$E8-1)</f>
        <v/>
      </c>
      <c r="V8" s="19">
        <f>IF('Daily Closes'!V8="","",'Daily Closes'!V8/$E8-1)</f>
        <v/>
      </c>
      <c r="W8" s="19">
        <f>IF('Daily Closes'!W8="","",'Daily Closes'!W8/$E8-1)</f>
        <v/>
      </c>
      <c r="X8" s="19">
        <f>IF('Daily Closes'!X8="","",'Daily Closes'!X8/$E8-1)</f>
        <v/>
      </c>
      <c r="Y8" s="19">
        <f>IF('Daily Closes'!Y8="","",'Daily Closes'!Y8/$E8-1)</f>
        <v/>
      </c>
      <c r="Z8" s="19">
        <f>IF('Daily Closes'!Z8="","",'Daily Closes'!Z8/$E8-1)</f>
        <v/>
      </c>
      <c r="AA8" s="19">
        <f>IF('Daily Closes'!AA8="","",'Daily Closes'!AA8/$E8-1)</f>
        <v/>
      </c>
    </row>
    <row r="9">
      <c r="A9" s="51">
        <f>'Daily Closes'!A9</f>
        <v/>
      </c>
      <c r="B9" s="16">
        <f>'Daily Closes'!B9</f>
        <v/>
      </c>
      <c r="C9" s="52">
        <f>'Daily Closes'!C9</f>
        <v/>
      </c>
      <c r="D9" s="51">
        <f>'Daily Closes'!D9</f>
        <v/>
      </c>
      <c r="E9" s="18">
        <f>'Daily Closes'!E9</f>
        <v/>
      </c>
      <c r="F9" s="35" t="inlineStr">
        <is>
          <t>—</t>
        </is>
      </c>
      <c r="G9" s="19">
        <f>IF('Daily Closes'!G9="","",'Daily Closes'!G9/$E9-1)</f>
        <v/>
      </c>
      <c r="H9" s="19">
        <f>IF('Daily Closes'!H9="","",'Daily Closes'!H9/$E9-1)</f>
        <v/>
      </c>
      <c r="I9" s="19">
        <f>IF('Daily Closes'!I9="","",'Daily Closes'!I9/$E9-1)</f>
        <v/>
      </c>
      <c r="J9" s="19">
        <f>IF('Daily Closes'!J9="","",'Daily Closes'!J9/$E9-1)</f>
        <v/>
      </c>
      <c r="K9" s="19">
        <f>IF('Daily Closes'!K9="","",'Daily Closes'!K9/$E9-1)</f>
        <v/>
      </c>
      <c r="L9" s="19">
        <f>IF('Daily Closes'!L9="","",'Daily Closes'!L9/$E9-1)</f>
        <v/>
      </c>
      <c r="M9" s="19">
        <f>IF('Daily Closes'!M9="","",'Daily Closes'!M9/$E9-1)</f>
        <v/>
      </c>
      <c r="N9" s="19">
        <f>IF('Daily Closes'!N9="","",'Daily Closes'!N9/$E9-1)</f>
        <v/>
      </c>
      <c r="O9" s="19">
        <f>IF('Daily Closes'!O9="","",'Daily Closes'!O9/$E9-1)</f>
        <v/>
      </c>
      <c r="P9" s="19">
        <f>IF('Daily Closes'!P9="","",'Daily Closes'!P9/$E9-1)</f>
        <v/>
      </c>
      <c r="Q9" s="19">
        <f>IF('Daily Closes'!Q9="","",'Daily Closes'!Q9/$E9-1)</f>
        <v/>
      </c>
      <c r="R9" s="19">
        <f>IF('Daily Closes'!R9="","",'Daily Closes'!R9/$E9-1)</f>
        <v/>
      </c>
      <c r="S9" s="19">
        <f>IF('Daily Closes'!S9="","",'Daily Closes'!S9/$E9-1)</f>
        <v/>
      </c>
      <c r="T9" s="19">
        <f>IF('Daily Closes'!T9="","",'Daily Closes'!T9/$E9-1)</f>
        <v/>
      </c>
      <c r="U9" s="19">
        <f>IF('Daily Closes'!U9="","",'Daily Closes'!U9/$E9-1)</f>
        <v/>
      </c>
      <c r="V9" s="19">
        <f>IF('Daily Closes'!V9="","",'Daily Closes'!V9/$E9-1)</f>
        <v/>
      </c>
      <c r="W9" s="19">
        <f>IF('Daily Closes'!W9="","",'Daily Closes'!W9/$E9-1)</f>
        <v/>
      </c>
      <c r="X9" s="19">
        <f>IF('Daily Closes'!X9="","",'Daily Closes'!X9/$E9-1)</f>
        <v/>
      </c>
      <c r="Y9" s="19">
        <f>IF('Daily Closes'!Y9="","",'Daily Closes'!Y9/$E9-1)</f>
        <v/>
      </c>
      <c r="Z9" s="19">
        <f>IF('Daily Closes'!Z9="","",'Daily Closes'!Z9/$E9-1)</f>
        <v/>
      </c>
      <c r="AA9" s="19">
        <f>IF('Daily Closes'!AA9="","",'Daily Closes'!AA9/$E9-1)</f>
        <v/>
      </c>
    </row>
    <row r="10">
      <c r="A10" s="51">
        <f>'Daily Closes'!A10</f>
        <v/>
      </c>
      <c r="B10" s="16">
        <f>'Daily Closes'!B10</f>
        <v/>
      </c>
      <c r="C10" s="52">
        <f>'Daily Closes'!C10</f>
        <v/>
      </c>
      <c r="D10" s="51">
        <f>'Daily Closes'!D10</f>
        <v/>
      </c>
      <c r="E10" s="18">
        <f>'Daily Closes'!E10</f>
        <v/>
      </c>
      <c r="F10" s="35" t="inlineStr">
        <is>
          <t>—</t>
        </is>
      </c>
      <c r="G10" s="19">
        <f>IF('Daily Closes'!G10="","",'Daily Closes'!G10/$E10-1)</f>
        <v/>
      </c>
      <c r="H10" s="19">
        <f>IF('Daily Closes'!H10="","",'Daily Closes'!H10/$E10-1)</f>
        <v/>
      </c>
      <c r="I10" s="19">
        <f>IF('Daily Closes'!I10="","",'Daily Closes'!I10/$E10-1)</f>
        <v/>
      </c>
      <c r="J10" s="19">
        <f>IF('Daily Closes'!J10="","",'Daily Closes'!J10/$E10-1)</f>
        <v/>
      </c>
      <c r="K10" s="19">
        <f>IF('Daily Closes'!K10="","",'Daily Closes'!K10/$E10-1)</f>
        <v/>
      </c>
      <c r="L10" s="19">
        <f>IF('Daily Closes'!L10="","",'Daily Closes'!L10/$E10-1)</f>
        <v/>
      </c>
      <c r="M10" s="19">
        <f>IF('Daily Closes'!M10="","",'Daily Closes'!M10/$E10-1)</f>
        <v/>
      </c>
      <c r="N10" s="19">
        <f>IF('Daily Closes'!N10="","",'Daily Closes'!N10/$E10-1)</f>
        <v/>
      </c>
      <c r="O10" s="19">
        <f>IF('Daily Closes'!O10="","",'Daily Closes'!O10/$E10-1)</f>
        <v/>
      </c>
      <c r="P10" s="19">
        <f>IF('Daily Closes'!P10="","",'Daily Closes'!P10/$E10-1)</f>
        <v/>
      </c>
      <c r="Q10" s="19">
        <f>IF('Daily Closes'!Q10="","",'Daily Closes'!Q10/$E10-1)</f>
        <v/>
      </c>
      <c r="R10" s="19">
        <f>IF('Daily Closes'!R10="","",'Daily Closes'!R10/$E10-1)</f>
        <v/>
      </c>
      <c r="S10" s="19">
        <f>IF('Daily Closes'!S10="","",'Daily Closes'!S10/$E10-1)</f>
        <v/>
      </c>
      <c r="T10" s="19">
        <f>IF('Daily Closes'!T10="","",'Daily Closes'!T10/$E10-1)</f>
        <v/>
      </c>
      <c r="U10" s="19">
        <f>IF('Daily Closes'!U10="","",'Daily Closes'!U10/$E10-1)</f>
        <v/>
      </c>
      <c r="V10" s="19">
        <f>IF('Daily Closes'!V10="","",'Daily Closes'!V10/$E10-1)</f>
        <v/>
      </c>
      <c r="W10" s="19">
        <f>IF('Daily Closes'!W10="","",'Daily Closes'!W10/$E10-1)</f>
        <v/>
      </c>
      <c r="X10" s="19">
        <f>IF('Daily Closes'!X10="","",'Daily Closes'!X10/$E10-1)</f>
        <v/>
      </c>
      <c r="Y10" s="19">
        <f>IF('Daily Closes'!Y10="","",'Daily Closes'!Y10/$E10-1)</f>
        <v/>
      </c>
      <c r="Z10" s="19">
        <f>IF('Daily Closes'!Z10="","",'Daily Closes'!Z10/$E10-1)</f>
        <v/>
      </c>
      <c r="AA10" s="19">
        <f>IF('Daily Closes'!AA10="","",'Daily Closes'!AA10/$E10-1)</f>
        <v/>
      </c>
    </row>
    <row r="11">
      <c r="A11" s="51">
        <f>'Daily Closes'!A11</f>
        <v/>
      </c>
      <c r="B11" s="16">
        <f>'Daily Closes'!B11</f>
        <v/>
      </c>
      <c r="C11" s="52">
        <f>'Daily Closes'!C11</f>
        <v/>
      </c>
      <c r="D11" s="51">
        <f>'Daily Closes'!D11</f>
        <v/>
      </c>
      <c r="E11" s="18">
        <f>'Daily Closes'!E11</f>
        <v/>
      </c>
      <c r="F11" s="35" t="inlineStr">
        <is>
          <t>—</t>
        </is>
      </c>
      <c r="G11" s="19">
        <f>IF('Daily Closes'!G11="","",'Daily Closes'!G11/$E11-1)</f>
        <v/>
      </c>
      <c r="H11" s="19">
        <f>IF('Daily Closes'!H11="","",'Daily Closes'!H11/$E11-1)</f>
        <v/>
      </c>
      <c r="I11" s="19">
        <f>IF('Daily Closes'!I11="","",'Daily Closes'!I11/$E11-1)</f>
        <v/>
      </c>
      <c r="J11" s="19">
        <f>IF('Daily Closes'!J11="","",'Daily Closes'!J11/$E11-1)</f>
        <v/>
      </c>
      <c r="K11" s="19">
        <f>IF('Daily Closes'!K11="","",'Daily Closes'!K11/$E11-1)</f>
        <v/>
      </c>
      <c r="L11" s="19">
        <f>IF('Daily Closes'!L11="","",'Daily Closes'!L11/$E11-1)</f>
        <v/>
      </c>
      <c r="M11" s="19">
        <f>IF('Daily Closes'!M11="","",'Daily Closes'!M11/$E11-1)</f>
        <v/>
      </c>
      <c r="N11" s="19">
        <f>IF('Daily Closes'!N11="","",'Daily Closes'!N11/$E11-1)</f>
        <v/>
      </c>
      <c r="O11" s="19">
        <f>IF('Daily Closes'!O11="","",'Daily Closes'!O11/$E11-1)</f>
        <v/>
      </c>
      <c r="P11" s="19">
        <f>IF('Daily Closes'!P11="","",'Daily Closes'!P11/$E11-1)</f>
        <v/>
      </c>
      <c r="Q11" s="19">
        <f>IF('Daily Closes'!Q11="","",'Daily Closes'!Q11/$E11-1)</f>
        <v/>
      </c>
      <c r="R11" s="19">
        <f>IF('Daily Closes'!R11="","",'Daily Closes'!R11/$E11-1)</f>
        <v/>
      </c>
      <c r="S11" s="19">
        <f>IF('Daily Closes'!S11="","",'Daily Closes'!S11/$E11-1)</f>
        <v/>
      </c>
      <c r="T11" s="19">
        <f>IF('Daily Closes'!T11="","",'Daily Closes'!T11/$E11-1)</f>
        <v/>
      </c>
      <c r="U11" s="19">
        <f>IF('Daily Closes'!U11="","",'Daily Closes'!U11/$E11-1)</f>
        <v/>
      </c>
      <c r="V11" s="19">
        <f>IF('Daily Closes'!V11="","",'Daily Closes'!V11/$E11-1)</f>
        <v/>
      </c>
      <c r="W11" s="19">
        <f>IF('Daily Closes'!W11="","",'Daily Closes'!W11/$E11-1)</f>
        <v/>
      </c>
      <c r="X11" s="19">
        <f>IF('Daily Closes'!X11="","",'Daily Closes'!X11/$E11-1)</f>
        <v/>
      </c>
      <c r="Y11" s="19">
        <f>IF('Daily Closes'!Y11="","",'Daily Closes'!Y11/$E11-1)</f>
        <v/>
      </c>
      <c r="Z11" s="19">
        <f>IF('Daily Closes'!Z11="","",'Daily Closes'!Z11/$E11-1)</f>
        <v/>
      </c>
      <c r="AA11" s="19">
        <f>IF('Daily Closes'!AA11="","",'Daily Closes'!AA11/$E11-1)</f>
        <v/>
      </c>
    </row>
    <row r="12">
      <c r="A12" s="51">
        <f>'Daily Closes'!A12</f>
        <v/>
      </c>
      <c r="B12" s="16">
        <f>'Daily Closes'!B12</f>
        <v/>
      </c>
      <c r="C12" s="52">
        <f>'Daily Closes'!C12</f>
        <v/>
      </c>
      <c r="D12" s="51">
        <f>'Daily Closes'!D12</f>
        <v/>
      </c>
      <c r="E12" s="18">
        <f>'Daily Closes'!E12</f>
        <v/>
      </c>
      <c r="F12" s="35" t="inlineStr">
        <is>
          <t>—</t>
        </is>
      </c>
      <c r="G12" s="19">
        <f>IF('Daily Closes'!G12="","",'Daily Closes'!G12/$E12-1)</f>
        <v/>
      </c>
      <c r="H12" s="19">
        <f>IF('Daily Closes'!H12="","",'Daily Closes'!H12/$E12-1)</f>
        <v/>
      </c>
      <c r="I12" s="19">
        <f>IF('Daily Closes'!I12="","",'Daily Closes'!I12/$E12-1)</f>
        <v/>
      </c>
      <c r="J12" s="19">
        <f>IF('Daily Closes'!J12="","",'Daily Closes'!J12/$E12-1)</f>
        <v/>
      </c>
      <c r="K12" s="19">
        <f>IF('Daily Closes'!K12="","",'Daily Closes'!K12/$E12-1)</f>
        <v/>
      </c>
      <c r="L12" s="19">
        <f>IF('Daily Closes'!L12="","",'Daily Closes'!L12/$E12-1)</f>
        <v/>
      </c>
      <c r="M12" s="19">
        <f>IF('Daily Closes'!M12="","",'Daily Closes'!M12/$E12-1)</f>
        <v/>
      </c>
      <c r="N12" s="19">
        <f>IF('Daily Closes'!N12="","",'Daily Closes'!N12/$E12-1)</f>
        <v/>
      </c>
      <c r="O12" s="19">
        <f>IF('Daily Closes'!O12="","",'Daily Closes'!O12/$E12-1)</f>
        <v/>
      </c>
      <c r="P12" s="19">
        <f>IF('Daily Closes'!P12="","",'Daily Closes'!P12/$E12-1)</f>
        <v/>
      </c>
      <c r="Q12" s="19">
        <f>IF('Daily Closes'!Q12="","",'Daily Closes'!Q12/$E12-1)</f>
        <v/>
      </c>
      <c r="R12" s="19">
        <f>IF('Daily Closes'!R12="","",'Daily Closes'!R12/$E12-1)</f>
        <v/>
      </c>
      <c r="S12" s="19">
        <f>IF('Daily Closes'!S12="","",'Daily Closes'!S12/$E12-1)</f>
        <v/>
      </c>
      <c r="T12" s="19">
        <f>IF('Daily Closes'!T12="","",'Daily Closes'!T12/$E12-1)</f>
        <v/>
      </c>
      <c r="U12" s="19">
        <f>IF('Daily Closes'!U12="","",'Daily Closes'!U12/$E12-1)</f>
        <v/>
      </c>
      <c r="V12" s="19">
        <f>IF('Daily Closes'!V12="","",'Daily Closes'!V12/$E12-1)</f>
        <v/>
      </c>
      <c r="W12" s="19">
        <f>IF('Daily Closes'!W12="","",'Daily Closes'!W12/$E12-1)</f>
        <v/>
      </c>
      <c r="X12" s="19">
        <f>IF('Daily Closes'!X12="","",'Daily Closes'!X12/$E12-1)</f>
        <v/>
      </c>
      <c r="Y12" s="19">
        <f>IF('Daily Closes'!Y12="","",'Daily Closes'!Y12/$E12-1)</f>
        <v/>
      </c>
      <c r="Z12" s="19">
        <f>IF('Daily Closes'!Z12="","",'Daily Closes'!Z12/$E12-1)</f>
        <v/>
      </c>
      <c r="AA12" s="19">
        <f>IF('Daily Closes'!AA12="","",'Daily Closes'!AA12/$E12-1)</f>
        <v/>
      </c>
    </row>
    <row r="13">
      <c r="A13" s="51">
        <f>'Daily Closes'!A13</f>
        <v/>
      </c>
      <c r="B13" s="16">
        <f>'Daily Closes'!B13</f>
        <v/>
      </c>
      <c r="C13" s="52">
        <f>'Daily Closes'!C13</f>
        <v/>
      </c>
      <c r="D13" s="51">
        <f>'Daily Closes'!D13</f>
        <v/>
      </c>
      <c r="E13" s="18">
        <f>'Daily Closes'!E13</f>
        <v/>
      </c>
      <c r="F13" s="35" t="inlineStr">
        <is>
          <t>—</t>
        </is>
      </c>
      <c r="G13" s="19">
        <f>IF('Daily Closes'!G13="","",'Daily Closes'!G13/$E13-1)</f>
        <v/>
      </c>
      <c r="H13" s="19">
        <f>IF('Daily Closes'!H13="","",'Daily Closes'!H13/$E13-1)</f>
        <v/>
      </c>
      <c r="I13" s="19">
        <f>IF('Daily Closes'!I13="","",'Daily Closes'!I13/$E13-1)</f>
        <v/>
      </c>
      <c r="J13" s="19">
        <f>IF('Daily Closes'!J13="","",'Daily Closes'!J13/$E13-1)</f>
        <v/>
      </c>
      <c r="K13" s="19">
        <f>IF('Daily Closes'!K13="","",'Daily Closes'!K13/$E13-1)</f>
        <v/>
      </c>
      <c r="L13" s="19">
        <f>IF('Daily Closes'!L13="","",'Daily Closes'!L13/$E13-1)</f>
        <v/>
      </c>
      <c r="M13" s="19">
        <f>IF('Daily Closes'!M13="","",'Daily Closes'!M13/$E13-1)</f>
        <v/>
      </c>
      <c r="N13" s="19">
        <f>IF('Daily Closes'!N13="","",'Daily Closes'!N13/$E13-1)</f>
        <v/>
      </c>
      <c r="O13" s="19">
        <f>IF('Daily Closes'!O13="","",'Daily Closes'!O13/$E13-1)</f>
        <v/>
      </c>
      <c r="P13" s="19">
        <f>IF('Daily Closes'!P13="","",'Daily Closes'!P13/$E13-1)</f>
        <v/>
      </c>
      <c r="Q13" s="19">
        <f>IF('Daily Closes'!Q13="","",'Daily Closes'!Q13/$E13-1)</f>
        <v/>
      </c>
      <c r="R13" s="19">
        <f>IF('Daily Closes'!R13="","",'Daily Closes'!R13/$E13-1)</f>
        <v/>
      </c>
      <c r="S13" s="19">
        <f>IF('Daily Closes'!S13="","",'Daily Closes'!S13/$E13-1)</f>
        <v/>
      </c>
      <c r="T13" s="19">
        <f>IF('Daily Closes'!T13="","",'Daily Closes'!T13/$E13-1)</f>
        <v/>
      </c>
      <c r="U13" s="19">
        <f>IF('Daily Closes'!U13="","",'Daily Closes'!U13/$E13-1)</f>
        <v/>
      </c>
      <c r="V13" s="19">
        <f>IF('Daily Closes'!V13="","",'Daily Closes'!V13/$E13-1)</f>
        <v/>
      </c>
      <c r="W13" s="19">
        <f>IF('Daily Closes'!W13="","",'Daily Closes'!W13/$E13-1)</f>
        <v/>
      </c>
      <c r="X13" s="19">
        <f>IF('Daily Closes'!X13="","",'Daily Closes'!X13/$E13-1)</f>
        <v/>
      </c>
      <c r="Y13" s="19">
        <f>IF('Daily Closes'!Y13="","",'Daily Closes'!Y13/$E13-1)</f>
        <v/>
      </c>
      <c r="Z13" s="19">
        <f>IF('Daily Closes'!Z13="","",'Daily Closes'!Z13/$E13-1)</f>
        <v/>
      </c>
      <c r="AA13" s="19">
        <f>IF('Daily Closes'!AA13="","",'Daily Closes'!AA13/$E13-1)</f>
        <v/>
      </c>
    </row>
    <row r="14">
      <c r="A14" s="51">
        <f>'Daily Closes'!A14</f>
        <v/>
      </c>
      <c r="B14" s="16">
        <f>'Daily Closes'!B14</f>
        <v/>
      </c>
      <c r="C14" s="52">
        <f>'Daily Closes'!C14</f>
        <v/>
      </c>
      <c r="D14" s="51">
        <f>'Daily Closes'!D14</f>
        <v/>
      </c>
      <c r="E14" s="18">
        <f>'Daily Closes'!E14</f>
        <v/>
      </c>
      <c r="F14" s="35" t="inlineStr">
        <is>
          <t>—</t>
        </is>
      </c>
      <c r="G14" s="19">
        <f>IF('Daily Closes'!G14="","",'Daily Closes'!G14/$E14-1)</f>
        <v/>
      </c>
      <c r="H14" s="19">
        <f>IF('Daily Closes'!H14="","",'Daily Closes'!H14/$E14-1)</f>
        <v/>
      </c>
      <c r="I14" s="19">
        <f>IF('Daily Closes'!I14="","",'Daily Closes'!I14/$E14-1)</f>
        <v/>
      </c>
      <c r="J14" s="19">
        <f>IF('Daily Closes'!J14="","",'Daily Closes'!J14/$E14-1)</f>
        <v/>
      </c>
      <c r="K14" s="19">
        <f>IF('Daily Closes'!K14="","",'Daily Closes'!K14/$E14-1)</f>
        <v/>
      </c>
      <c r="L14" s="19">
        <f>IF('Daily Closes'!L14="","",'Daily Closes'!L14/$E14-1)</f>
        <v/>
      </c>
      <c r="M14" s="19">
        <f>IF('Daily Closes'!M14="","",'Daily Closes'!M14/$E14-1)</f>
        <v/>
      </c>
      <c r="N14" s="19">
        <f>IF('Daily Closes'!N14="","",'Daily Closes'!N14/$E14-1)</f>
        <v/>
      </c>
      <c r="O14" s="19">
        <f>IF('Daily Closes'!O14="","",'Daily Closes'!O14/$E14-1)</f>
        <v/>
      </c>
      <c r="P14" s="19">
        <f>IF('Daily Closes'!P14="","",'Daily Closes'!P14/$E14-1)</f>
        <v/>
      </c>
      <c r="Q14" s="19">
        <f>IF('Daily Closes'!Q14="","",'Daily Closes'!Q14/$E14-1)</f>
        <v/>
      </c>
      <c r="R14" s="19">
        <f>IF('Daily Closes'!R14="","",'Daily Closes'!R14/$E14-1)</f>
        <v/>
      </c>
      <c r="S14" s="19">
        <f>IF('Daily Closes'!S14="","",'Daily Closes'!S14/$E14-1)</f>
        <v/>
      </c>
      <c r="T14" s="19">
        <f>IF('Daily Closes'!T14="","",'Daily Closes'!T14/$E14-1)</f>
        <v/>
      </c>
      <c r="U14" s="19">
        <f>IF('Daily Closes'!U14="","",'Daily Closes'!U14/$E14-1)</f>
        <v/>
      </c>
      <c r="V14" s="19">
        <f>IF('Daily Closes'!V14="","",'Daily Closes'!V14/$E14-1)</f>
        <v/>
      </c>
      <c r="W14" s="19">
        <f>IF('Daily Closes'!W14="","",'Daily Closes'!W14/$E14-1)</f>
        <v/>
      </c>
      <c r="X14" s="19">
        <f>IF('Daily Closes'!X14="","",'Daily Closes'!X14/$E14-1)</f>
        <v/>
      </c>
      <c r="Y14" s="19">
        <f>IF('Daily Closes'!Y14="","",'Daily Closes'!Y14/$E14-1)</f>
        <v/>
      </c>
      <c r="Z14" s="19">
        <f>IF('Daily Closes'!Z14="","",'Daily Closes'!Z14/$E14-1)</f>
        <v/>
      </c>
      <c r="AA14" s="19">
        <f>IF('Daily Closes'!AA14="","",'Daily Closes'!AA14/$E14-1)</f>
        <v/>
      </c>
    </row>
    <row r="15">
      <c r="A15" s="51">
        <f>'Daily Closes'!A15</f>
        <v/>
      </c>
      <c r="B15" s="16">
        <f>'Daily Closes'!B15</f>
        <v/>
      </c>
      <c r="C15" s="52">
        <f>'Daily Closes'!C15</f>
        <v/>
      </c>
      <c r="D15" s="51">
        <f>'Daily Closes'!D15</f>
        <v/>
      </c>
      <c r="E15" s="18">
        <f>'Daily Closes'!E15</f>
        <v/>
      </c>
      <c r="F15" s="35" t="inlineStr">
        <is>
          <t>—</t>
        </is>
      </c>
      <c r="G15" s="19">
        <f>IF('Daily Closes'!G15="","",'Daily Closes'!G15/$E15-1)</f>
        <v/>
      </c>
      <c r="H15" s="19">
        <f>IF('Daily Closes'!H15="","",'Daily Closes'!H15/$E15-1)</f>
        <v/>
      </c>
      <c r="I15" s="19">
        <f>IF('Daily Closes'!I15="","",'Daily Closes'!I15/$E15-1)</f>
        <v/>
      </c>
      <c r="J15" s="19">
        <f>IF('Daily Closes'!J15="","",'Daily Closes'!J15/$E15-1)</f>
        <v/>
      </c>
      <c r="K15" s="19">
        <f>IF('Daily Closes'!K15="","",'Daily Closes'!K15/$E15-1)</f>
        <v/>
      </c>
      <c r="L15" s="19">
        <f>IF('Daily Closes'!L15="","",'Daily Closes'!L15/$E15-1)</f>
        <v/>
      </c>
      <c r="M15" s="19">
        <f>IF('Daily Closes'!M15="","",'Daily Closes'!M15/$E15-1)</f>
        <v/>
      </c>
      <c r="N15" s="19">
        <f>IF('Daily Closes'!N15="","",'Daily Closes'!N15/$E15-1)</f>
        <v/>
      </c>
      <c r="O15" s="19">
        <f>IF('Daily Closes'!O15="","",'Daily Closes'!O15/$E15-1)</f>
        <v/>
      </c>
      <c r="P15" s="19">
        <f>IF('Daily Closes'!P15="","",'Daily Closes'!P15/$E15-1)</f>
        <v/>
      </c>
      <c r="Q15" s="19">
        <f>IF('Daily Closes'!Q15="","",'Daily Closes'!Q15/$E15-1)</f>
        <v/>
      </c>
      <c r="R15" s="19">
        <f>IF('Daily Closes'!R15="","",'Daily Closes'!R15/$E15-1)</f>
        <v/>
      </c>
      <c r="S15" s="19">
        <f>IF('Daily Closes'!S15="","",'Daily Closes'!S15/$E15-1)</f>
        <v/>
      </c>
      <c r="T15" s="19">
        <f>IF('Daily Closes'!T15="","",'Daily Closes'!T15/$E15-1)</f>
        <v/>
      </c>
      <c r="U15" s="19">
        <f>IF('Daily Closes'!U15="","",'Daily Closes'!U15/$E15-1)</f>
        <v/>
      </c>
      <c r="V15" s="19">
        <f>IF('Daily Closes'!V15="","",'Daily Closes'!V15/$E15-1)</f>
        <v/>
      </c>
      <c r="W15" s="19">
        <f>IF('Daily Closes'!W15="","",'Daily Closes'!W15/$E15-1)</f>
        <v/>
      </c>
      <c r="X15" s="19">
        <f>IF('Daily Closes'!X15="","",'Daily Closes'!X15/$E15-1)</f>
        <v/>
      </c>
      <c r="Y15" s="19">
        <f>IF('Daily Closes'!Y15="","",'Daily Closes'!Y15/$E15-1)</f>
        <v/>
      </c>
      <c r="Z15" s="19">
        <f>IF('Daily Closes'!Z15="","",'Daily Closes'!Z15/$E15-1)</f>
        <v/>
      </c>
      <c r="AA15" s="19">
        <f>IF('Daily Closes'!AA15="","",'Daily Closes'!AA15/$E15-1)</f>
        <v/>
      </c>
    </row>
    <row r="16">
      <c r="B16" s="16" t="inlineStr">
        <is>
          <t>PORTFOLIO</t>
        </is>
      </c>
      <c r="G16" s="49">
        <f>IF('Daily Closes'!G16="","",'Daily Closes'!G16/'Daily Closes'!$E$16-1)</f>
        <v/>
      </c>
      <c r="H16" s="49">
        <f>IF('Daily Closes'!H16="","",'Daily Closes'!H16/'Daily Closes'!$E$16-1)</f>
        <v/>
      </c>
      <c r="I16" s="49">
        <f>IF('Daily Closes'!I16="","",'Daily Closes'!I16/'Daily Closes'!$E$16-1)</f>
        <v/>
      </c>
      <c r="J16" s="49">
        <f>IF('Daily Closes'!J16="","",'Daily Closes'!J16/'Daily Closes'!$E$16-1)</f>
        <v/>
      </c>
      <c r="K16" s="49">
        <f>IF('Daily Closes'!K16="","",'Daily Closes'!K16/'Daily Closes'!$E$16-1)</f>
        <v/>
      </c>
      <c r="L16" s="49">
        <f>IF('Daily Closes'!L16="","",'Daily Closes'!L16/'Daily Closes'!$E$16-1)</f>
        <v/>
      </c>
      <c r="M16" s="49">
        <f>IF('Daily Closes'!M16="","",'Daily Closes'!M16/'Daily Closes'!$E$16-1)</f>
        <v/>
      </c>
      <c r="N16" s="49">
        <f>IF('Daily Closes'!N16="","",'Daily Closes'!N16/'Daily Closes'!$E$16-1)</f>
        <v/>
      </c>
      <c r="O16" s="49">
        <f>IF('Daily Closes'!O16="","",'Daily Closes'!O16/'Daily Closes'!$E$16-1)</f>
        <v/>
      </c>
      <c r="P16" s="49">
        <f>IF('Daily Closes'!P16="","",'Daily Closes'!P16/'Daily Closes'!$E$16-1)</f>
        <v/>
      </c>
      <c r="Q16" s="49">
        <f>IF('Daily Closes'!Q16="","",'Daily Closes'!Q16/'Daily Closes'!$E$16-1)</f>
        <v/>
      </c>
      <c r="R16" s="49">
        <f>IF('Daily Closes'!R16="","",'Daily Closes'!R16/'Daily Closes'!$E$16-1)</f>
        <v/>
      </c>
      <c r="S16" s="49">
        <f>IF('Daily Closes'!S16="","",'Daily Closes'!S16/'Daily Closes'!$E$16-1)</f>
        <v/>
      </c>
      <c r="T16" s="49">
        <f>IF('Daily Closes'!T16="","",'Daily Closes'!T16/'Daily Closes'!$E$16-1)</f>
        <v/>
      </c>
      <c r="U16" s="49">
        <f>IF('Daily Closes'!U16="","",'Daily Closes'!U16/'Daily Closes'!$E$16-1)</f>
        <v/>
      </c>
      <c r="V16" s="49">
        <f>IF('Daily Closes'!V16="","",'Daily Closes'!V16/'Daily Closes'!$E$16-1)</f>
        <v/>
      </c>
      <c r="W16" s="49">
        <f>IF('Daily Closes'!W16="","",'Daily Closes'!W16/'Daily Closes'!$E$16-1)</f>
        <v/>
      </c>
      <c r="X16" s="49">
        <f>IF('Daily Closes'!X16="","",'Daily Closes'!X16/'Daily Closes'!$E$16-1)</f>
        <v/>
      </c>
      <c r="Y16" s="49">
        <f>IF('Daily Closes'!Y16="","",'Daily Closes'!Y16/'Daily Closes'!$E$16-1)</f>
        <v/>
      </c>
      <c r="Z16" s="49">
        <f>IF('Daily Closes'!Z16="","",'Daily Closes'!Z16/'Daily Closes'!$E$16-1)</f>
        <v/>
      </c>
      <c r="AA16" s="49">
        <f>IF('Daily Closes'!AA16="","",'Daily Closes'!AA16/'Daily Closes'!$E$16-1)</f>
        <v/>
      </c>
    </row>
  </sheetData>
  <mergeCells count="2">
    <mergeCell ref="A1:AA1"/>
    <mergeCell ref="A2:AA2"/>
  </mergeCells>
  <conditionalFormatting sqref="G6:AA16">
    <cfRule type="colorScale" priority="1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C9860A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</cols>
  <sheetData>
    <row r="1" ht="30" customHeight="1">
      <c r="A1" s="1" t="inlineStr">
        <is>
          <t>Mark-to-Market P&amp;L (₹)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Qty × (close − entry). Gross of costs.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4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15" t="inlineStr">
        <is>
          <t>Day 0</t>
        </is>
      </c>
      <c r="G4" s="15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30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15" t="inlineStr">
        <is>
          <t>Day 21</t>
        </is>
      </c>
    </row>
    <row r="6">
      <c r="A6" s="51">
        <f>'Daily Closes'!A6</f>
        <v/>
      </c>
      <c r="B6" s="16">
        <f>'Daily Closes'!B6</f>
        <v/>
      </c>
      <c r="C6" s="52">
        <f>'Daily Closes'!C6</f>
        <v/>
      </c>
      <c r="D6" s="51">
        <f>'Daily Closes'!D6</f>
        <v/>
      </c>
      <c r="E6" s="18">
        <f>'Daily Closes'!E6</f>
        <v/>
      </c>
      <c r="F6" s="35" t="inlineStr">
        <is>
          <t>—</t>
        </is>
      </c>
      <c r="G6" s="20">
        <f>IF('Daily Closes'!G6="","",$D6*('Daily Closes'!G6-$E6))</f>
        <v/>
      </c>
      <c r="H6" s="20">
        <f>IF('Daily Closes'!H6="","",$D6*('Daily Closes'!H6-$E6))</f>
        <v/>
      </c>
      <c r="I6" s="20">
        <f>IF('Daily Closes'!I6="","",$D6*('Daily Closes'!I6-$E6))</f>
        <v/>
      </c>
      <c r="J6" s="20">
        <f>IF('Daily Closes'!J6="","",$D6*('Daily Closes'!J6-$E6))</f>
        <v/>
      </c>
      <c r="K6" s="20">
        <f>IF('Daily Closes'!K6="","",$D6*('Daily Closes'!K6-$E6))</f>
        <v/>
      </c>
      <c r="L6" s="20">
        <f>IF('Daily Closes'!L6="","",$D6*('Daily Closes'!L6-$E6))</f>
        <v/>
      </c>
      <c r="M6" s="20">
        <f>IF('Daily Closes'!M6="","",$D6*('Daily Closes'!M6-$E6))</f>
        <v/>
      </c>
      <c r="N6" s="20">
        <f>IF('Daily Closes'!N6="","",$D6*('Daily Closes'!N6-$E6))</f>
        <v/>
      </c>
      <c r="O6" s="20">
        <f>IF('Daily Closes'!O6="","",$D6*('Daily Closes'!O6-$E6))</f>
        <v/>
      </c>
      <c r="P6" s="20">
        <f>IF('Daily Closes'!P6="","",$D6*('Daily Closes'!P6-$E6))</f>
        <v/>
      </c>
      <c r="Q6" s="20">
        <f>IF('Daily Closes'!Q6="","",$D6*('Daily Closes'!Q6-$E6))</f>
        <v/>
      </c>
      <c r="R6" s="20">
        <f>IF('Daily Closes'!R6="","",$D6*('Daily Closes'!R6-$E6))</f>
        <v/>
      </c>
      <c r="S6" s="20">
        <f>IF('Daily Closes'!S6="","",$D6*('Daily Closes'!S6-$E6))</f>
        <v/>
      </c>
      <c r="T6" s="20">
        <f>IF('Daily Closes'!T6="","",$D6*('Daily Closes'!T6-$E6))</f>
        <v/>
      </c>
      <c r="U6" s="20">
        <f>IF('Daily Closes'!U6="","",$D6*('Daily Closes'!U6-$E6))</f>
        <v/>
      </c>
      <c r="V6" s="20">
        <f>IF('Daily Closes'!V6="","",$D6*('Daily Closes'!V6-$E6))</f>
        <v/>
      </c>
      <c r="W6" s="20">
        <f>IF('Daily Closes'!W6="","",$D6*('Daily Closes'!W6-$E6))</f>
        <v/>
      </c>
      <c r="X6" s="20">
        <f>IF('Daily Closes'!X6="","",$D6*('Daily Closes'!X6-$E6))</f>
        <v/>
      </c>
      <c r="Y6" s="20">
        <f>IF('Daily Closes'!Y6="","",$D6*('Daily Closes'!Y6-$E6))</f>
        <v/>
      </c>
      <c r="Z6" s="20">
        <f>IF('Daily Closes'!Z6="","",$D6*('Daily Closes'!Z6-$E6))</f>
        <v/>
      </c>
      <c r="AA6" s="20">
        <f>IF('Daily Closes'!AA6="","",$D6*('Daily Closes'!AA6-$E6))</f>
        <v/>
      </c>
    </row>
    <row r="7">
      <c r="A7" s="51">
        <f>'Daily Closes'!A7</f>
        <v/>
      </c>
      <c r="B7" s="16">
        <f>'Daily Closes'!B7</f>
        <v/>
      </c>
      <c r="C7" s="52">
        <f>'Daily Closes'!C7</f>
        <v/>
      </c>
      <c r="D7" s="51">
        <f>'Daily Closes'!D7</f>
        <v/>
      </c>
      <c r="E7" s="18">
        <f>'Daily Closes'!E7</f>
        <v/>
      </c>
      <c r="F7" s="35" t="inlineStr">
        <is>
          <t>—</t>
        </is>
      </c>
      <c r="G7" s="20">
        <f>IF('Daily Closes'!G7="","",$D7*('Daily Closes'!G7-$E7))</f>
        <v/>
      </c>
      <c r="H7" s="20">
        <f>IF('Daily Closes'!H7="","",$D7*('Daily Closes'!H7-$E7))</f>
        <v/>
      </c>
      <c r="I7" s="20">
        <f>IF('Daily Closes'!I7="","",$D7*('Daily Closes'!I7-$E7))</f>
        <v/>
      </c>
      <c r="J7" s="20">
        <f>IF('Daily Closes'!J7="","",$D7*('Daily Closes'!J7-$E7))</f>
        <v/>
      </c>
      <c r="K7" s="20">
        <f>IF('Daily Closes'!K7="","",$D7*('Daily Closes'!K7-$E7))</f>
        <v/>
      </c>
      <c r="L7" s="20">
        <f>IF('Daily Closes'!L7="","",$D7*('Daily Closes'!L7-$E7))</f>
        <v/>
      </c>
      <c r="M7" s="20">
        <f>IF('Daily Closes'!M7="","",$D7*('Daily Closes'!M7-$E7))</f>
        <v/>
      </c>
      <c r="N7" s="20">
        <f>IF('Daily Closes'!N7="","",$D7*('Daily Closes'!N7-$E7))</f>
        <v/>
      </c>
      <c r="O7" s="20">
        <f>IF('Daily Closes'!O7="","",$D7*('Daily Closes'!O7-$E7))</f>
        <v/>
      </c>
      <c r="P7" s="20">
        <f>IF('Daily Closes'!P7="","",$D7*('Daily Closes'!P7-$E7))</f>
        <v/>
      </c>
      <c r="Q7" s="20">
        <f>IF('Daily Closes'!Q7="","",$D7*('Daily Closes'!Q7-$E7))</f>
        <v/>
      </c>
      <c r="R7" s="20">
        <f>IF('Daily Closes'!R7="","",$D7*('Daily Closes'!R7-$E7))</f>
        <v/>
      </c>
      <c r="S7" s="20">
        <f>IF('Daily Closes'!S7="","",$D7*('Daily Closes'!S7-$E7))</f>
        <v/>
      </c>
      <c r="T7" s="20">
        <f>IF('Daily Closes'!T7="","",$D7*('Daily Closes'!T7-$E7))</f>
        <v/>
      </c>
      <c r="U7" s="20">
        <f>IF('Daily Closes'!U7="","",$D7*('Daily Closes'!U7-$E7))</f>
        <v/>
      </c>
      <c r="V7" s="20">
        <f>IF('Daily Closes'!V7="","",$D7*('Daily Closes'!V7-$E7))</f>
        <v/>
      </c>
      <c r="W7" s="20">
        <f>IF('Daily Closes'!W7="","",$D7*('Daily Closes'!W7-$E7))</f>
        <v/>
      </c>
      <c r="X7" s="20">
        <f>IF('Daily Closes'!X7="","",$D7*('Daily Closes'!X7-$E7))</f>
        <v/>
      </c>
      <c r="Y7" s="20">
        <f>IF('Daily Closes'!Y7="","",$D7*('Daily Closes'!Y7-$E7))</f>
        <v/>
      </c>
      <c r="Z7" s="20">
        <f>IF('Daily Closes'!Z7="","",$D7*('Daily Closes'!Z7-$E7))</f>
        <v/>
      </c>
      <c r="AA7" s="20">
        <f>IF('Daily Closes'!AA7="","",$D7*('Daily Closes'!AA7-$E7))</f>
        <v/>
      </c>
    </row>
    <row r="8">
      <c r="A8" s="51">
        <f>'Daily Closes'!A8</f>
        <v/>
      </c>
      <c r="B8" s="16">
        <f>'Daily Closes'!B8</f>
        <v/>
      </c>
      <c r="C8" s="52">
        <f>'Daily Closes'!C8</f>
        <v/>
      </c>
      <c r="D8" s="51">
        <f>'Daily Closes'!D8</f>
        <v/>
      </c>
      <c r="E8" s="18">
        <f>'Daily Closes'!E8</f>
        <v/>
      </c>
      <c r="F8" s="35" t="inlineStr">
        <is>
          <t>—</t>
        </is>
      </c>
      <c r="G8" s="20">
        <f>IF('Daily Closes'!G8="","",$D8*('Daily Closes'!G8-$E8))</f>
        <v/>
      </c>
      <c r="H8" s="20">
        <f>IF('Daily Closes'!H8="","",$D8*('Daily Closes'!H8-$E8))</f>
        <v/>
      </c>
      <c r="I8" s="20">
        <f>IF('Daily Closes'!I8="","",$D8*('Daily Closes'!I8-$E8))</f>
        <v/>
      </c>
      <c r="J8" s="20">
        <f>IF('Daily Closes'!J8="","",$D8*('Daily Closes'!J8-$E8))</f>
        <v/>
      </c>
      <c r="K8" s="20">
        <f>IF('Daily Closes'!K8="","",$D8*('Daily Closes'!K8-$E8))</f>
        <v/>
      </c>
      <c r="L8" s="20">
        <f>IF('Daily Closes'!L8="","",$D8*('Daily Closes'!L8-$E8))</f>
        <v/>
      </c>
      <c r="M8" s="20">
        <f>IF('Daily Closes'!M8="","",$D8*('Daily Closes'!M8-$E8))</f>
        <v/>
      </c>
      <c r="N8" s="20">
        <f>IF('Daily Closes'!N8="","",$D8*('Daily Closes'!N8-$E8))</f>
        <v/>
      </c>
      <c r="O8" s="20">
        <f>IF('Daily Closes'!O8="","",$D8*('Daily Closes'!O8-$E8))</f>
        <v/>
      </c>
      <c r="P8" s="20">
        <f>IF('Daily Closes'!P8="","",$D8*('Daily Closes'!P8-$E8))</f>
        <v/>
      </c>
      <c r="Q8" s="20">
        <f>IF('Daily Closes'!Q8="","",$D8*('Daily Closes'!Q8-$E8))</f>
        <v/>
      </c>
      <c r="R8" s="20">
        <f>IF('Daily Closes'!R8="","",$D8*('Daily Closes'!R8-$E8))</f>
        <v/>
      </c>
      <c r="S8" s="20">
        <f>IF('Daily Closes'!S8="","",$D8*('Daily Closes'!S8-$E8))</f>
        <v/>
      </c>
      <c r="T8" s="20">
        <f>IF('Daily Closes'!T8="","",$D8*('Daily Closes'!T8-$E8))</f>
        <v/>
      </c>
      <c r="U8" s="20">
        <f>IF('Daily Closes'!U8="","",$D8*('Daily Closes'!U8-$E8))</f>
        <v/>
      </c>
      <c r="V8" s="20">
        <f>IF('Daily Closes'!V8="","",$D8*('Daily Closes'!V8-$E8))</f>
        <v/>
      </c>
      <c r="W8" s="20">
        <f>IF('Daily Closes'!W8="","",$D8*('Daily Closes'!W8-$E8))</f>
        <v/>
      </c>
      <c r="X8" s="20">
        <f>IF('Daily Closes'!X8="","",$D8*('Daily Closes'!X8-$E8))</f>
        <v/>
      </c>
      <c r="Y8" s="20">
        <f>IF('Daily Closes'!Y8="","",$D8*('Daily Closes'!Y8-$E8))</f>
        <v/>
      </c>
      <c r="Z8" s="20">
        <f>IF('Daily Closes'!Z8="","",$D8*('Daily Closes'!Z8-$E8))</f>
        <v/>
      </c>
      <c r="AA8" s="20">
        <f>IF('Daily Closes'!AA8="","",$D8*('Daily Closes'!AA8-$E8))</f>
        <v/>
      </c>
    </row>
    <row r="9">
      <c r="A9" s="51">
        <f>'Daily Closes'!A9</f>
        <v/>
      </c>
      <c r="B9" s="16">
        <f>'Daily Closes'!B9</f>
        <v/>
      </c>
      <c r="C9" s="52">
        <f>'Daily Closes'!C9</f>
        <v/>
      </c>
      <c r="D9" s="51">
        <f>'Daily Closes'!D9</f>
        <v/>
      </c>
      <c r="E9" s="18">
        <f>'Daily Closes'!E9</f>
        <v/>
      </c>
      <c r="F9" s="35" t="inlineStr">
        <is>
          <t>—</t>
        </is>
      </c>
      <c r="G9" s="20">
        <f>IF('Daily Closes'!G9="","",$D9*('Daily Closes'!G9-$E9))</f>
        <v/>
      </c>
      <c r="H9" s="20">
        <f>IF('Daily Closes'!H9="","",$D9*('Daily Closes'!H9-$E9))</f>
        <v/>
      </c>
      <c r="I9" s="20">
        <f>IF('Daily Closes'!I9="","",$D9*('Daily Closes'!I9-$E9))</f>
        <v/>
      </c>
      <c r="J9" s="20">
        <f>IF('Daily Closes'!J9="","",$D9*('Daily Closes'!J9-$E9))</f>
        <v/>
      </c>
      <c r="K9" s="20">
        <f>IF('Daily Closes'!K9="","",$D9*('Daily Closes'!K9-$E9))</f>
        <v/>
      </c>
      <c r="L9" s="20">
        <f>IF('Daily Closes'!L9="","",$D9*('Daily Closes'!L9-$E9))</f>
        <v/>
      </c>
      <c r="M9" s="20">
        <f>IF('Daily Closes'!M9="","",$D9*('Daily Closes'!M9-$E9))</f>
        <v/>
      </c>
      <c r="N9" s="20">
        <f>IF('Daily Closes'!N9="","",$D9*('Daily Closes'!N9-$E9))</f>
        <v/>
      </c>
      <c r="O9" s="20">
        <f>IF('Daily Closes'!O9="","",$D9*('Daily Closes'!O9-$E9))</f>
        <v/>
      </c>
      <c r="P9" s="20">
        <f>IF('Daily Closes'!P9="","",$D9*('Daily Closes'!P9-$E9))</f>
        <v/>
      </c>
      <c r="Q9" s="20">
        <f>IF('Daily Closes'!Q9="","",$D9*('Daily Closes'!Q9-$E9))</f>
        <v/>
      </c>
      <c r="R9" s="20">
        <f>IF('Daily Closes'!R9="","",$D9*('Daily Closes'!R9-$E9))</f>
        <v/>
      </c>
      <c r="S9" s="20">
        <f>IF('Daily Closes'!S9="","",$D9*('Daily Closes'!S9-$E9))</f>
        <v/>
      </c>
      <c r="T9" s="20">
        <f>IF('Daily Closes'!T9="","",$D9*('Daily Closes'!T9-$E9))</f>
        <v/>
      </c>
      <c r="U9" s="20">
        <f>IF('Daily Closes'!U9="","",$D9*('Daily Closes'!U9-$E9))</f>
        <v/>
      </c>
      <c r="V9" s="20">
        <f>IF('Daily Closes'!V9="","",$D9*('Daily Closes'!V9-$E9))</f>
        <v/>
      </c>
      <c r="W9" s="20">
        <f>IF('Daily Closes'!W9="","",$D9*('Daily Closes'!W9-$E9))</f>
        <v/>
      </c>
      <c r="X9" s="20">
        <f>IF('Daily Closes'!X9="","",$D9*('Daily Closes'!X9-$E9))</f>
        <v/>
      </c>
      <c r="Y9" s="20">
        <f>IF('Daily Closes'!Y9="","",$D9*('Daily Closes'!Y9-$E9))</f>
        <v/>
      </c>
      <c r="Z9" s="20">
        <f>IF('Daily Closes'!Z9="","",$D9*('Daily Closes'!Z9-$E9))</f>
        <v/>
      </c>
      <c r="AA9" s="20">
        <f>IF('Daily Closes'!AA9="","",$D9*('Daily Closes'!AA9-$E9))</f>
        <v/>
      </c>
    </row>
    <row r="10">
      <c r="A10" s="51">
        <f>'Daily Closes'!A10</f>
        <v/>
      </c>
      <c r="B10" s="16">
        <f>'Daily Closes'!B10</f>
        <v/>
      </c>
      <c r="C10" s="52">
        <f>'Daily Closes'!C10</f>
        <v/>
      </c>
      <c r="D10" s="51">
        <f>'Daily Closes'!D10</f>
        <v/>
      </c>
      <c r="E10" s="18">
        <f>'Daily Closes'!E10</f>
        <v/>
      </c>
      <c r="F10" s="35" t="inlineStr">
        <is>
          <t>—</t>
        </is>
      </c>
      <c r="G10" s="20">
        <f>IF('Daily Closes'!G10="","",$D10*('Daily Closes'!G10-$E10))</f>
        <v/>
      </c>
      <c r="H10" s="20">
        <f>IF('Daily Closes'!H10="","",$D10*('Daily Closes'!H10-$E10))</f>
        <v/>
      </c>
      <c r="I10" s="20">
        <f>IF('Daily Closes'!I10="","",$D10*('Daily Closes'!I10-$E10))</f>
        <v/>
      </c>
      <c r="J10" s="20">
        <f>IF('Daily Closes'!J10="","",$D10*('Daily Closes'!J10-$E10))</f>
        <v/>
      </c>
      <c r="K10" s="20">
        <f>IF('Daily Closes'!K10="","",$D10*('Daily Closes'!K10-$E10))</f>
        <v/>
      </c>
      <c r="L10" s="20">
        <f>IF('Daily Closes'!L10="","",$D10*('Daily Closes'!L10-$E10))</f>
        <v/>
      </c>
      <c r="M10" s="20">
        <f>IF('Daily Closes'!M10="","",$D10*('Daily Closes'!M10-$E10))</f>
        <v/>
      </c>
      <c r="N10" s="20">
        <f>IF('Daily Closes'!N10="","",$D10*('Daily Closes'!N10-$E10))</f>
        <v/>
      </c>
      <c r="O10" s="20">
        <f>IF('Daily Closes'!O10="","",$D10*('Daily Closes'!O10-$E10))</f>
        <v/>
      </c>
      <c r="P10" s="20">
        <f>IF('Daily Closes'!P10="","",$D10*('Daily Closes'!P10-$E10))</f>
        <v/>
      </c>
      <c r="Q10" s="20">
        <f>IF('Daily Closes'!Q10="","",$D10*('Daily Closes'!Q10-$E10))</f>
        <v/>
      </c>
      <c r="R10" s="20">
        <f>IF('Daily Closes'!R10="","",$D10*('Daily Closes'!R10-$E10))</f>
        <v/>
      </c>
      <c r="S10" s="20">
        <f>IF('Daily Closes'!S10="","",$D10*('Daily Closes'!S10-$E10))</f>
        <v/>
      </c>
      <c r="T10" s="20">
        <f>IF('Daily Closes'!T10="","",$D10*('Daily Closes'!T10-$E10))</f>
        <v/>
      </c>
      <c r="U10" s="20">
        <f>IF('Daily Closes'!U10="","",$D10*('Daily Closes'!U10-$E10))</f>
        <v/>
      </c>
      <c r="V10" s="20">
        <f>IF('Daily Closes'!V10="","",$D10*('Daily Closes'!V10-$E10))</f>
        <v/>
      </c>
      <c r="W10" s="20">
        <f>IF('Daily Closes'!W10="","",$D10*('Daily Closes'!W10-$E10))</f>
        <v/>
      </c>
      <c r="X10" s="20">
        <f>IF('Daily Closes'!X10="","",$D10*('Daily Closes'!X10-$E10))</f>
        <v/>
      </c>
      <c r="Y10" s="20">
        <f>IF('Daily Closes'!Y10="","",$D10*('Daily Closes'!Y10-$E10))</f>
        <v/>
      </c>
      <c r="Z10" s="20">
        <f>IF('Daily Closes'!Z10="","",$D10*('Daily Closes'!Z10-$E10))</f>
        <v/>
      </c>
      <c r="AA10" s="20">
        <f>IF('Daily Closes'!AA10="","",$D10*('Daily Closes'!AA10-$E10))</f>
        <v/>
      </c>
    </row>
    <row r="11">
      <c r="A11" s="51">
        <f>'Daily Closes'!A11</f>
        <v/>
      </c>
      <c r="B11" s="16">
        <f>'Daily Closes'!B11</f>
        <v/>
      </c>
      <c r="C11" s="52">
        <f>'Daily Closes'!C11</f>
        <v/>
      </c>
      <c r="D11" s="51">
        <f>'Daily Closes'!D11</f>
        <v/>
      </c>
      <c r="E11" s="18">
        <f>'Daily Closes'!E11</f>
        <v/>
      </c>
      <c r="F11" s="35" t="inlineStr">
        <is>
          <t>—</t>
        </is>
      </c>
      <c r="G11" s="20">
        <f>IF('Daily Closes'!G11="","",$D11*('Daily Closes'!G11-$E11))</f>
        <v/>
      </c>
      <c r="H11" s="20">
        <f>IF('Daily Closes'!H11="","",$D11*('Daily Closes'!H11-$E11))</f>
        <v/>
      </c>
      <c r="I11" s="20">
        <f>IF('Daily Closes'!I11="","",$D11*('Daily Closes'!I11-$E11))</f>
        <v/>
      </c>
      <c r="J11" s="20">
        <f>IF('Daily Closes'!J11="","",$D11*('Daily Closes'!J11-$E11))</f>
        <v/>
      </c>
      <c r="K11" s="20">
        <f>IF('Daily Closes'!K11="","",$D11*('Daily Closes'!K11-$E11))</f>
        <v/>
      </c>
      <c r="L11" s="20">
        <f>IF('Daily Closes'!L11="","",$D11*('Daily Closes'!L11-$E11))</f>
        <v/>
      </c>
      <c r="M11" s="20">
        <f>IF('Daily Closes'!M11="","",$D11*('Daily Closes'!M11-$E11))</f>
        <v/>
      </c>
      <c r="N11" s="20">
        <f>IF('Daily Closes'!N11="","",$D11*('Daily Closes'!N11-$E11))</f>
        <v/>
      </c>
      <c r="O11" s="20">
        <f>IF('Daily Closes'!O11="","",$D11*('Daily Closes'!O11-$E11))</f>
        <v/>
      </c>
      <c r="P11" s="20">
        <f>IF('Daily Closes'!P11="","",$D11*('Daily Closes'!P11-$E11))</f>
        <v/>
      </c>
      <c r="Q11" s="20">
        <f>IF('Daily Closes'!Q11="","",$D11*('Daily Closes'!Q11-$E11))</f>
        <v/>
      </c>
      <c r="R11" s="20">
        <f>IF('Daily Closes'!R11="","",$D11*('Daily Closes'!R11-$E11))</f>
        <v/>
      </c>
      <c r="S11" s="20">
        <f>IF('Daily Closes'!S11="","",$D11*('Daily Closes'!S11-$E11))</f>
        <v/>
      </c>
      <c r="T11" s="20">
        <f>IF('Daily Closes'!T11="","",$D11*('Daily Closes'!T11-$E11))</f>
        <v/>
      </c>
      <c r="U11" s="20">
        <f>IF('Daily Closes'!U11="","",$D11*('Daily Closes'!U11-$E11))</f>
        <v/>
      </c>
      <c r="V11" s="20">
        <f>IF('Daily Closes'!V11="","",$D11*('Daily Closes'!V11-$E11))</f>
        <v/>
      </c>
      <c r="W11" s="20">
        <f>IF('Daily Closes'!W11="","",$D11*('Daily Closes'!W11-$E11))</f>
        <v/>
      </c>
      <c r="X11" s="20">
        <f>IF('Daily Closes'!X11="","",$D11*('Daily Closes'!X11-$E11))</f>
        <v/>
      </c>
      <c r="Y11" s="20">
        <f>IF('Daily Closes'!Y11="","",$D11*('Daily Closes'!Y11-$E11))</f>
        <v/>
      </c>
      <c r="Z11" s="20">
        <f>IF('Daily Closes'!Z11="","",$D11*('Daily Closes'!Z11-$E11))</f>
        <v/>
      </c>
      <c r="AA11" s="20">
        <f>IF('Daily Closes'!AA11="","",$D11*('Daily Closes'!AA11-$E11))</f>
        <v/>
      </c>
    </row>
    <row r="12">
      <c r="A12" s="51">
        <f>'Daily Closes'!A12</f>
        <v/>
      </c>
      <c r="B12" s="16">
        <f>'Daily Closes'!B12</f>
        <v/>
      </c>
      <c r="C12" s="52">
        <f>'Daily Closes'!C12</f>
        <v/>
      </c>
      <c r="D12" s="51">
        <f>'Daily Closes'!D12</f>
        <v/>
      </c>
      <c r="E12" s="18">
        <f>'Daily Closes'!E12</f>
        <v/>
      </c>
      <c r="F12" s="35" t="inlineStr">
        <is>
          <t>—</t>
        </is>
      </c>
      <c r="G12" s="20">
        <f>IF('Daily Closes'!G12="","",$D12*('Daily Closes'!G12-$E12))</f>
        <v/>
      </c>
      <c r="H12" s="20">
        <f>IF('Daily Closes'!H12="","",$D12*('Daily Closes'!H12-$E12))</f>
        <v/>
      </c>
      <c r="I12" s="20">
        <f>IF('Daily Closes'!I12="","",$D12*('Daily Closes'!I12-$E12))</f>
        <v/>
      </c>
      <c r="J12" s="20">
        <f>IF('Daily Closes'!J12="","",$D12*('Daily Closes'!J12-$E12))</f>
        <v/>
      </c>
      <c r="K12" s="20">
        <f>IF('Daily Closes'!K12="","",$D12*('Daily Closes'!K12-$E12))</f>
        <v/>
      </c>
      <c r="L12" s="20">
        <f>IF('Daily Closes'!L12="","",$D12*('Daily Closes'!L12-$E12))</f>
        <v/>
      </c>
      <c r="M12" s="20">
        <f>IF('Daily Closes'!M12="","",$D12*('Daily Closes'!M12-$E12))</f>
        <v/>
      </c>
      <c r="N12" s="20">
        <f>IF('Daily Closes'!N12="","",$D12*('Daily Closes'!N12-$E12))</f>
        <v/>
      </c>
      <c r="O12" s="20">
        <f>IF('Daily Closes'!O12="","",$D12*('Daily Closes'!O12-$E12))</f>
        <v/>
      </c>
      <c r="P12" s="20">
        <f>IF('Daily Closes'!P12="","",$D12*('Daily Closes'!P12-$E12))</f>
        <v/>
      </c>
      <c r="Q12" s="20">
        <f>IF('Daily Closes'!Q12="","",$D12*('Daily Closes'!Q12-$E12))</f>
        <v/>
      </c>
      <c r="R12" s="20">
        <f>IF('Daily Closes'!R12="","",$D12*('Daily Closes'!R12-$E12))</f>
        <v/>
      </c>
      <c r="S12" s="20">
        <f>IF('Daily Closes'!S12="","",$D12*('Daily Closes'!S12-$E12))</f>
        <v/>
      </c>
      <c r="T12" s="20">
        <f>IF('Daily Closes'!T12="","",$D12*('Daily Closes'!T12-$E12))</f>
        <v/>
      </c>
      <c r="U12" s="20">
        <f>IF('Daily Closes'!U12="","",$D12*('Daily Closes'!U12-$E12))</f>
        <v/>
      </c>
      <c r="V12" s="20">
        <f>IF('Daily Closes'!V12="","",$D12*('Daily Closes'!V12-$E12))</f>
        <v/>
      </c>
      <c r="W12" s="20">
        <f>IF('Daily Closes'!W12="","",$D12*('Daily Closes'!W12-$E12))</f>
        <v/>
      </c>
      <c r="X12" s="20">
        <f>IF('Daily Closes'!X12="","",$D12*('Daily Closes'!X12-$E12))</f>
        <v/>
      </c>
      <c r="Y12" s="20">
        <f>IF('Daily Closes'!Y12="","",$D12*('Daily Closes'!Y12-$E12))</f>
        <v/>
      </c>
      <c r="Z12" s="20">
        <f>IF('Daily Closes'!Z12="","",$D12*('Daily Closes'!Z12-$E12))</f>
        <v/>
      </c>
      <c r="AA12" s="20">
        <f>IF('Daily Closes'!AA12="","",$D12*('Daily Closes'!AA12-$E12))</f>
        <v/>
      </c>
    </row>
    <row r="13">
      <c r="A13" s="51">
        <f>'Daily Closes'!A13</f>
        <v/>
      </c>
      <c r="B13" s="16">
        <f>'Daily Closes'!B13</f>
        <v/>
      </c>
      <c r="C13" s="52">
        <f>'Daily Closes'!C13</f>
        <v/>
      </c>
      <c r="D13" s="51">
        <f>'Daily Closes'!D13</f>
        <v/>
      </c>
      <c r="E13" s="18">
        <f>'Daily Closes'!E13</f>
        <v/>
      </c>
      <c r="F13" s="35" t="inlineStr">
        <is>
          <t>—</t>
        </is>
      </c>
      <c r="G13" s="20">
        <f>IF('Daily Closes'!G13="","",$D13*('Daily Closes'!G13-$E13))</f>
        <v/>
      </c>
      <c r="H13" s="20">
        <f>IF('Daily Closes'!H13="","",$D13*('Daily Closes'!H13-$E13))</f>
        <v/>
      </c>
      <c r="I13" s="20">
        <f>IF('Daily Closes'!I13="","",$D13*('Daily Closes'!I13-$E13))</f>
        <v/>
      </c>
      <c r="J13" s="20">
        <f>IF('Daily Closes'!J13="","",$D13*('Daily Closes'!J13-$E13))</f>
        <v/>
      </c>
      <c r="K13" s="20">
        <f>IF('Daily Closes'!K13="","",$D13*('Daily Closes'!K13-$E13))</f>
        <v/>
      </c>
      <c r="L13" s="20">
        <f>IF('Daily Closes'!L13="","",$D13*('Daily Closes'!L13-$E13))</f>
        <v/>
      </c>
      <c r="M13" s="20">
        <f>IF('Daily Closes'!M13="","",$D13*('Daily Closes'!M13-$E13))</f>
        <v/>
      </c>
      <c r="N13" s="20">
        <f>IF('Daily Closes'!N13="","",$D13*('Daily Closes'!N13-$E13))</f>
        <v/>
      </c>
      <c r="O13" s="20">
        <f>IF('Daily Closes'!O13="","",$D13*('Daily Closes'!O13-$E13))</f>
        <v/>
      </c>
      <c r="P13" s="20">
        <f>IF('Daily Closes'!P13="","",$D13*('Daily Closes'!P13-$E13))</f>
        <v/>
      </c>
      <c r="Q13" s="20">
        <f>IF('Daily Closes'!Q13="","",$D13*('Daily Closes'!Q13-$E13))</f>
        <v/>
      </c>
      <c r="R13" s="20">
        <f>IF('Daily Closes'!R13="","",$D13*('Daily Closes'!R13-$E13))</f>
        <v/>
      </c>
      <c r="S13" s="20">
        <f>IF('Daily Closes'!S13="","",$D13*('Daily Closes'!S13-$E13))</f>
        <v/>
      </c>
      <c r="T13" s="20">
        <f>IF('Daily Closes'!T13="","",$D13*('Daily Closes'!T13-$E13))</f>
        <v/>
      </c>
      <c r="U13" s="20">
        <f>IF('Daily Closes'!U13="","",$D13*('Daily Closes'!U13-$E13))</f>
        <v/>
      </c>
      <c r="V13" s="20">
        <f>IF('Daily Closes'!V13="","",$D13*('Daily Closes'!V13-$E13))</f>
        <v/>
      </c>
      <c r="W13" s="20">
        <f>IF('Daily Closes'!W13="","",$D13*('Daily Closes'!W13-$E13))</f>
        <v/>
      </c>
      <c r="X13" s="20">
        <f>IF('Daily Closes'!X13="","",$D13*('Daily Closes'!X13-$E13))</f>
        <v/>
      </c>
      <c r="Y13" s="20">
        <f>IF('Daily Closes'!Y13="","",$D13*('Daily Closes'!Y13-$E13))</f>
        <v/>
      </c>
      <c r="Z13" s="20">
        <f>IF('Daily Closes'!Z13="","",$D13*('Daily Closes'!Z13-$E13))</f>
        <v/>
      </c>
      <c r="AA13" s="20">
        <f>IF('Daily Closes'!AA13="","",$D13*('Daily Closes'!AA13-$E13))</f>
        <v/>
      </c>
    </row>
    <row r="14">
      <c r="A14" s="51">
        <f>'Daily Closes'!A14</f>
        <v/>
      </c>
      <c r="B14" s="16">
        <f>'Daily Closes'!B14</f>
        <v/>
      </c>
      <c r="C14" s="52">
        <f>'Daily Closes'!C14</f>
        <v/>
      </c>
      <c r="D14" s="51">
        <f>'Daily Closes'!D14</f>
        <v/>
      </c>
      <c r="E14" s="18">
        <f>'Daily Closes'!E14</f>
        <v/>
      </c>
      <c r="F14" s="35" t="inlineStr">
        <is>
          <t>—</t>
        </is>
      </c>
      <c r="G14" s="20">
        <f>IF('Daily Closes'!G14="","",$D14*('Daily Closes'!G14-$E14))</f>
        <v/>
      </c>
      <c r="H14" s="20">
        <f>IF('Daily Closes'!H14="","",$D14*('Daily Closes'!H14-$E14))</f>
        <v/>
      </c>
      <c r="I14" s="20">
        <f>IF('Daily Closes'!I14="","",$D14*('Daily Closes'!I14-$E14))</f>
        <v/>
      </c>
      <c r="J14" s="20">
        <f>IF('Daily Closes'!J14="","",$D14*('Daily Closes'!J14-$E14))</f>
        <v/>
      </c>
      <c r="K14" s="20">
        <f>IF('Daily Closes'!K14="","",$D14*('Daily Closes'!K14-$E14))</f>
        <v/>
      </c>
      <c r="L14" s="20">
        <f>IF('Daily Closes'!L14="","",$D14*('Daily Closes'!L14-$E14))</f>
        <v/>
      </c>
      <c r="M14" s="20">
        <f>IF('Daily Closes'!M14="","",$D14*('Daily Closes'!M14-$E14))</f>
        <v/>
      </c>
      <c r="N14" s="20">
        <f>IF('Daily Closes'!N14="","",$D14*('Daily Closes'!N14-$E14))</f>
        <v/>
      </c>
      <c r="O14" s="20">
        <f>IF('Daily Closes'!O14="","",$D14*('Daily Closes'!O14-$E14))</f>
        <v/>
      </c>
      <c r="P14" s="20">
        <f>IF('Daily Closes'!P14="","",$D14*('Daily Closes'!P14-$E14))</f>
        <v/>
      </c>
      <c r="Q14" s="20">
        <f>IF('Daily Closes'!Q14="","",$D14*('Daily Closes'!Q14-$E14))</f>
        <v/>
      </c>
      <c r="R14" s="20">
        <f>IF('Daily Closes'!R14="","",$D14*('Daily Closes'!R14-$E14))</f>
        <v/>
      </c>
      <c r="S14" s="20">
        <f>IF('Daily Closes'!S14="","",$D14*('Daily Closes'!S14-$E14))</f>
        <v/>
      </c>
      <c r="T14" s="20">
        <f>IF('Daily Closes'!T14="","",$D14*('Daily Closes'!T14-$E14))</f>
        <v/>
      </c>
      <c r="U14" s="20">
        <f>IF('Daily Closes'!U14="","",$D14*('Daily Closes'!U14-$E14))</f>
        <v/>
      </c>
      <c r="V14" s="20">
        <f>IF('Daily Closes'!V14="","",$D14*('Daily Closes'!V14-$E14))</f>
        <v/>
      </c>
      <c r="W14" s="20">
        <f>IF('Daily Closes'!W14="","",$D14*('Daily Closes'!W14-$E14))</f>
        <v/>
      </c>
      <c r="X14" s="20">
        <f>IF('Daily Closes'!X14="","",$D14*('Daily Closes'!X14-$E14))</f>
        <v/>
      </c>
      <c r="Y14" s="20">
        <f>IF('Daily Closes'!Y14="","",$D14*('Daily Closes'!Y14-$E14))</f>
        <v/>
      </c>
      <c r="Z14" s="20">
        <f>IF('Daily Closes'!Z14="","",$D14*('Daily Closes'!Z14-$E14))</f>
        <v/>
      </c>
      <c r="AA14" s="20">
        <f>IF('Daily Closes'!AA14="","",$D14*('Daily Closes'!AA14-$E14))</f>
        <v/>
      </c>
    </row>
    <row r="15">
      <c r="A15" s="51">
        <f>'Daily Closes'!A15</f>
        <v/>
      </c>
      <c r="B15" s="16">
        <f>'Daily Closes'!B15</f>
        <v/>
      </c>
      <c r="C15" s="52">
        <f>'Daily Closes'!C15</f>
        <v/>
      </c>
      <c r="D15" s="51">
        <f>'Daily Closes'!D15</f>
        <v/>
      </c>
      <c r="E15" s="18">
        <f>'Daily Closes'!E15</f>
        <v/>
      </c>
      <c r="F15" s="35" t="inlineStr">
        <is>
          <t>—</t>
        </is>
      </c>
      <c r="G15" s="20">
        <f>IF('Daily Closes'!G15="","",$D15*('Daily Closes'!G15-$E15))</f>
        <v/>
      </c>
      <c r="H15" s="20">
        <f>IF('Daily Closes'!H15="","",$D15*('Daily Closes'!H15-$E15))</f>
        <v/>
      </c>
      <c r="I15" s="20">
        <f>IF('Daily Closes'!I15="","",$D15*('Daily Closes'!I15-$E15))</f>
        <v/>
      </c>
      <c r="J15" s="20">
        <f>IF('Daily Closes'!J15="","",$D15*('Daily Closes'!J15-$E15))</f>
        <v/>
      </c>
      <c r="K15" s="20">
        <f>IF('Daily Closes'!K15="","",$D15*('Daily Closes'!K15-$E15))</f>
        <v/>
      </c>
      <c r="L15" s="20">
        <f>IF('Daily Closes'!L15="","",$D15*('Daily Closes'!L15-$E15))</f>
        <v/>
      </c>
      <c r="M15" s="20">
        <f>IF('Daily Closes'!M15="","",$D15*('Daily Closes'!M15-$E15))</f>
        <v/>
      </c>
      <c r="N15" s="20">
        <f>IF('Daily Closes'!N15="","",$D15*('Daily Closes'!N15-$E15))</f>
        <v/>
      </c>
      <c r="O15" s="20">
        <f>IF('Daily Closes'!O15="","",$D15*('Daily Closes'!O15-$E15))</f>
        <v/>
      </c>
      <c r="P15" s="20">
        <f>IF('Daily Closes'!P15="","",$D15*('Daily Closes'!P15-$E15))</f>
        <v/>
      </c>
      <c r="Q15" s="20">
        <f>IF('Daily Closes'!Q15="","",$D15*('Daily Closes'!Q15-$E15))</f>
        <v/>
      </c>
      <c r="R15" s="20">
        <f>IF('Daily Closes'!R15="","",$D15*('Daily Closes'!R15-$E15))</f>
        <v/>
      </c>
      <c r="S15" s="20">
        <f>IF('Daily Closes'!S15="","",$D15*('Daily Closes'!S15-$E15))</f>
        <v/>
      </c>
      <c r="T15" s="20">
        <f>IF('Daily Closes'!T15="","",$D15*('Daily Closes'!T15-$E15))</f>
        <v/>
      </c>
      <c r="U15" s="20">
        <f>IF('Daily Closes'!U15="","",$D15*('Daily Closes'!U15-$E15))</f>
        <v/>
      </c>
      <c r="V15" s="20">
        <f>IF('Daily Closes'!V15="","",$D15*('Daily Closes'!V15-$E15))</f>
        <v/>
      </c>
      <c r="W15" s="20">
        <f>IF('Daily Closes'!W15="","",$D15*('Daily Closes'!W15-$E15))</f>
        <v/>
      </c>
      <c r="X15" s="20">
        <f>IF('Daily Closes'!X15="","",$D15*('Daily Closes'!X15-$E15))</f>
        <v/>
      </c>
      <c r="Y15" s="20">
        <f>IF('Daily Closes'!Y15="","",$D15*('Daily Closes'!Y15-$E15))</f>
        <v/>
      </c>
      <c r="Z15" s="20">
        <f>IF('Daily Closes'!Z15="","",$D15*('Daily Closes'!Z15-$E15))</f>
        <v/>
      </c>
      <c r="AA15" s="20">
        <f>IF('Daily Closes'!AA15="","",$D15*('Daily Closes'!AA15-$E15))</f>
        <v/>
      </c>
    </row>
    <row r="16">
      <c r="B16" s="16" t="inlineStr">
        <is>
          <t>TOTAL</t>
        </is>
      </c>
      <c r="G16" s="48">
        <f>IF(COUNT(G6:G15)=0,"",SUM(G6:G15))</f>
        <v/>
      </c>
      <c r="H16" s="48">
        <f>IF(COUNT(H6:H15)=0,"",SUM(H6:H15))</f>
        <v/>
      </c>
      <c r="I16" s="48">
        <f>IF(COUNT(I6:I15)=0,"",SUM(I6:I15))</f>
        <v/>
      </c>
      <c r="J16" s="48">
        <f>IF(COUNT(J6:J15)=0,"",SUM(J6:J15))</f>
        <v/>
      </c>
      <c r="K16" s="48">
        <f>IF(COUNT(K6:K15)=0,"",SUM(K6:K15))</f>
        <v/>
      </c>
      <c r="L16" s="48">
        <f>IF(COUNT(L6:L15)=0,"",SUM(L6:L15))</f>
        <v/>
      </c>
      <c r="M16" s="48">
        <f>IF(COUNT(M6:M15)=0,"",SUM(M6:M15))</f>
        <v/>
      </c>
      <c r="N16" s="48">
        <f>IF(COUNT(N6:N15)=0,"",SUM(N6:N15))</f>
        <v/>
      </c>
      <c r="O16" s="48">
        <f>IF(COUNT(O6:O15)=0,"",SUM(O6:O15))</f>
        <v/>
      </c>
      <c r="P16" s="48">
        <f>IF(COUNT(P6:P15)=0,"",SUM(P6:P15))</f>
        <v/>
      </c>
      <c r="Q16" s="48">
        <f>IF(COUNT(Q6:Q15)=0,"",SUM(Q6:Q15))</f>
        <v/>
      </c>
      <c r="R16" s="48">
        <f>IF(COUNT(R6:R15)=0,"",SUM(R6:R15))</f>
        <v/>
      </c>
      <c r="S16" s="48">
        <f>IF(COUNT(S6:S15)=0,"",SUM(S6:S15))</f>
        <v/>
      </c>
      <c r="T16" s="48">
        <f>IF(COUNT(T6:T15)=0,"",SUM(T6:T15))</f>
        <v/>
      </c>
      <c r="U16" s="48">
        <f>IF(COUNT(U6:U15)=0,"",SUM(U6:U15))</f>
        <v/>
      </c>
      <c r="V16" s="48">
        <f>IF(COUNT(V6:V15)=0,"",SUM(V6:V15))</f>
        <v/>
      </c>
      <c r="W16" s="48">
        <f>IF(COUNT(W6:W15)=0,"",SUM(W6:W15))</f>
        <v/>
      </c>
      <c r="X16" s="48">
        <f>IF(COUNT(X6:X15)=0,"",SUM(X6:X15))</f>
        <v/>
      </c>
      <c r="Y16" s="48">
        <f>IF(COUNT(Y6:Y15)=0,"",SUM(Y6:Y15))</f>
        <v/>
      </c>
      <c r="Z16" s="48">
        <f>IF(COUNT(Z6:Z15)=0,"",SUM(Z6:Z15))</f>
        <v/>
      </c>
      <c r="AA16" s="48">
        <f>IF(COUNT(AA6:AA15)=0,"",SUM(AA6:AA15))</f>
        <v/>
      </c>
    </row>
  </sheetData>
  <mergeCells count="2">
    <mergeCell ref="A1:AA1"/>
    <mergeCell ref="A2:AA2"/>
  </mergeCells>
  <conditionalFormatting sqref="G6:AA1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0B1F3A"/>
    <outlinePr summaryBelow="1" summaryRight="1"/>
    <pageSetUpPr fitToPage="1"/>
  </sheetPr>
  <dimension ref="A1:I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0" customWidth="1" min="3" max="3"/>
    <col width="18" customWidth="1" min="4" max="4"/>
    <col width="14" customWidth="1" min="5" max="5"/>
    <col width="11" customWidth="1" min="6" max="6"/>
    <col width="10" customWidth="1" min="7" max="7"/>
    <col width="12" customWidth="1" min="8" max="8"/>
    <col width="12" customWidth="1" min="9" max="9"/>
  </cols>
  <sheetData>
    <row r="1" ht="30" customHeight="1">
      <c r="A1" s="1" t="inlineStr">
        <is>
          <t>Portfolio Path — Day by Day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Value, P&amp;L, return, drawdown and Nifty 50 comparison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5" t="inlineStr">
        <is>
          <t>Day</t>
        </is>
      </c>
      <c r="B4" s="15" t="inlineStr">
        <is>
          <t>Date</t>
        </is>
      </c>
      <c r="C4" s="15" t="inlineStr">
        <is>
          <t>Status</t>
        </is>
      </c>
      <c r="D4" s="15" t="inlineStr">
        <is>
          <t>Portfolio Value ₹</t>
        </is>
      </c>
      <c r="E4" s="15" t="inlineStr">
        <is>
          <t>P&amp;L ₹</t>
        </is>
      </c>
      <c r="F4" s="15" t="inlineStr">
        <is>
          <t>Return %</t>
        </is>
      </c>
      <c r="G4" s="15" t="inlineStr">
        <is>
          <t>Daily %</t>
        </is>
      </c>
      <c r="H4" s="15" t="inlineStr">
        <is>
          <t>Drawdown %</t>
        </is>
      </c>
      <c r="I4" s="15" t="inlineStr">
        <is>
          <t>Nifty 50 %</t>
        </is>
      </c>
    </row>
    <row r="5">
      <c r="A5" s="53" t="n">
        <v>0</v>
      </c>
      <c r="B5" s="35" t="inlineStr">
        <is>
          <t>2026-09-28</t>
        </is>
      </c>
      <c r="C5" s="52" t="inlineStr">
        <is>
          <t>Signal</t>
        </is>
      </c>
      <c r="D5" s="20" t="n">
        <v>139903</v>
      </c>
      <c r="E5" s="20" t="n">
        <v>0</v>
      </c>
      <c r="F5" s="19" t="n">
        <v>0</v>
      </c>
      <c r="G5" s="19" t="n"/>
      <c r="H5" s="19" t="n"/>
      <c r="I5" s="19" t="n">
        <v>0</v>
      </c>
    </row>
    <row r="6">
      <c r="A6" s="53" t="n">
        <v>1</v>
      </c>
      <c r="B6" s="35" t="inlineStr">
        <is>
          <t>2026-09-29</t>
        </is>
      </c>
      <c r="C6" s="52" t="inlineStr">
        <is>
          <t>Entry</t>
        </is>
      </c>
      <c r="D6" s="20" t="n">
        <v>145178.6</v>
      </c>
      <c r="E6" s="20" t="n">
        <v>5223.55</v>
      </c>
      <c r="F6" s="19" t="n">
        <v>0.037323</v>
      </c>
      <c r="G6" s="19" t="n"/>
      <c r="H6" s="19" t="n">
        <v>0</v>
      </c>
      <c r="I6" s="19" t="n">
        <v>-0.002812</v>
      </c>
    </row>
    <row r="7">
      <c r="A7" s="53" t="n">
        <v>2</v>
      </c>
      <c r="B7" s="35" t="inlineStr">
        <is>
          <t>2026-09-30</t>
        </is>
      </c>
      <c r="C7" s="52" t="inlineStr">
        <is>
          <t>Hold</t>
        </is>
      </c>
      <c r="D7" s="20" t="n">
        <v>144421.3</v>
      </c>
      <c r="E7" s="20" t="n">
        <v>4466.25</v>
      </c>
      <c r="F7" s="19" t="n">
        <v>0.031912</v>
      </c>
      <c r="G7" s="19" t="n">
        <v>-0.005216</v>
      </c>
      <c r="H7" s="19" t="n">
        <v>-0.005216</v>
      </c>
      <c r="I7" s="19" t="n">
        <v>-0.007015</v>
      </c>
    </row>
    <row r="8">
      <c r="A8" s="53" t="n">
        <v>3</v>
      </c>
      <c r="B8" s="35" t="inlineStr">
        <is>
          <t>2026-10-01</t>
        </is>
      </c>
      <c r="C8" s="52" t="inlineStr">
        <is>
          <t>Hold</t>
        </is>
      </c>
      <c r="D8" s="20" t="n">
        <v>142311.25</v>
      </c>
      <c r="E8" s="20" t="n">
        <v>2356.2</v>
      </c>
      <c r="F8" s="19" t="n">
        <v>0.016835</v>
      </c>
      <c r="G8" s="19" t="n">
        <v>-0.01461</v>
      </c>
      <c r="H8" s="19" t="n">
        <v>-0.019751</v>
      </c>
      <c r="I8" s="19" t="n">
        <v>-0.015729</v>
      </c>
    </row>
    <row r="9">
      <c r="A9" s="53" t="n">
        <v>4</v>
      </c>
      <c r="B9" s="35" t="inlineStr">
        <is>
          <t>2026-10-02</t>
        </is>
      </c>
      <c r="C9" s="52" t="inlineStr">
        <is>
          <t>Hold</t>
        </is>
      </c>
      <c r="D9" s="20" t="n">
        <v>142311.25</v>
      </c>
      <c r="E9" s="20" t="n">
        <v>2356.2</v>
      </c>
      <c r="F9" s="19" t="n">
        <v>0.016835</v>
      </c>
      <c r="G9" s="19" t="n">
        <v>0</v>
      </c>
      <c r="H9" s="19" t="n">
        <v>-0.019751</v>
      </c>
      <c r="I9" s="19" t="n">
        <v>-0.015729</v>
      </c>
    </row>
    <row r="10">
      <c r="A10" s="53" t="n">
        <v>5</v>
      </c>
      <c r="B10" s="35" t="inlineStr">
        <is>
          <t>2026-10-05</t>
        </is>
      </c>
      <c r="C10" s="52" t="inlineStr">
        <is>
          <t>Hold</t>
        </is>
      </c>
      <c r="D10" s="20" t="n">
        <v>144045.15</v>
      </c>
      <c r="E10" s="20" t="n">
        <v>4090.1</v>
      </c>
      <c r="F10" s="19" t="n">
        <v>0.029224</v>
      </c>
      <c r="G10" s="19" t="n">
        <v>0.012184</v>
      </c>
      <c r="H10" s="19" t="n">
        <v>-0.007807</v>
      </c>
      <c r="I10" s="19" t="n">
        <v>-0.009854999999999999</v>
      </c>
    </row>
    <row r="11">
      <c r="A11" s="53" t="n">
        <v>6</v>
      </c>
      <c r="B11" s="35" t="inlineStr">
        <is>
          <t>2026-10-06</t>
        </is>
      </c>
      <c r="C11" s="52" t="inlineStr">
        <is>
          <t>Hold</t>
        </is>
      </c>
      <c r="D11" s="20" t="n">
        <v>148186.35</v>
      </c>
      <c r="E11" s="20" t="n">
        <v>8231.299999999999</v>
      </c>
      <c r="F11" s="19" t="n">
        <v>0.058814</v>
      </c>
      <c r="G11" s="19" t="n">
        <v>0.028749</v>
      </c>
      <c r="H11" s="19" t="n">
        <v>0</v>
      </c>
      <c r="I11" s="19" t="n">
        <v>-0.000182</v>
      </c>
    </row>
    <row r="12">
      <c r="A12" s="54" t="n">
        <v>7</v>
      </c>
      <c r="B12" s="55" t="inlineStr">
        <is>
          <t>2026-10-07</t>
        </is>
      </c>
      <c r="C12" s="56" t="inlineStr">
        <is>
          <t>Hold</t>
        </is>
      </c>
      <c r="D12" s="57" t="n">
        <v>148825.15</v>
      </c>
      <c r="E12" s="57" t="n">
        <v>8870.1</v>
      </c>
      <c r="F12" s="58" t="n">
        <v>0.063378</v>
      </c>
      <c r="G12" s="58" t="n">
        <v>0.004311</v>
      </c>
      <c r="H12" s="58" t="n">
        <v>0</v>
      </c>
      <c r="I12" s="58" t="n">
        <v>-0.007779</v>
      </c>
    </row>
    <row r="13">
      <c r="A13" s="59" t="n">
        <v>8</v>
      </c>
      <c r="B13" s="60" t="inlineStr">
        <is>
          <t>2026-10-09</t>
        </is>
      </c>
      <c r="C13" s="61" t="inlineStr">
        <is>
          <t>Hold (upcoming)</t>
        </is>
      </c>
      <c r="D13" s="62" t="n"/>
      <c r="E13" s="62" t="n"/>
      <c r="F13" s="63" t="n"/>
      <c r="G13" s="63" t="n"/>
      <c r="H13" s="63" t="n"/>
      <c r="I13" s="63" t="n"/>
    </row>
    <row r="14">
      <c r="A14" s="59" t="n">
        <v>9</v>
      </c>
      <c r="B14" s="60" t="inlineStr">
        <is>
          <t>2026-10-12</t>
        </is>
      </c>
      <c r="C14" s="61" t="inlineStr">
        <is>
          <t>Hold (upcoming)</t>
        </is>
      </c>
      <c r="D14" s="62" t="n"/>
      <c r="E14" s="62" t="n"/>
      <c r="F14" s="63" t="n"/>
      <c r="G14" s="63" t="n"/>
      <c r="H14" s="63" t="n"/>
      <c r="I14" s="63" t="n"/>
    </row>
    <row r="15">
      <c r="A15" s="59" t="n">
        <v>10</v>
      </c>
      <c r="B15" s="60" t="inlineStr">
        <is>
          <t>2026-10-13</t>
        </is>
      </c>
      <c r="C15" s="61" t="inlineStr">
        <is>
          <t>Hold (upcoming)</t>
        </is>
      </c>
      <c r="D15" s="62" t="n"/>
      <c r="E15" s="62" t="n"/>
      <c r="F15" s="63" t="n"/>
      <c r="G15" s="63" t="n"/>
      <c r="H15" s="63" t="n"/>
      <c r="I15" s="63" t="n"/>
    </row>
    <row r="16">
      <c r="A16" s="59" t="n">
        <v>11</v>
      </c>
      <c r="B16" s="60" t="inlineStr">
        <is>
          <t>2026-10-14</t>
        </is>
      </c>
      <c r="C16" s="61" t="inlineStr">
        <is>
          <t>Hold (upcoming)</t>
        </is>
      </c>
      <c r="D16" s="62" t="n"/>
      <c r="E16" s="62" t="n"/>
      <c r="F16" s="63" t="n"/>
      <c r="G16" s="63" t="n"/>
      <c r="H16" s="63" t="n"/>
      <c r="I16" s="63" t="n"/>
    </row>
    <row r="17">
      <c r="A17" s="59" t="n">
        <v>12</v>
      </c>
      <c r="B17" s="60" t="inlineStr">
        <is>
          <t>2026-10-15</t>
        </is>
      </c>
      <c r="C17" s="61" t="inlineStr">
        <is>
          <t>Hold (upcoming)</t>
        </is>
      </c>
      <c r="D17" s="62" t="n"/>
      <c r="E17" s="62" t="n"/>
      <c r="F17" s="63" t="n"/>
      <c r="G17" s="63" t="n"/>
      <c r="H17" s="63" t="n"/>
      <c r="I17" s="63" t="n"/>
    </row>
    <row r="18">
      <c r="A18" s="59" t="n">
        <v>13</v>
      </c>
      <c r="B18" s="60" t="inlineStr">
        <is>
          <t>2026-10-16</t>
        </is>
      </c>
      <c r="C18" s="61" t="inlineStr">
        <is>
          <t>Hold (upcoming)</t>
        </is>
      </c>
      <c r="D18" s="62" t="n"/>
      <c r="E18" s="62" t="n"/>
      <c r="F18" s="63" t="n"/>
      <c r="G18" s="63" t="n"/>
      <c r="H18" s="63" t="n"/>
      <c r="I18" s="63" t="n"/>
    </row>
    <row r="19">
      <c r="A19" s="59" t="n">
        <v>14</v>
      </c>
      <c r="B19" s="60" t="inlineStr">
        <is>
          <t>2026-10-19</t>
        </is>
      </c>
      <c r="C19" s="61" t="inlineStr">
        <is>
          <t>Hold (upcoming)</t>
        </is>
      </c>
      <c r="D19" s="62" t="n"/>
      <c r="E19" s="62" t="n"/>
      <c r="F19" s="63" t="n"/>
      <c r="G19" s="63" t="n"/>
      <c r="H19" s="63" t="n"/>
      <c r="I19" s="63" t="n"/>
    </row>
    <row r="20">
      <c r="A20" s="59" t="n">
        <v>15</v>
      </c>
      <c r="B20" s="60" t="inlineStr">
        <is>
          <t>2026-10-21</t>
        </is>
      </c>
      <c r="C20" s="61" t="inlineStr">
        <is>
          <t>Hold (upcoming)</t>
        </is>
      </c>
      <c r="D20" s="62" t="n"/>
      <c r="E20" s="62" t="n"/>
      <c r="F20" s="63" t="n"/>
      <c r="G20" s="63" t="n"/>
      <c r="H20" s="63" t="n"/>
      <c r="I20" s="63" t="n"/>
    </row>
    <row r="21">
      <c r="A21" s="59" t="n">
        <v>16</v>
      </c>
      <c r="B21" s="60" t="inlineStr">
        <is>
          <t>2026-10-22</t>
        </is>
      </c>
      <c r="C21" s="61" t="inlineStr">
        <is>
          <t>Hold (upcoming)</t>
        </is>
      </c>
      <c r="D21" s="62" t="n"/>
      <c r="E21" s="62" t="n"/>
      <c r="F21" s="63" t="n"/>
      <c r="G21" s="63" t="n"/>
      <c r="H21" s="63" t="n"/>
      <c r="I21" s="63" t="n"/>
    </row>
    <row r="22">
      <c r="A22" s="59" t="n">
        <v>17</v>
      </c>
      <c r="B22" s="60" t="inlineStr">
        <is>
          <t>2026-10-23</t>
        </is>
      </c>
      <c r="C22" s="61" t="inlineStr">
        <is>
          <t>Hold (upcoming)</t>
        </is>
      </c>
      <c r="D22" s="62" t="n"/>
      <c r="E22" s="62" t="n"/>
      <c r="F22" s="63" t="n"/>
      <c r="G22" s="63" t="n"/>
      <c r="H22" s="63" t="n"/>
      <c r="I22" s="63" t="n"/>
    </row>
    <row r="23">
      <c r="A23" s="59" t="n">
        <v>18</v>
      </c>
      <c r="B23" s="60" t="inlineStr">
        <is>
          <t>2026-10-26</t>
        </is>
      </c>
      <c r="C23" s="61" t="inlineStr">
        <is>
          <t>Hold (upcoming)</t>
        </is>
      </c>
      <c r="D23" s="62" t="n"/>
      <c r="E23" s="62" t="n"/>
      <c r="F23" s="63" t="n"/>
      <c r="G23" s="63" t="n"/>
      <c r="H23" s="63" t="n"/>
      <c r="I23" s="63" t="n"/>
    </row>
    <row r="24">
      <c r="A24" s="59" t="n">
        <v>19</v>
      </c>
      <c r="B24" s="60" t="inlineStr">
        <is>
          <t>2026-10-27</t>
        </is>
      </c>
      <c r="C24" s="61" t="inlineStr">
        <is>
          <t>Hold (upcoming)</t>
        </is>
      </c>
      <c r="D24" s="62" t="n"/>
      <c r="E24" s="62" t="n"/>
      <c r="F24" s="63" t="n"/>
      <c r="G24" s="63" t="n"/>
      <c r="H24" s="63" t="n"/>
      <c r="I24" s="63" t="n"/>
    </row>
    <row r="25">
      <c r="A25" s="59" t="n">
        <v>20</v>
      </c>
      <c r="B25" s="60" t="inlineStr">
        <is>
          <t>2026-10-28</t>
        </is>
      </c>
      <c r="C25" s="61" t="inlineStr">
        <is>
          <t>Exit reminder (upcoming)</t>
        </is>
      </c>
      <c r="D25" s="62" t="n"/>
      <c r="E25" s="62" t="n"/>
      <c r="F25" s="63" t="n"/>
      <c r="G25" s="63" t="n"/>
      <c r="H25" s="63" t="n"/>
      <c r="I25" s="63" t="n"/>
    </row>
    <row r="26">
      <c r="A26" s="59" t="n">
        <v>21</v>
      </c>
      <c r="B26" s="60" t="inlineStr">
        <is>
          <t>2026-10-29</t>
        </is>
      </c>
      <c r="C26" s="61" t="inlineStr">
        <is>
          <t>Exit (upcoming)</t>
        </is>
      </c>
      <c r="D26" s="62" t="n"/>
      <c r="E26" s="62" t="n"/>
      <c r="F26" s="63" t="n"/>
      <c r="G26" s="63" t="n"/>
      <c r="H26" s="63" t="n"/>
      <c r="I26" s="63" t="n"/>
    </row>
  </sheetData>
  <mergeCells count="2">
    <mergeCell ref="A1:I1"/>
    <mergeCell ref="A2:I2"/>
  </mergeCells>
  <conditionalFormatting sqref="E5:I2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P3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30" customHeight="1">
      <c r="A1" s="1" t="inlineStr">
        <is>
          <t>Batch Details (from SwingScope HTML)</t>
        </is>
      </c>
      <c r="B1" s="2" t="n"/>
      <c r="C1" s="2" t="n"/>
      <c r="D1" s="2" t="n"/>
      <c r="E1" s="2" t="n"/>
      <c r="F1" s="2" t="n"/>
      <c r="G1" s="2" t="n"/>
      <c r="H1" s="2" t="n"/>
    </row>
    <row r="2" ht="18" customHeight="1">
      <c r="A2" s="3" t="inlineStr">
        <is>
          <t>SwingScope batch 2026-09-28</t>
        </is>
      </c>
      <c r="B2" s="2" t="n"/>
      <c r="C2" s="2" t="n"/>
      <c r="D2" s="2" t="n"/>
      <c r="E2" s="2" t="n"/>
      <c r="F2" s="2" t="n"/>
      <c r="G2" s="2" t="n"/>
      <c r="H2" s="2" t="n"/>
    </row>
    <row r="4">
      <c r="B4" s="22" t="inlineStr">
        <is>
          <t>Batch ID</t>
        </is>
      </c>
      <c r="C4" s="52" t="inlineStr">
        <is>
          <t>2026-09-28</t>
        </is>
      </c>
      <c r="D4" s="64" t="n"/>
      <c r="E4" s="64" t="n"/>
      <c r="F4" s="64" t="n"/>
      <c r="G4" s="64" t="n"/>
      <c r="H4" s="65" t="n"/>
    </row>
    <row r="5">
      <c r="B5" s="22" t="inlineStr">
        <is>
          <t>Signal date (Day 0)</t>
        </is>
      </c>
      <c r="C5" s="52" t="inlineStr">
        <is>
          <t>2026-09-28</t>
        </is>
      </c>
      <c r="D5" s="64" t="n"/>
      <c r="E5" s="64" t="n"/>
      <c r="F5" s="64" t="n"/>
      <c r="G5" s="64" t="n"/>
      <c r="H5" s="65" t="n"/>
    </row>
    <row r="6">
      <c r="B6" s="22" t="inlineStr">
        <is>
          <t>Exit (HTML estimate)</t>
        </is>
      </c>
      <c r="C6" s="52" t="inlineStr">
        <is>
          <t>2026-10-27</t>
        </is>
      </c>
      <c r="D6" s="64" t="n"/>
      <c r="E6" s="64" t="n"/>
      <c r="F6" s="64" t="n"/>
      <c r="G6" s="64" t="n"/>
      <c r="H6" s="65" t="n"/>
    </row>
    <row r="7">
      <c r="B7" s="22" t="inlineStr">
        <is>
          <t>Exit (projected, NSE calendar)</t>
        </is>
      </c>
      <c r="C7" s="52" t="inlineStr">
        <is>
          <t>2026-10-29</t>
        </is>
      </c>
      <c r="D7" s="64" t="n"/>
      <c r="E7" s="64" t="n"/>
      <c r="F7" s="64" t="n"/>
      <c r="G7" s="64" t="n"/>
      <c r="H7" s="65" t="n"/>
    </row>
    <row r="8">
      <c r="B8" s="22" t="inlineStr">
        <is>
          <t>Hold</t>
        </is>
      </c>
      <c r="C8" s="52" t="inlineStr">
        <is>
          <t>21 sessions — no stop, no target</t>
        </is>
      </c>
      <c r="D8" s="64" t="n"/>
      <c r="E8" s="64" t="n"/>
      <c r="F8" s="64" t="n"/>
      <c r="G8" s="64" t="n"/>
      <c r="H8" s="65" t="n"/>
    </row>
    <row r="9">
      <c r="B9" s="22" t="inlineStr">
        <is>
          <t>Universe</t>
        </is>
      </c>
      <c r="C9" s="52" t="inlineStr">
        <is>
          <t>liquidity top 400 of all NSE stocks</t>
        </is>
      </c>
      <c r="D9" s="64" t="n"/>
      <c r="E9" s="64" t="n"/>
      <c r="F9" s="64" t="n"/>
      <c r="G9" s="64" t="n"/>
      <c r="H9" s="65" t="n"/>
    </row>
    <row r="10">
      <c r="B10" s="22" t="inlineStr">
        <is>
          <t>Capital committed (at signal close)</t>
        </is>
      </c>
      <c r="C10" s="66" t="n">
        <v>139903</v>
      </c>
      <c r="D10" s="64" t="n"/>
      <c r="E10" s="64" t="n"/>
      <c r="F10" s="64" t="n"/>
      <c r="G10" s="64" t="n"/>
      <c r="H10" s="65" t="n"/>
    </row>
    <row r="11">
      <c r="B11" s="22" t="inlineStr">
        <is>
          <t>Estimated costs</t>
        </is>
      </c>
      <c r="C11" s="66" t="n">
        <v>859</v>
      </c>
      <c r="D11" s="64" t="n"/>
      <c r="E11" s="64" t="n"/>
      <c r="F11" s="64" t="n"/>
      <c r="G11" s="64" t="n"/>
      <c r="H11" s="65" t="n"/>
    </row>
    <row r="12">
      <c r="B12" s="22" t="inlineStr">
        <is>
          <t>Cost %</t>
        </is>
      </c>
      <c r="C12" s="52" t="inlineStr">
        <is>
          <t>0.6%</t>
        </is>
      </c>
      <c r="D12" s="64" t="n"/>
      <c r="E12" s="64" t="n"/>
      <c r="F12" s="64" t="n"/>
      <c r="G12" s="64" t="n"/>
      <c r="H12" s="65" t="n"/>
    </row>
    <row r="13">
      <c r="B13" s="22" t="inlineStr">
        <is>
          <t>Market regime</t>
        </is>
      </c>
      <c r="C13" s="52" t="inlineStr">
        <is>
          <t>Down — the signal's weakest regime historically</t>
        </is>
      </c>
      <c r="D13" s="64" t="n"/>
      <c r="E13" s="64" t="n"/>
      <c r="F13" s="64" t="n"/>
      <c r="G13" s="64" t="n"/>
      <c r="H13" s="65" t="n"/>
    </row>
    <row r="14">
      <c r="B14" s="22" t="inlineStr">
        <is>
          <t>Stocks with a warning</t>
        </is>
      </c>
      <c r="C14" s="52" t="inlineStr">
        <is>
          <t>0 of 10</t>
        </is>
      </c>
      <c r="D14" s="64" t="n"/>
      <c r="E14" s="64" t="n"/>
      <c r="F14" s="64" t="n"/>
      <c r="G14" s="64" t="n"/>
      <c r="H14" s="65" t="n"/>
    </row>
    <row r="17">
      <c r="B17" s="15" t="inlineStr">
        <is>
          <t>#</t>
        </is>
      </c>
      <c r="C17" s="15" t="inlineStr">
        <is>
          <t>Symbol</t>
        </is>
      </c>
      <c r="D17" s="15" t="inlineStr">
        <is>
          <t>ISIN</t>
        </is>
      </c>
      <c r="E17" s="15" t="inlineStr">
        <is>
          <t>Qty</t>
        </is>
      </c>
      <c r="F17" s="15" t="inlineStr">
        <is>
          <t>Signal close</t>
        </is>
      </c>
      <c r="G17" s="15" t="inlineStr">
        <is>
          <t>Amount</t>
        </is>
      </c>
      <c r="H17" s="15" t="inlineStr">
        <is>
          <t>12-1 %</t>
        </is>
      </c>
      <c r="I17" s="15" t="inlineStr">
        <is>
          <t>6-1 %</t>
        </is>
      </c>
      <c r="J17" s="15" t="inlineStr">
        <is>
          <t>3-1 %</t>
        </is>
      </c>
      <c r="K17" s="15" t="inlineStr">
        <is>
          <t>Vol %</t>
        </is>
      </c>
      <c r="L17" s="15" t="inlineStr">
        <is>
          <t>Traded daily (cr)</t>
        </is>
      </c>
      <c r="M17" s="15" t="inlineStr">
        <is>
          <t>From 12m high %</t>
        </is>
      </c>
      <c r="N17" s="15" t="inlineStr">
        <is>
          <t>Signal rank</t>
        </is>
      </c>
      <c r="O17" s="15" t="inlineStr">
        <is>
          <t>Data quality</t>
        </is>
      </c>
      <c r="P17" s="15" t="inlineStr">
        <is>
          <t>Watch</t>
        </is>
      </c>
    </row>
    <row r="18">
      <c r="B18" s="51" t="n">
        <v>1</v>
      </c>
      <c r="C18" s="52" t="inlineStr">
        <is>
          <t>TDPOWERSYS</t>
        </is>
      </c>
      <c r="D18" s="52" t="inlineStr">
        <is>
          <t>INE419M01035</t>
        </is>
      </c>
      <c r="E18" s="51" t="n">
        <v>20</v>
      </c>
      <c r="F18" s="18" t="n">
        <v>722</v>
      </c>
      <c r="G18" s="18" t="n">
        <v>14440</v>
      </c>
      <c r="H18" s="51" t="n">
        <v>177</v>
      </c>
      <c r="I18" s="51" t="n">
        <v>72.2</v>
      </c>
      <c r="J18" s="51" t="n">
        <v>19.6</v>
      </c>
      <c r="K18" s="51" t="n">
        <v>60.1</v>
      </c>
      <c r="L18" s="51" t="n">
        <v>128</v>
      </c>
      <c r="M18" s="51" t="n">
        <v>-10.3</v>
      </c>
      <c r="N18" s="51" t="n">
        <v>6</v>
      </c>
      <c r="O18" s="52" t="inlineStr">
        <is>
          <t>Green</t>
        </is>
      </c>
      <c r="P18" s="52" t="inlineStr">
        <is>
          <t>Nothing flagged</t>
        </is>
      </c>
    </row>
    <row r="19">
      <c r="B19" s="51" t="n">
        <v>2</v>
      </c>
      <c r="C19" s="52" t="inlineStr">
        <is>
          <t>AEROFLEX</t>
        </is>
      </c>
      <c r="D19" s="52" t="inlineStr">
        <is>
          <t>INE024001021</t>
        </is>
      </c>
      <c r="E19" s="51" t="n">
        <v>29</v>
      </c>
      <c r="F19" s="18" t="n">
        <v>513.4</v>
      </c>
      <c r="G19" s="18" t="n">
        <v>14889</v>
      </c>
      <c r="H19" s="51" t="n">
        <v>175</v>
      </c>
      <c r="I19" s="51" t="n">
        <v>107</v>
      </c>
      <c r="J19" s="51" t="n">
        <v>10.7</v>
      </c>
      <c r="K19" s="51" t="n">
        <v>67.3</v>
      </c>
      <c r="L19" s="51" t="n">
        <v>53</v>
      </c>
      <c r="M19" s="51" t="n">
        <v>-10.5</v>
      </c>
      <c r="N19" s="51" t="n">
        <v>7</v>
      </c>
      <c r="O19" s="52" t="inlineStr">
        <is>
          <t>Green</t>
        </is>
      </c>
      <c r="P19" s="52" t="inlineStr">
        <is>
          <t>Nothing flagged</t>
        </is>
      </c>
    </row>
    <row r="20">
      <c r="B20" s="51" t="n">
        <v>3</v>
      </c>
      <c r="C20" s="52" t="inlineStr">
        <is>
          <t>ATHERENERG</t>
        </is>
      </c>
      <c r="D20" s="52" t="inlineStr">
        <is>
          <t>INE0LEZ01016</t>
        </is>
      </c>
      <c r="E20" s="51" t="n">
        <v>10</v>
      </c>
      <c r="F20" s="18" t="n">
        <v>1454.9</v>
      </c>
      <c r="G20" s="18" t="n">
        <v>14549</v>
      </c>
      <c r="H20" s="51" t="n">
        <v>166</v>
      </c>
      <c r="I20" s="51" t="n">
        <v>97.5</v>
      </c>
      <c r="J20" s="51" t="n">
        <v>31.1</v>
      </c>
      <c r="K20" s="51" t="n">
        <v>49.4</v>
      </c>
      <c r="L20" s="51" t="n">
        <v>493</v>
      </c>
      <c r="M20" s="51" t="n">
        <v>-15.7</v>
      </c>
      <c r="N20" s="51" t="n">
        <v>9</v>
      </c>
      <c r="O20" s="52" t="inlineStr">
        <is>
          <t>Green</t>
        </is>
      </c>
      <c r="P20" s="52" t="inlineStr">
        <is>
          <t>Nothing flagged</t>
        </is>
      </c>
    </row>
    <row r="21">
      <c r="B21" s="51" t="n">
        <v>4</v>
      </c>
      <c r="C21" s="52" t="inlineStr">
        <is>
          <t>THANGAMAYL</t>
        </is>
      </c>
      <c r="D21" s="52" t="inlineStr">
        <is>
          <t>INE085J01014</t>
        </is>
      </c>
      <c r="E21" s="51" t="n">
        <v>2</v>
      </c>
      <c r="F21" s="18" t="n">
        <v>5011.5</v>
      </c>
      <c r="G21" s="18" t="n">
        <v>10023</v>
      </c>
      <c r="H21" s="51" t="n">
        <v>154</v>
      </c>
      <c r="I21" s="51" t="n">
        <v>66.3</v>
      </c>
      <c r="J21" s="51" t="n">
        <v>-14</v>
      </c>
      <c r="K21" s="51" t="n">
        <v>59.8</v>
      </c>
      <c r="L21" s="51" t="n">
        <v>71</v>
      </c>
      <c r="M21" s="51" t="n">
        <v>-31.4</v>
      </c>
      <c r="N21" s="51" t="n">
        <v>11</v>
      </c>
      <c r="O21" s="52" t="inlineStr">
        <is>
          <t>Green</t>
        </is>
      </c>
      <c r="P21" s="52" t="inlineStr">
        <is>
          <t>Nothing flagged</t>
        </is>
      </c>
    </row>
    <row r="22">
      <c r="B22" s="51" t="n">
        <v>5</v>
      </c>
      <c r="C22" s="52" t="inlineStr">
        <is>
          <t>RRKABEL</t>
        </is>
      </c>
      <c r="D22" s="52" t="inlineStr">
        <is>
          <t>INE777K01022</t>
        </is>
      </c>
      <c r="E22" s="51" t="n">
        <v>6</v>
      </c>
      <c r="F22" s="18" t="n">
        <v>2459.8</v>
      </c>
      <c r="G22" s="18" t="n">
        <v>14759</v>
      </c>
      <c r="H22" s="51" t="n">
        <v>126</v>
      </c>
      <c r="I22" s="51" t="n">
        <v>110</v>
      </c>
      <c r="J22" s="51" t="n">
        <v>18.2</v>
      </c>
      <c r="K22" s="51" t="n">
        <v>44</v>
      </c>
      <c r="L22" s="51" t="n">
        <v>93</v>
      </c>
      <c r="M22" s="51" t="n">
        <v>-16</v>
      </c>
      <c r="N22" s="51" t="n">
        <v>15</v>
      </c>
      <c r="O22" s="52" t="inlineStr">
        <is>
          <t>Green</t>
        </is>
      </c>
      <c r="P22" s="52" t="inlineStr">
        <is>
          <t>Nothing flagged</t>
        </is>
      </c>
    </row>
    <row r="23">
      <c r="B23" s="51" t="n">
        <v>6</v>
      </c>
      <c r="C23" s="52" t="inlineStr">
        <is>
          <t>ACUTAAS</t>
        </is>
      </c>
      <c r="D23" s="52" t="inlineStr">
        <is>
          <t>INE00FF01025</t>
        </is>
      </c>
      <c r="E23" s="51" t="n">
        <v>4</v>
      </c>
      <c r="F23" s="18" t="n">
        <v>3214.4</v>
      </c>
      <c r="G23" s="18" t="n">
        <v>12858</v>
      </c>
      <c r="H23" s="51" t="n">
        <v>126</v>
      </c>
      <c r="I23" s="51" t="n">
        <v>36.7</v>
      </c>
      <c r="J23" s="51" t="n">
        <v>-5.6</v>
      </c>
      <c r="K23" s="51" t="n">
        <v>46.7</v>
      </c>
      <c r="L23" s="51" t="n">
        <v>101</v>
      </c>
      <c r="M23" s="51" t="n">
        <v>-13</v>
      </c>
      <c r="N23" s="51" t="n">
        <v>16</v>
      </c>
      <c r="O23" s="52" t="inlineStr">
        <is>
          <t>Green</t>
        </is>
      </c>
      <c r="P23" s="52" t="inlineStr">
        <is>
          <t>Nothing flagged</t>
        </is>
      </c>
    </row>
    <row r="24">
      <c r="B24" s="51" t="n">
        <v>7</v>
      </c>
      <c r="C24" s="52" t="inlineStr">
        <is>
          <t>DIACABS</t>
        </is>
      </c>
      <c r="D24" s="52" t="inlineStr">
        <is>
          <t>INE989C01038</t>
        </is>
      </c>
      <c r="E24" s="51" t="n">
        <v>44</v>
      </c>
      <c r="F24" s="18" t="n">
        <v>339.25</v>
      </c>
      <c r="G24" s="18" t="n">
        <v>14927</v>
      </c>
      <c r="H24" s="51" t="n">
        <v>124</v>
      </c>
      <c r="I24" s="51" t="n">
        <v>180</v>
      </c>
      <c r="J24" s="51" t="n">
        <v>61.7</v>
      </c>
      <c r="K24" s="51" t="n">
        <v>53.6</v>
      </c>
      <c r="L24" s="51" t="n">
        <v>51</v>
      </c>
      <c r="M24" s="51" t="n">
        <v>-14.1</v>
      </c>
      <c r="N24" s="51" t="n">
        <v>17</v>
      </c>
      <c r="O24" s="52" t="inlineStr">
        <is>
          <t>Green</t>
        </is>
      </c>
      <c r="P24" s="52" t="inlineStr">
        <is>
          <t>Nothing flagged</t>
        </is>
      </c>
    </row>
    <row r="25">
      <c r="B25" s="51" t="n">
        <v>8</v>
      </c>
      <c r="C25" s="52" t="inlineStr">
        <is>
          <t>KIRLOSENG</t>
        </is>
      </c>
      <c r="D25" s="52" t="inlineStr">
        <is>
          <t>INE146L01010</t>
        </is>
      </c>
      <c r="E25" s="51" t="n">
        <v>7</v>
      </c>
      <c r="F25" s="18" t="n">
        <v>2141.2</v>
      </c>
      <c r="G25" s="18" t="n">
        <v>14988</v>
      </c>
      <c r="H25" s="51" t="n">
        <v>123</v>
      </c>
      <c r="I25" s="51" t="n">
        <v>58.2</v>
      </c>
      <c r="J25" s="51" t="n">
        <v>-11.2</v>
      </c>
      <c r="K25" s="51" t="n">
        <v>49.9</v>
      </c>
      <c r="L25" s="51" t="n">
        <v>87</v>
      </c>
      <c r="M25" s="51" t="n">
        <v>-16.5</v>
      </c>
      <c r="N25" s="51" t="n">
        <v>18</v>
      </c>
      <c r="O25" s="52" t="inlineStr">
        <is>
          <t>Green</t>
        </is>
      </c>
      <c r="P25" s="52" t="inlineStr">
        <is>
          <t>Nothing flagged</t>
        </is>
      </c>
    </row>
    <row r="26">
      <c r="B26" s="51" t="n">
        <v>9</v>
      </c>
      <c r="C26" s="52" t="inlineStr">
        <is>
          <t>E2E</t>
        </is>
      </c>
      <c r="D26" s="52" t="inlineStr">
        <is>
          <t>INE255Z01027</t>
        </is>
      </c>
      <c r="E26" s="51" t="n">
        <v>23</v>
      </c>
      <c r="F26" s="18" t="n">
        <v>625.9</v>
      </c>
      <c r="G26" s="18" t="n">
        <v>14396</v>
      </c>
      <c r="H26" s="51" t="n">
        <v>109</v>
      </c>
      <c r="I26" s="51" t="n">
        <v>186</v>
      </c>
      <c r="J26" s="51" t="n">
        <v>56</v>
      </c>
      <c r="K26" s="51" t="n">
        <v>56.2</v>
      </c>
      <c r="L26" s="51" t="n">
        <v>49</v>
      </c>
      <c r="M26" s="51" t="n">
        <v>-8.800000000000001</v>
      </c>
      <c r="N26" s="51" t="n">
        <v>20</v>
      </c>
      <c r="O26" s="52" t="inlineStr">
        <is>
          <t>Green</t>
        </is>
      </c>
      <c r="P26" s="52" t="inlineStr">
        <is>
          <t>Nothing flagged</t>
        </is>
      </c>
    </row>
    <row r="27">
      <c r="B27" s="51" t="n">
        <v>10</v>
      </c>
      <c r="C27" s="52" t="inlineStr">
        <is>
          <t>LAURUSLABS</t>
        </is>
      </c>
      <c r="D27" s="52" t="inlineStr">
        <is>
          <t>INE947Q01028</t>
        </is>
      </c>
      <c r="E27" s="51" t="n">
        <v>7</v>
      </c>
      <c r="F27" s="18" t="n">
        <v>2010.7</v>
      </c>
      <c r="G27" s="18" t="n">
        <v>14075</v>
      </c>
      <c r="H27" s="51" t="n">
        <v>109</v>
      </c>
      <c r="I27" s="51" t="n">
        <v>94.40000000000001</v>
      </c>
      <c r="J27" s="51" t="n">
        <v>27.2</v>
      </c>
      <c r="K27" s="51" t="n">
        <v>28.1</v>
      </c>
      <c r="L27" s="51" t="n">
        <v>300</v>
      </c>
      <c r="M27" s="51" t="n">
        <v>-1.1</v>
      </c>
      <c r="N27" s="51" t="n">
        <v>21</v>
      </c>
      <c r="O27" s="52" t="inlineStr">
        <is>
          <t>Green</t>
        </is>
      </c>
      <c r="P27" s="52" t="inlineStr">
        <is>
          <t>Nothing flagged</t>
        </is>
      </c>
    </row>
    <row r="30">
      <c r="B30" s="14" t="inlineStr">
        <is>
          <t>Evidence behind the rule (backtest, from HTML)</t>
        </is>
      </c>
    </row>
    <row r="31" ht="60" customHeight="1">
      <c r="B31" s="67" t="inlineStr">
        <is>
          <t>Backtest, 2017–2026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</t>
        </is>
      </c>
    </row>
    <row r="32" ht="60" customHeight="1">
      <c r="B32" s="67" t="inlineStr">
        <is>
          <t>Live record | No results yet | The first live result arrives when this system finishes its first batch. Live results are kept apart from the backtest and never mixed in.</t>
        </is>
      </c>
    </row>
    <row r="34">
      <c r="B34" s="14" t="inlineStr">
        <is>
          <t>Corporate actions (splits, bonuses, dividends)</t>
        </is>
      </c>
    </row>
    <row r="35">
      <c r="B35" s="28" t="inlineStr">
        <is>
          <t>None recorded during this hold.</t>
        </is>
      </c>
    </row>
  </sheetData>
  <mergeCells count="15">
    <mergeCell ref="C11:H11"/>
    <mergeCell ref="C6:H6"/>
    <mergeCell ref="C10:H10"/>
    <mergeCell ref="C14:H14"/>
    <mergeCell ref="C5:H5"/>
    <mergeCell ref="A2:H2"/>
    <mergeCell ref="C9:H9"/>
    <mergeCell ref="C13:H13"/>
    <mergeCell ref="B31:P31"/>
    <mergeCell ref="C8:H8"/>
    <mergeCell ref="C4:H4"/>
    <mergeCell ref="B32:P32"/>
    <mergeCell ref="A1:H1"/>
    <mergeCell ref="C12:H12"/>
    <mergeCell ref="C7:H7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8B5CF6"/>
    <outlinePr summaryBelow="1" summaryRight="1"/>
    <pageSetUpPr fitToPage="1"/>
  </sheetPr>
  <dimension ref="A1:I6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22" customWidth="1" min="3" max="3"/>
    <col width="20" customWidth="1" min="4" max="4"/>
    <col width="12" customWidth="1" min="5" max="5"/>
    <col width="58" customWidth="1" min="6" max="6"/>
    <col width="15" customWidth="1" min="7" max="7"/>
    <col width="16" customWidth="1" min="8" max="8"/>
  </cols>
  <sheetData>
    <row r="1" ht="30" customHeight="1">
      <c r="A1" s="1" t="inlineStr">
        <is>
          <t>Stock-by-Stock Research &amp; Swing-Trade Shortlist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Views from your research notes · written 2026-09-28 13:27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5" t="inlineStr">
        <is>
          <t>Rank</t>
        </is>
      </c>
      <c r="B4" s="15" t="inlineStr">
        <is>
          <t>Symbol</t>
        </is>
      </c>
      <c r="C4" s="15" t="inlineStr">
        <is>
          <t>Company</t>
        </is>
      </c>
      <c r="D4" s="15" t="inlineStr">
        <is>
          <t>View</t>
        </is>
      </c>
      <c r="E4" s="15" t="inlineStr">
        <is>
          <t>Conviction</t>
        </is>
      </c>
      <c r="F4" s="15" t="inlineStr">
        <is>
          <t>Why</t>
        </is>
      </c>
      <c r="G4" s="15" t="inlineStr">
        <is>
          <t>Since entry %</t>
        </is>
      </c>
      <c r="H4" s="15" t="inlineStr">
        <is>
          <t>Call check</t>
        </is>
      </c>
    </row>
    <row r="5" ht="30" customHeight="1">
      <c r="A5" s="51" t="n">
        <v>1</v>
      </c>
      <c r="B5" s="16" t="inlineStr">
        <is>
          <t>LAURUSLABS</t>
        </is>
      </c>
      <c r="C5" s="52" t="inlineStr">
        <is>
          <t>Laurus Labs</t>
        </is>
      </c>
      <c r="D5" s="68" t="inlineStr">
        <is>
          <t>Bullish</t>
        </is>
      </c>
      <c r="E5" s="69" t="n">
        <v>2</v>
      </c>
      <c r="F5" s="70" t="inlineStr">
        <is>
          <t>Relative strength near highs, lowest volatility, defensive sector</t>
        </is>
      </c>
      <c r="G5" s="19" t="n">
        <v>0.01588558420349395</v>
      </c>
      <c r="H5" s="52" t="inlineStr">
        <is>
          <t>✓ On track</t>
        </is>
      </c>
    </row>
    <row r="6" ht="30" customHeight="1">
      <c r="A6" s="51" t="n">
        <v>2</v>
      </c>
      <c r="B6" s="16" t="inlineStr">
        <is>
          <t>TDPOWERSYS</t>
        </is>
      </c>
      <c r="C6" s="52" t="inlineStr">
        <is>
          <t>TD Power Systems</t>
        </is>
      </c>
      <c r="D6" s="71" t="inlineStr">
        <is>
          <t>Bullish</t>
        </is>
      </c>
      <c r="E6" s="69" t="n">
        <v>1.5</v>
      </c>
      <c r="F6" s="70" t="inlineStr">
        <is>
          <t>Guidance raised, shallow pullback. Check for a fundraise.</t>
        </is>
      </c>
      <c r="G6" s="19" t="n">
        <v>0.1420027816411684</v>
      </c>
      <c r="H6" s="52" t="inlineStr">
        <is>
          <t>✓ On track</t>
        </is>
      </c>
    </row>
    <row r="7" ht="30" customHeight="1">
      <c r="A7" s="51" t="n">
        <v>3</v>
      </c>
      <c r="B7" s="16" t="inlineStr">
        <is>
          <t>ATHERENERG</t>
        </is>
      </c>
      <c r="C7" s="52" t="inlineStr">
        <is>
          <t>Ather Energy</t>
        </is>
      </c>
      <c r="D7" s="71" t="inlineStr">
        <is>
          <t>Bullish</t>
        </is>
      </c>
      <c r="E7" s="69" t="n">
        <v>1.25</v>
      </c>
      <c r="F7" s="70" t="inlineStr">
        <is>
          <t>Strong catalysts and brokers, but still pulling back</t>
        </is>
      </c>
      <c r="G7" s="19" t="n">
        <v>-0.003561156006026578</v>
      </c>
      <c r="H7" s="52" t="inlineStr">
        <is>
          <t>✗ Off track</t>
        </is>
      </c>
    </row>
    <row r="8" ht="30" customHeight="1">
      <c r="A8" s="51" t="n">
        <v>4</v>
      </c>
      <c r="B8" s="16" t="inlineStr">
        <is>
          <t>RRKABEL</t>
        </is>
      </c>
      <c r="C8" s="52" t="inlineStr">
        <is>
          <t>RR Kabel</t>
        </is>
      </c>
      <c r="D8" s="72" t="inlineStr">
        <is>
          <t>Moderately bullish</t>
        </is>
      </c>
      <c r="E8" s="69" t="n">
        <v>1</v>
      </c>
      <c r="F8" s="70" t="inlineStr">
        <is>
          <t>Strong Q1, moderate volatility</t>
        </is>
      </c>
      <c r="G8" s="19" t="n">
        <v>0.1067973005935441</v>
      </c>
      <c r="H8" s="52" t="inlineStr">
        <is>
          <t>✓ On track</t>
        </is>
      </c>
    </row>
    <row r="9" ht="30" customHeight="1">
      <c r="A9" s="51" t="n">
        <v>5</v>
      </c>
      <c r="B9" s="16" t="inlineStr">
        <is>
          <t>AEROFLEX</t>
        </is>
      </c>
      <c r="C9" s="52" t="inlineStr">
        <is>
          <t>Aeroflex Industries</t>
        </is>
      </c>
      <c r="D9" s="71" t="inlineStr">
        <is>
          <t>Bullish, risky</t>
        </is>
      </c>
      <c r="E9" s="69" t="n">
        <v>1.25</v>
      </c>
      <c r="F9" s="70" t="inlineStr">
        <is>
          <t>Strong growth, expensive, volatile, thin liquidity</t>
        </is>
      </c>
      <c r="G9" s="19" t="n">
        <v>0.1027772345002933</v>
      </c>
      <c r="H9" s="52" t="inlineStr">
        <is>
          <t>✓ On track</t>
        </is>
      </c>
    </row>
    <row r="10" ht="30" customHeight="1">
      <c r="A10" s="51" t="n">
        <v>6</v>
      </c>
      <c r="B10" s="16" t="inlineStr">
        <is>
          <t>E2E</t>
        </is>
      </c>
      <c r="C10" s="52" t="inlineStr">
        <is>
          <t>E2E Networks</t>
        </is>
      </c>
      <c r="D10" s="73" t="inlineStr">
        <is>
          <t>Speculative</t>
        </is>
      </c>
      <c r="E10" s="69" t="n">
        <v>0.5</v>
      </c>
      <c r="F10" s="70" t="inlineStr">
        <is>
          <t>Big revenue jump, P/E near 400</t>
        </is>
      </c>
      <c r="G10" s="19" t="n">
        <v>0.1674602534097329</v>
      </c>
      <c r="H10" s="52" t="inlineStr">
        <is>
          <t>↑ Beat call</t>
        </is>
      </c>
    </row>
    <row r="11" ht="30" customHeight="1">
      <c r="A11" s="51" t="n">
        <v>7</v>
      </c>
      <c r="B11" s="16" t="inlineStr">
        <is>
          <t>ACUTAAS</t>
        </is>
      </c>
      <c r="C11" s="52" t="inlineStr">
        <is>
          <t>Acutaas Chemicals</t>
        </is>
      </c>
      <c r="D11" s="74" t="inlineStr">
        <is>
          <t>Neutral</t>
        </is>
      </c>
      <c r="E11" s="69" t="n">
        <v>0</v>
      </c>
      <c r="F11" s="70" t="inlineStr">
        <is>
          <t>No catalyst, sideways trend</t>
        </is>
      </c>
      <c r="G11" s="19" t="n">
        <v>-0.03519756838905785</v>
      </c>
      <c r="H11" s="52" t="inlineStr">
        <is>
          <t>↓ Lagging</t>
        </is>
      </c>
    </row>
    <row r="12" ht="30" customHeight="1">
      <c r="A12" s="51" t="n">
        <v>8</v>
      </c>
      <c r="B12" s="16" t="inlineStr">
        <is>
          <t>DIACABS</t>
        </is>
      </c>
      <c r="C12" s="52" t="inlineStr">
        <is>
          <t>Diamond Power Infra</t>
        </is>
      </c>
      <c r="D12" s="75" t="inlineStr">
        <is>
          <t>Neutral to bearish</t>
        </is>
      </c>
      <c r="E12" s="69" t="n">
        <v>-1</v>
      </c>
      <c r="F12" s="70" t="inlineStr">
        <is>
          <t>Extended, weak balance sheet</t>
        </is>
      </c>
      <c r="G12" s="19" t="n">
        <v>0.09572573463935896</v>
      </c>
      <c r="H12" s="52" t="inlineStr">
        <is>
          <t>✗ Off track</t>
        </is>
      </c>
    </row>
    <row r="13" ht="30" customHeight="1">
      <c r="A13" s="51" t="n">
        <v>9</v>
      </c>
      <c r="B13" s="16" t="inlineStr">
        <is>
          <t>KIRLOSENG</t>
        </is>
      </c>
      <c r="C13" s="52" t="inlineStr">
        <is>
          <t>Kirloskar Oil Engines</t>
        </is>
      </c>
      <c r="D13" s="75" t="inlineStr">
        <is>
          <t>Neutral to bearish</t>
        </is>
      </c>
      <c r="E13" s="69" t="n">
        <v>-1</v>
      </c>
      <c r="F13" s="70" t="inlineStr">
        <is>
          <t>Margins and momentum fading</t>
        </is>
      </c>
      <c r="G13" s="19" t="n">
        <v>0.04184569400336269</v>
      </c>
      <c r="H13" s="52" t="inlineStr">
        <is>
          <t>✗ Off track</t>
        </is>
      </c>
    </row>
    <row r="14" ht="30" customHeight="1">
      <c r="A14" s="51" t="n">
        <v>10</v>
      </c>
      <c r="B14" s="16" t="inlineStr">
        <is>
          <t>THANGAMAYL</t>
        </is>
      </c>
      <c r="C14" s="52" t="inlineStr">
        <is>
          <t>Thangamayil Jewellery</t>
        </is>
      </c>
      <c r="D14" s="76" t="inlineStr">
        <is>
          <t>Bearish</t>
        </is>
      </c>
      <c r="E14" s="69" t="n">
        <v>-2</v>
      </c>
      <c r="F14" s="70" t="inlineStr">
        <is>
          <t>Downtrend, avoid</t>
        </is>
      </c>
      <c r="G14" s="19" t="n">
        <v>-0.04131736526946107</v>
      </c>
      <c r="H14" s="52" t="inlineStr">
        <is>
          <t>✓ On track</t>
        </is>
      </c>
    </row>
    <row r="16">
      <c r="A16" s="77" t="inlineStr">
        <is>
          <t>STOCK BY STOCK — catalysts, risks and sources</t>
        </is>
      </c>
    </row>
    <row r="17">
      <c r="A17" s="15" t="inlineStr">
        <is>
          <t>Rank</t>
        </is>
      </c>
      <c r="B17" s="15" t="inlineStr">
        <is>
          <t>Symbol</t>
        </is>
      </c>
      <c r="C17" s="15" t="inlineStr">
        <is>
          <t>Company</t>
        </is>
      </c>
      <c r="D17" s="15" t="inlineStr">
        <is>
          <t>Type</t>
        </is>
      </c>
      <c r="E17" s="15" t="inlineStr">
        <is>
          <t>Point</t>
        </is>
      </c>
      <c r="F17" s="15" t="inlineStr"/>
      <c r="G17" s="15" t="inlineStr">
        <is>
          <t>Source</t>
        </is>
      </c>
      <c r="H17" s="15" t="inlineStr">
        <is>
          <t>Link</t>
        </is>
      </c>
    </row>
    <row r="18" ht="44" customHeight="1">
      <c r="A18" s="51" t="n">
        <v>1</v>
      </c>
      <c r="B18" s="52" t="inlineStr">
        <is>
          <t>LAURUSLABS</t>
        </is>
      </c>
      <c r="C18" s="52" t="inlineStr">
        <is>
          <t>Laurus Labs</t>
        </is>
      </c>
      <c r="D18" s="78" t="inlineStr">
        <is>
          <t>Catalyst</t>
        </is>
      </c>
      <c r="E18" s="70" t="inlineStr">
        <is>
          <t>Its close is only 1.1% below its 12-month high, and its volatility is the lowest of the ten (28%).</t>
        </is>
      </c>
      <c r="F18" s="65" t="n"/>
      <c r="G18" s="52" t="inlineStr"/>
      <c r="H18" s="52" t="n"/>
    </row>
    <row r="19" ht="30" customHeight="1">
      <c r="A19" s="51" t="n">
        <v>1</v>
      </c>
      <c r="B19" s="52" t="inlineStr">
        <is>
          <t>LAURUSLABS</t>
        </is>
      </c>
      <c r="C19" s="52" t="inlineStr">
        <is>
          <t>Laurus Labs</t>
        </is>
      </c>
      <c r="D19" s="78" t="inlineStr">
        <is>
          <t>Catalyst</t>
        </is>
      </c>
      <c r="E19" s="70" t="inlineStr">
        <is>
          <t>FY26 profit after tax was ₹740 crore vs ₹380 crore the year before.</t>
        </is>
      </c>
      <c r="F19" s="65" t="n"/>
      <c r="G19" s="52" t="inlineStr">
        <is>
          <t>torusdigital</t>
        </is>
      </c>
      <c r="H19" s="79" t="inlineStr">
        <is>
          <t>open ↗</t>
        </is>
      </c>
    </row>
    <row r="20" ht="30" customHeight="1">
      <c r="A20" s="51" t="n">
        <v>1</v>
      </c>
      <c r="B20" s="52" t="inlineStr">
        <is>
          <t>LAURUSLABS</t>
        </is>
      </c>
      <c r="C20" s="52" t="inlineStr">
        <is>
          <t>Laurus Labs</t>
        </is>
      </c>
      <c r="D20" s="78" t="inlineStr">
        <is>
          <t>Catalyst</t>
        </is>
      </c>
      <c r="E20" s="70" t="inlineStr">
        <is>
          <t>It is up about 94% in six months and holding near highs while the index falls.</t>
        </is>
      </c>
      <c r="F20" s="65" t="n"/>
      <c r="G20" s="52" t="inlineStr">
        <is>
          <t>anandrathi</t>
        </is>
      </c>
      <c r="H20" s="79" t="inlineStr">
        <is>
          <t>open ↗</t>
        </is>
      </c>
    </row>
    <row r="21" ht="30" customHeight="1">
      <c r="A21" s="51" t="n">
        <v>1</v>
      </c>
      <c r="B21" s="52" t="inlineStr">
        <is>
          <t>LAURUSLABS</t>
        </is>
      </c>
      <c r="C21" s="52" t="inlineStr">
        <is>
          <t>Laurus Labs</t>
        </is>
      </c>
      <c r="D21" s="78" t="inlineStr">
        <is>
          <t>Catalyst</t>
        </is>
      </c>
      <c r="E21" s="70" t="inlineStr">
        <is>
          <t>Pharma is also defensive in a risk-off tape.</t>
        </is>
      </c>
      <c r="F21" s="65" t="n"/>
      <c r="G21" s="52" t="inlineStr">
        <is>
          <t>anandrathi</t>
        </is>
      </c>
      <c r="H21" s="79" t="inlineStr">
        <is>
          <t>open ↗</t>
        </is>
      </c>
    </row>
    <row r="22" ht="30" customHeight="1">
      <c r="A22" s="51" t="n">
        <v>1</v>
      </c>
      <c r="B22" s="52" t="inlineStr">
        <is>
          <t>LAURUSLABS</t>
        </is>
      </c>
      <c r="C22" s="52" t="inlineStr">
        <is>
          <t>Laurus Labs</t>
        </is>
      </c>
      <c r="D22" s="80" t="inlineStr">
        <is>
          <t>Risk</t>
        </is>
      </c>
      <c r="E22" s="70" t="inlineStr">
        <is>
          <t>P/E is high, so it can still pull back.</t>
        </is>
      </c>
      <c r="F22" s="65" t="n"/>
      <c r="G22" s="52" t="inlineStr">
        <is>
          <t>anandrathi</t>
        </is>
      </c>
      <c r="H22" s="79" t="inlineStr">
        <is>
          <t>open ↗</t>
        </is>
      </c>
    </row>
    <row r="23" ht="30" customHeight="1">
      <c r="A23" s="51" t="n">
        <v>2</v>
      </c>
      <c r="B23" s="52" t="inlineStr">
        <is>
          <t>TDPOWERSYS</t>
        </is>
      </c>
      <c r="C23" s="52" t="inlineStr">
        <is>
          <t>TD Power Systems</t>
        </is>
      </c>
      <c r="D23" s="81" t="inlineStr">
        <is>
          <t>Context</t>
        </is>
      </c>
      <c r="E23" s="70" t="inlineStr">
        <is>
          <t>The stock is 10% below its high, a shallow pullback within a strong uptrend.</t>
        </is>
      </c>
      <c r="F23" s="65" t="n"/>
      <c r="G23" s="52" t="inlineStr"/>
      <c r="H23" s="52" t="n"/>
    </row>
    <row r="24" ht="30" customHeight="1">
      <c r="A24" s="51" t="n">
        <v>2</v>
      </c>
      <c r="B24" s="52" t="inlineStr">
        <is>
          <t>TDPOWERSYS</t>
        </is>
      </c>
      <c r="C24" s="52" t="inlineStr">
        <is>
          <t>TD Power Systems</t>
        </is>
      </c>
      <c r="D24" s="78" t="inlineStr">
        <is>
          <t>Catalyst</t>
        </is>
      </c>
      <c r="E24" s="70" t="inlineStr">
        <is>
          <t>Q1 FY27 revenue rose about 72% YoY.</t>
        </is>
      </c>
      <c r="F24" s="65" t="n"/>
      <c r="G24" s="52" t="inlineStr">
        <is>
          <t>5paisa</t>
        </is>
      </c>
      <c r="H24" s="79" t="inlineStr">
        <is>
          <t>open ↗</t>
        </is>
      </c>
    </row>
    <row r="25" ht="30" customHeight="1">
      <c r="A25" s="51" t="n">
        <v>2</v>
      </c>
      <c r="B25" s="52" t="inlineStr">
        <is>
          <t>TDPOWERSYS</t>
        </is>
      </c>
      <c r="C25" s="52" t="inlineStr">
        <is>
          <t>TD Power Systems</t>
        </is>
      </c>
      <c r="D25" s="78" t="inlineStr">
        <is>
          <t>Catalyst</t>
        </is>
      </c>
      <c r="E25" s="70" t="inlineStr">
        <is>
          <t>It raised its FY27 revenue guidance to ₹2,600 crore.</t>
        </is>
      </c>
      <c r="F25" s="65" t="n"/>
      <c r="G25" s="52" t="inlineStr">
        <is>
          <t>fyers</t>
        </is>
      </c>
      <c r="H25" s="79" t="inlineStr">
        <is>
          <t>open ↗</t>
        </is>
      </c>
    </row>
    <row r="26" ht="44" customHeight="1">
      <c r="A26" s="51" t="n">
        <v>2</v>
      </c>
      <c r="B26" s="52" t="inlineStr">
        <is>
          <t>TDPOWERSYS</t>
        </is>
      </c>
      <c r="C26" s="52" t="inlineStr">
        <is>
          <t>TD Power Systems</t>
        </is>
      </c>
      <c r="D26" s="80" t="inlineStr">
        <is>
          <t>Risk</t>
        </is>
      </c>
      <c r="E26" s="70" t="inlineStr">
        <is>
          <t>A board meeting on 14 Aug was set to consider raising funds, so check whether a dilutive QIP is pending.</t>
        </is>
      </c>
      <c r="F26" s="65" t="n"/>
      <c r="G26" s="52" t="inlineStr">
        <is>
          <t>5paisa</t>
        </is>
      </c>
      <c r="H26" s="79" t="inlineStr">
        <is>
          <t>open ↗</t>
        </is>
      </c>
    </row>
    <row r="27" ht="30" customHeight="1">
      <c r="A27" s="51" t="n">
        <v>2</v>
      </c>
      <c r="B27" s="52" t="inlineStr">
        <is>
          <t>TDPOWERSYS</t>
        </is>
      </c>
      <c r="C27" s="52" t="inlineStr">
        <is>
          <t>TD Power Systems</t>
        </is>
      </c>
      <c r="D27" s="80" t="inlineStr">
        <is>
          <t>Risk</t>
        </is>
      </c>
      <c r="E27" s="70" t="inlineStr">
        <is>
          <t>Valuation is stretched (P/E around 70).</t>
        </is>
      </c>
      <c r="F27" s="65" t="n"/>
      <c r="G27" s="52" t="inlineStr">
        <is>
          <t>5paisa</t>
        </is>
      </c>
      <c r="H27" s="79" t="inlineStr">
        <is>
          <t>open ↗</t>
        </is>
      </c>
    </row>
    <row r="28" ht="30" customHeight="1">
      <c r="A28" s="51" t="n">
        <v>3</v>
      </c>
      <c r="B28" s="52" t="inlineStr">
        <is>
          <t>ATHERENERG</t>
        </is>
      </c>
      <c r="C28" s="52" t="inlineStr">
        <is>
          <t>Ather Energy</t>
        </is>
      </c>
      <c r="D28" s="78" t="inlineStr">
        <is>
          <t>Catalyst</t>
        </is>
      </c>
      <c r="E28" s="70" t="inlineStr">
        <is>
          <t>Q1 revenue grew 89% and the loss narrowed 71%.</t>
        </is>
      </c>
      <c r="F28" s="65" t="n"/>
      <c r="G28" s="52" t="inlineStr">
        <is>
          <t>indmoney</t>
        </is>
      </c>
      <c r="H28" s="79" t="inlineStr">
        <is>
          <t>open ↗</t>
        </is>
      </c>
    </row>
    <row r="29" ht="30" customHeight="1">
      <c r="A29" s="51" t="n">
        <v>3</v>
      </c>
      <c r="B29" s="52" t="inlineStr">
        <is>
          <t>ATHERENERG</t>
        </is>
      </c>
      <c r="C29" s="52" t="inlineStr">
        <is>
          <t>Ather Energy</t>
        </is>
      </c>
      <c r="D29" s="78" t="inlineStr">
        <is>
          <t>Catalyst</t>
        </is>
      </c>
      <c r="E29" s="70" t="inlineStr">
        <is>
          <t>It was also added to the MSCI India Domestic Small Cap Index.</t>
        </is>
      </c>
      <c r="F29" s="65" t="n"/>
      <c r="G29" s="52" t="inlineStr">
        <is>
          <t>indmoney</t>
        </is>
      </c>
      <c r="H29" s="79" t="inlineStr">
        <is>
          <t>open ↗</t>
        </is>
      </c>
    </row>
    <row r="30" ht="30" customHeight="1">
      <c r="A30" s="51" t="n">
        <v>3</v>
      </c>
      <c r="B30" s="52" t="inlineStr">
        <is>
          <t>ATHERENERG</t>
        </is>
      </c>
      <c r="C30" s="52" t="inlineStr">
        <is>
          <t>Ather Energy</t>
        </is>
      </c>
      <c r="D30" s="78" t="inlineStr">
        <is>
          <t>Catalyst</t>
        </is>
      </c>
      <c r="E30" s="70" t="inlineStr">
        <is>
          <t>Hero MotoCorp is lifting its stake to about 32.8%.</t>
        </is>
      </c>
      <c r="F30" s="65" t="n"/>
      <c r="G30" s="52" t="inlineStr">
        <is>
          <t>freepressjournal</t>
        </is>
      </c>
      <c r="H30" s="79" t="inlineStr">
        <is>
          <t>open ↗</t>
        </is>
      </c>
    </row>
    <row r="31" ht="30" customHeight="1">
      <c r="A31" s="51" t="n">
        <v>3</v>
      </c>
      <c r="B31" s="52" t="inlineStr">
        <is>
          <t>ATHERENERG</t>
        </is>
      </c>
      <c r="C31" s="52" t="inlineStr">
        <is>
          <t>Ather Energy</t>
        </is>
      </c>
      <c r="D31" s="78" t="inlineStr">
        <is>
          <t>Catalyst</t>
        </is>
      </c>
      <c r="E31" s="70" t="inlineStr">
        <is>
          <t>A global broker raised its target to ₹1,926.</t>
        </is>
      </c>
      <c r="F31" s="65" t="n"/>
      <c r="G31" s="52" t="inlineStr">
        <is>
          <t>hdfcsky</t>
        </is>
      </c>
      <c r="H31" s="79" t="inlineStr">
        <is>
          <t>open ↗</t>
        </is>
      </c>
    </row>
    <row r="32" ht="44" customHeight="1">
      <c r="A32" s="51" t="n">
        <v>3</v>
      </c>
      <c r="B32" s="52" t="inlineStr">
        <is>
          <t>ATHERENERG</t>
        </is>
      </c>
      <c r="C32" s="52" t="inlineStr">
        <is>
          <t>Ather Energy</t>
        </is>
      </c>
      <c r="D32" s="81" t="inlineStr">
        <is>
          <t>Context</t>
        </is>
      </c>
      <c r="E32" s="70" t="inlineStr">
        <is>
          <t>The stock has slid about 16% from its early-September high, so the story is intact but the price is digesting a big run.</t>
        </is>
      </c>
      <c r="F32" s="65" t="n"/>
      <c r="G32" s="52" t="inlineStr"/>
      <c r="H32" s="52" t="n"/>
    </row>
    <row r="33" ht="30" customHeight="1">
      <c r="A33" s="51" t="n">
        <v>3</v>
      </c>
      <c r="B33" s="52" t="inlineStr">
        <is>
          <t>ATHERENERG</t>
        </is>
      </c>
      <c r="C33" s="52" t="inlineStr">
        <is>
          <t>Ather Energy</t>
        </is>
      </c>
      <c r="D33" s="78" t="inlineStr">
        <is>
          <t>Catalyst</t>
        </is>
      </c>
      <c r="E33" s="70" t="inlineStr">
        <is>
          <t>High oil prices are a tailwind for the EV theme.</t>
        </is>
      </c>
      <c r="F33" s="65" t="n"/>
      <c r="G33" s="52" t="inlineStr"/>
      <c r="H33" s="52" t="n"/>
    </row>
    <row r="34" ht="30" customHeight="1">
      <c r="A34" s="51" t="n">
        <v>4</v>
      </c>
      <c r="B34" s="52" t="inlineStr">
        <is>
          <t>RRKABEL</t>
        </is>
      </c>
      <c r="C34" s="52" t="inlineStr">
        <is>
          <t>RR Kabel</t>
        </is>
      </c>
      <c r="D34" s="78" t="inlineStr">
        <is>
          <t>Catalyst</t>
        </is>
      </c>
      <c r="E34" s="70" t="inlineStr">
        <is>
          <t>Q1 PAT jumped 129% and EBITDA doubled.</t>
        </is>
      </c>
      <c r="F34" s="65" t="n"/>
      <c r="G34" s="52" t="inlineStr">
        <is>
          <t>5paisa</t>
        </is>
      </c>
      <c r="H34" s="79" t="inlineStr">
        <is>
          <t>open ↗</t>
        </is>
      </c>
    </row>
    <row r="35" ht="30" customHeight="1">
      <c r="A35" s="51" t="n">
        <v>4</v>
      </c>
      <c r="B35" s="52" t="inlineStr">
        <is>
          <t>RRKABEL</t>
        </is>
      </c>
      <c r="C35" s="52" t="inlineStr">
        <is>
          <t>RR Kabel</t>
        </is>
      </c>
      <c r="D35" s="78" t="inlineStr">
        <is>
          <t>Catalyst</t>
        </is>
      </c>
      <c r="E35" s="70" t="inlineStr">
        <is>
          <t>CLSA initiated at Outperform with a ₹2,850 target.</t>
        </is>
      </c>
      <c r="F35" s="65" t="n"/>
      <c r="G35" s="52" t="inlineStr">
        <is>
          <t>fyers</t>
        </is>
      </c>
      <c r="H35" s="79" t="inlineStr">
        <is>
          <t>open ↗</t>
        </is>
      </c>
    </row>
    <row r="36" ht="30" customHeight="1">
      <c r="A36" s="51" t="n">
        <v>4</v>
      </c>
      <c r="B36" s="52" t="inlineStr">
        <is>
          <t>RRKABEL</t>
        </is>
      </c>
      <c r="C36" s="52" t="inlineStr">
        <is>
          <t>RR Kabel</t>
        </is>
      </c>
      <c r="D36" s="81" t="inlineStr">
        <is>
          <t>Context</t>
        </is>
      </c>
      <c r="E36" s="70" t="inlineStr">
        <is>
          <t>The stock is 16% off its high, so it is consolidating.</t>
        </is>
      </c>
      <c r="F36" s="65" t="n"/>
      <c r="G36" s="52" t="inlineStr"/>
      <c r="H36" s="52" t="n"/>
    </row>
    <row r="37" ht="30" customHeight="1">
      <c r="A37" s="51" t="n">
        <v>4</v>
      </c>
      <c r="B37" s="52" t="inlineStr">
        <is>
          <t>RRKABEL</t>
        </is>
      </c>
      <c r="C37" s="52" t="inlineStr">
        <is>
          <t>RR Kabel</t>
        </is>
      </c>
      <c r="D37" s="78" t="inlineStr">
        <is>
          <t>Catalyst</t>
        </is>
      </c>
      <c r="E37" s="70" t="inlineStr">
        <is>
          <t>Volatility is moderate (44%), which is better than most here.</t>
        </is>
      </c>
      <c r="F37" s="65" t="n"/>
      <c r="G37" s="52" t="inlineStr"/>
      <c r="H37" s="52" t="n"/>
    </row>
    <row r="38" ht="30" customHeight="1">
      <c r="A38" s="51" t="n">
        <v>5</v>
      </c>
      <c r="B38" s="52" t="inlineStr">
        <is>
          <t>AEROFLEX</t>
        </is>
      </c>
      <c r="C38" s="52" t="inlineStr">
        <is>
          <t>Aeroflex Industries</t>
        </is>
      </c>
      <c r="D38" s="78" t="inlineStr">
        <is>
          <t>Catalyst</t>
        </is>
      </c>
      <c r="E38" s="70" t="inlineStr">
        <is>
          <t>Q1 FY27 revenue grew 72.4% and PAT rose 162%.</t>
        </is>
      </c>
      <c r="F38" s="65" t="n"/>
      <c r="G38" s="52" t="inlineStr">
        <is>
          <t>sahi</t>
        </is>
      </c>
      <c r="H38" s="79" t="inlineStr">
        <is>
          <t>open ↗</t>
        </is>
      </c>
    </row>
    <row r="39" ht="30" customHeight="1">
      <c r="A39" s="51" t="n">
        <v>5</v>
      </c>
      <c r="B39" s="52" t="inlineStr">
        <is>
          <t>AEROFLEX</t>
        </is>
      </c>
      <c r="C39" s="52" t="inlineStr">
        <is>
          <t>Aeroflex Industries</t>
        </is>
      </c>
      <c r="D39" s="78" t="inlineStr">
        <is>
          <t>Catalyst</t>
        </is>
      </c>
      <c r="E39" s="70" t="inlineStr">
        <is>
          <t>Liquid-cooling skid capacity was raised 50%, with further expansion planned.</t>
        </is>
      </c>
      <c r="F39" s="65" t="n"/>
      <c r="G39" s="52" t="inlineStr">
        <is>
          <t>sahi</t>
        </is>
      </c>
      <c r="H39" s="79" t="inlineStr">
        <is>
          <t>open ↗</t>
        </is>
      </c>
    </row>
    <row r="40" ht="44" customHeight="1">
      <c r="A40" s="51" t="n">
        <v>5</v>
      </c>
      <c r="B40" s="52" t="inlineStr">
        <is>
          <t>AEROFLEX</t>
        </is>
      </c>
      <c r="C40" s="52" t="inlineStr">
        <is>
          <t>Aeroflex Industries</t>
        </is>
      </c>
      <c r="D40" s="80" t="inlineStr">
        <is>
          <t>Risk</t>
        </is>
      </c>
      <c r="E40" s="70" t="inlineStr">
        <is>
          <t>P/E is about 102, volatility is the highest of the ten (67%), and liquidity is thin (₹53 cr/day).</t>
        </is>
      </c>
      <c r="F40" s="65" t="n"/>
      <c r="G40" s="52" t="inlineStr">
        <is>
          <t>share</t>
        </is>
      </c>
      <c r="H40" s="79" t="inlineStr">
        <is>
          <t>open ↗</t>
        </is>
      </c>
    </row>
    <row r="41" ht="30" customHeight="1">
      <c r="A41" s="51" t="n">
        <v>5</v>
      </c>
      <c r="B41" s="52" t="inlineStr">
        <is>
          <t>AEROFLEX</t>
        </is>
      </c>
      <c r="C41" s="52" t="inlineStr">
        <is>
          <t>Aeroflex Industries</t>
        </is>
      </c>
      <c r="D41" s="80" t="inlineStr">
        <is>
          <t>Risk</t>
        </is>
      </c>
      <c r="E41" s="70" t="inlineStr">
        <is>
          <t>That makes it the most fragile in a falling market.</t>
        </is>
      </c>
      <c r="F41" s="65" t="n"/>
      <c r="G41" s="52" t="inlineStr">
        <is>
          <t>share</t>
        </is>
      </c>
      <c r="H41" s="79" t="inlineStr">
        <is>
          <t>open ↗</t>
        </is>
      </c>
    </row>
    <row r="42" ht="44" customHeight="1">
      <c r="A42" s="51" t="n">
        <v>6</v>
      </c>
      <c r="B42" s="52" t="inlineStr">
        <is>
          <t>E2E</t>
        </is>
      </c>
      <c r="C42" s="52" t="inlineStr">
        <is>
          <t>E2E Networks</t>
        </is>
      </c>
      <c r="D42" s="78" t="inlineStr">
        <is>
          <t>Catalyst</t>
        </is>
      </c>
      <c r="E42" s="70" t="inlineStr">
        <is>
          <t>Q1 revenue was ₹156.76 crore vs ₹36.11 crore a year earlier, with a profit of ₹43.88 crore, on GPU cluster expansion.</t>
        </is>
      </c>
      <c r="F42" s="65" t="n"/>
      <c r="G42" s="52" t="inlineStr">
        <is>
          <t>angelone</t>
        </is>
      </c>
      <c r="H42" s="79" t="inlineStr">
        <is>
          <t>open ↗</t>
        </is>
      </c>
    </row>
    <row r="43" ht="30" customHeight="1">
      <c r="A43" s="51" t="n">
        <v>6</v>
      </c>
      <c r="B43" s="52" t="inlineStr">
        <is>
          <t>E2E</t>
        </is>
      </c>
      <c r="C43" s="52" t="inlineStr">
        <is>
          <t>E2E Networks</t>
        </is>
      </c>
      <c r="D43" s="80" t="inlineStr">
        <is>
          <t>Risk</t>
        </is>
      </c>
      <c r="E43" s="70" t="inlineStr">
        <is>
          <t>P/E is about 398 and the stock fell 11.8% in the month to 18 Sep.</t>
        </is>
      </c>
      <c r="F43" s="65" t="n"/>
      <c r="G43" s="52" t="inlineStr">
        <is>
          <t>anandrathi</t>
        </is>
      </c>
      <c r="H43" s="79" t="inlineStr">
        <is>
          <t>open ↗</t>
        </is>
      </c>
    </row>
    <row r="44" ht="30" customHeight="1">
      <c r="A44" s="51" t="n">
        <v>6</v>
      </c>
      <c r="B44" s="52" t="inlineStr">
        <is>
          <t>E2E</t>
        </is>
      </c>
      <c r="C44" s="52" t="inlineStr">
        <is>
          <t>E2E Networks</t>
        </is>
      </c>
      <c r="D44" s="81" t="inlineStr">
        <is>
          <t>Context</t>
        </is>
      </c>
      <c r="E44" s="70" t="inlineStr">
        <is>
          <t>It has bounced since.</t>
        </is>
      </c>
      <c r="F44" s="65" t="n"/>
      <c r="G44" s="52" t="inlineStr">
        <is>
          <t>anandrathi</t>
        </is>
      </c>
      <c r="H44" s="79" t="inlineStr">
        <is>
          <t>open ↗</t>
        </is>
      </c>
    </row>
    <row r="45" ht="30" customHeight="1">
      <c r="A45" s="51" t="n">
        <v>6</v>
      </c>
      <c r="B45" s="52" t="inlineStr">
        <is>
          <t>E2E</t>
        </is>
      </c>
      <c r="C45" s="52" t="inlineStr">
        <is>
          <t>E2E Networks</t>
        </is>
      </c>
      <c r="D45" s="80" t="inlineStr">
        <is>
          <t>Risk</t>
        </is>
      </c>
      <c r="E45" s="70" t="inlineStr">
        <is>
          <t>It is an AI-theme stock with thin liquidity and gap risk in both directions.</t>
        </is>
      </c>
      <c r="F45" s="65" t="n"/>
      <c r="G45" s="52" t="inlineStr"/>
      <c r="H45" s="52" t="n"/>
    </row>
    <row r="46" ht="44" customHeight="1">
      <c r="A46" s="51" t="n">
        <v>7</v>
      </c>
      <c r="B46" s="52" t="inlineStr">
        <is>
          <t>ACUTAAS</t>
        </is>
      </c>
      <c r="C46" s="52" t="inlineStr">
        <is>
          <t>Acutaas Chemicals</t>
        </is>
      </c>
      <c r="D46" s="78" t="inlineStr">
        <is>
          <t>Catalyst</t>
        </is>
      </c>
      <c r="E46" s="70" t="inlineStr">
        <is>
          <t>It received PLI approval for an electrolyte additives plan and commissioned a high-potency API pilot plant.</t>
        </is>
      </c>
      <c r="F46" s="65" t="n"/>
      <c r="G46" s="52" t="inlineStr">
        <is>
          <t>fyers</t>
        </is>
      </c>
      <c r="H46" s="79" t="inlineStr">
        <is>
          <t>open ↗</t>
        </is>
      </c>
    </row>
    <row r="47" ht="44" customHeight="1">
      <c r="A47" s="51" t="n">
        <v>7</v>
      </c>
      <c r="B47" s="52" t="inlineStr">
        <is>
          <t>ACUTAAS</t>
        </is>
      </c>
      <c r="C47" s="52" t="inlineStr">
        <is>
          <t>Acutaas Chemicals</t>
        </is>
      </c>
      <c r="D47" s="80" t="inlineStr">
        <is>
          <t>Risk</t>
        </is>
      </c>
      <c r="E47" s="70" t="inlineStr">
        <is>
          <t>Quarterly revenue and profit were lower sequentially (₹327 cr and ₹76 cr in Jun vs ₹436 cr and ₹137 cr in Mar).</t>
        </is>
      </c>
      <c r="F47" s="65" t="n"/>
      <c r="G47" s="52" t="inlineStr">
        <is>
          <t>anandrathi</t>
        </is>
      </c>
      <c r="H47" s="79" t="inlineStr">
        <is>
          <t>open ↗</t>
        </is>
      </c>
    </row>
    <row r="48" ht="30" customHeight="1">
      <c r="A48" s="51" t="n">
        <v>7</v>
      </c>
      <c r="B48" s="52" t="inlineStr">
        <is>
          <t>ACUTAAS</t>
        </is>
      </c>
      <c r="C48" s="52" t="inlineStr">
        <is>
          <t>Acutaas Chemicals</t>
        </is>
      </c>
      <c r="D48" s="80" t="inlineStr">
        <is>
          <t>Risk</t>
        </is>
      </c>
      <c r="E48" s="70" t="inlineStr">
        <is>
          <t>The 6-1 return is negative.</t>
        </is>
      </c>
      <c r="F48" s="65" t="n"/>
      <c r="G48" s="52" t="inlineStr">
        <is>
          <t>anandrathi</t>
        </is>
      </c>
      <c r="H48" s="79" t="inlineStr">
        <is>
          <t>open ↗</t>
        </is>
      </c>
    </row>
    <row r="49" ht="30" customHeight="1">
      <c r="A49" s="51" t="n">
        <v>7</v>
      </c>
      <c r="B49" s="52" t="inlineStr">
        <is>
          <t>ACUTAAS</t>
        </is>
      </c>
      <c r="C49" s="52" t="inlineStr">
        <is>
          <t>Acutaas Chemicals</t>
        </is>
      </c>
      <c r="D49" s="80" t="inlineStr">
        <is>
          <t>Risk</t>
        </is>
      </c>
      <c r="E49" s="70" t="inlineStr">
        <is>
          <t>The price has moved sideways since June.</t>
        </is>
      </c>
      <c r="F49" s="65" t="n"/>
      <c r="G49" s="52" t="inlineStr"/>
      <c r="H49" s="52" t="n"/>
    </row>
    <row r="50" ht="30" customHeight="1">
      <c r="A50" s="51" t="n">
        <v>7</v>
      </c>
      <c r="B50" s="52" t="inlineStr">
        <is>
          <t>ACUTAAS</t>
        </is>
      </c>
      <c r="C50" s="52" t="inlineStr">
        <is>
          <t>Acutaas Chemicals</t>
        </is>
      </c>
      <c r="D50" s="80" t="inlineStr">
        <is>
          <t>Risk</t>
        </is>
      </c>
      <c r="E50" s="70" t="inlineStr">
        <is>
          <t>There is no clear trigger for a 21-day move.</t>
        </is>
      </c>
      <c r="F50" s="65" t="n"/>
      <c r="G50" s="52" t="inlineStr"/>
      <c r="H50" s="52" t="n"/>
    </row>
    <row r="51" ht="30" customHeight="1">
      <c r="A51" s="51" t="n">
        <v>8</v>
      </c>
      <c r="B51" s="52" t="inlineStr">
        <is>
          <t>DIACABS</t>
        </is>
      </c>
      <c r="C51" s="52" t="inlineStr">
        <is>
          <t>Diamond Power Infra</t>
        </is>
      </c>
      <c r="D51" s="80" t="inlineStr">
        <is>
          <t>Risk</t>
        </is>
      </c>
      <c r="E51" s="70" t="inlineStr">
        <is>
          <t>It hit a 52-week high of about ₹395 on 17 Sep, up 202% in six months, with a P/E near 128.</t>
        </is>
      </c>
      <c r="F51" s="65" t="n"/>
      <c r="G51" s="52" t="inlineStr">
        <is>
          <t>anandrathi</t>
        </is>
      </c>
      <c r="H51" s="79" t="inlineStr">
        <is>
          <t>open ↗</t>
        </is>
      </c>
    </row>
    <row r="52" ht="30" customHeight="1">
      <c r="A52" s="51" t="n">
        <v>8</v>
      </c>
      <c r="B52" s="52" t="inlineStr">
        <is>
          <t>DIACABS</t>
        </is>
      </c>
      <c r="C52" s="52" t="inlineStr">
        <is>
          <t>Diamond Power Infra</t>
        </is>
      </c>
      <c r="D52" s="80" t="inlineStr">
        <is>
          <t>Risk</t>
        </is>
      </c>
      <c r="E52" s="70" t="inlineStr">
        <is>
          <t>Book value per share was negative in the July data.</t>
        </is>
      </c>
      <c r="F52" s="65" t="n"/>
      <c r="G52" s="52" t="inlineStr">
        <is>
          <t>bajajfinserv</t>
        </is>
      </c>
      <c r="H52" s="79" t="inlineStr">
        <is>
          <t>open ↗</t>
        </is>
      </c>
    </row>
    <row r="53" ht="30" customHeight="1">
      <c r="A53" s="51" t="n">
        <v>8</v>
      </c>
      <c r="B53" s="52" t="inlineStr">
        <is>
          <t>DIACABS</t>
        </is>
      </c>
      <c r="C53" s="52" t="inlineStr">
        <is>
          <t>Diamond Power Infra</t>
        </is>
      </c>
      <c r="D53" s="80" t="inlineStr">
        <is>
          <t>Risk</t>
        </is>
      </c>
      <c r="E53" s="70" t="inlineStr">
        <is>
          <t>It is now 14% off that high.</t>
        </is>
      </c>
      <c r="F53" s="65" t="n"/>
      <c r="G53" s="52" t="inlineStr"/>
      <c r="H53" s="52" t="n"/>
    </row>
    <row r="54" ht="44" customHeight="1">
      <c r="A54" s="51" t="n">
        <v>8</v>
      </c>
      <c r="B54" s="52" t="inlineStr">
        <is>
          <t>DIACABS</t>
        </is>
      </c>
      <c r="C54" s="52" t="inlineStr">
        <is>
          <t>Diamond Power Infra</t>
        </is>
      </c>
      <c r="D54" s="81" t="inlineStr">
        <is>
          <t>Context</t>
        </is>
      </c>
      <c r="E54" s="70" t="inlineStr">
        <is>
          <t>The T&amp;D order-book story is real, but the valuation and balance sheet make it a momentum-only trade.</t>
        </is>
      </c>
      <c r="F54" s="65" t="n"/>
      <c r="G54" s="52" t="inlineStr"/>
      <c r="H54" s="52" t="n"/>
    </row>
    <row r="55" ht="44" customHeight="1">
      <c r="A55" s="51" t="n">
        <v>9</v>
      </c>
      <c r="B55" s="52" t="inlineStr">
        <is>
          <t>KIRLOSENG</t>
        </is>
      </c>
      <c r="C55" s="52" t="inlineStr">
        <is>
          <t>Kirloskar Oil Engines</t>
        </is>
      </c>
      <c r="D55" s="80" t="inlineStr">
        <is>
          <t>Risk</t>
        </is>
      </c>
      <c r="E55" s="70" t="inlineStr">
        <is>
          <t>June-quarter revenue was ₹1,482 cr vs ₹1,284 cr a year ago, but EBITDA slipped to ₹176 cr from ₹184 cr, so margins are compressing.</t>
        </is>
      </c>
      <c r="F55" s="65" t="n"/>
      <c r="G55" s="52" t="inlineStr">
        <is>
          <t>anandrathi</t>
        </is>
      </c>
      <c r="H55" s="79" t="inlineStr">
        <is>
          <t>open ↗</t>
        </is>
      </c>
    </row>
    <row r="56" ht="30" customHeight="1">
      <c r="A56" s="51" t="n">
        <v>9</v>
      </c>
      <c r="B56" s="52" t="inlineStr">
        <is>
          <t>KIRLOSENG</t>
        </is>
      </c>
      <c r="C56" s="52" t="inlineStr">
        <is>
          <t>Kirloskar Oil Engines</t>
        </is>
      </c>
      <c r="D56" s="80" t="inlineStr">
        <is>
          <t>Risk</t>
        </is>
      </c>
      <c r="E56" s="70" t="inlineStr">
        <is>
          <t>The 6-1 return is −11% and the stock is 16.5% below its high.</t>
        </is>
      </c>
      <c r="F56" s="65" t="n"/>
      <c r="G56" s="52" t="inlineStr"/>
      <c r="H56" s="52" t="n"/>
    </row>
    <row r="57" ht="30" customHeight="1">
      <c r="A57" s="51" t="n">
        <v>9</v>
      </c>
      <c r="B57" s="52" t="inlineStr">
        <is>
          <t>KIRLOSENG</t>
        </is>
      </c>
      <c r="C57" s="52" t="inlineStr">
        <is>
          <t>Kirloskar Oil Engines</t>
        </is>
      </c>
      <c r="D57" s="80" t="inlineStr">
        <is>
          <t>Risk</t>
        </is>
      </c>
      <c r="E57" s="70" t="inlineStr">
        <is>
          <t>Momentum is fading.</t>
        </is>
      </c>
      <c r="F57" s="65" t="n"/>
      <c r="G57" s="52" t="inlineStr"/>
      <c r="H57" s="52" t="n"/>
    </row>
    <row r="58" ht="30" customHeight="1">
      <c r="A58" s="51" t="n">
        <v>10</v>
      </c>
      <c r="B58" s="52" t="inlineStr">
        <is>
          <t>THANGAMAYL</t>
        </is>
      </c>
      <c r="C58" s="52" t="inlineStr">
        <is>
          <t>Thangamayil Jewellery</t>
        </is>
      </c>
      <c r="D58" s="81" t="inlineStr">
        <is>
          <t>Context</t>
        </is>
      </c>
      <c r="E58" s="70" t="inlineStr">
        <is>
          <t>It hit a high of ₹7,429 and traded near ₹5,085 on 22 Sep.</t>
        </is>
      </c>
      <c r="F58" s="65" t="n"/>
      <c r="G58" s="52" t="inlineStr">
        <is>
          <t>anandrathi</t>
        </is>
      </c>
      <c r="H58" s="79" t="inlineStr">
        <is>
          <t>open ↗</t>
        </is>
      </c>
    </row>
    <row r="59" ht="30" customHeight="1">
      <c r="A59" s="51" t="n">
        <v>10</v>
      </c>
      <c r="B59" s="52" t="inlineStr">
        <is>
          <t>THANGAMAYL</t>
        </is>
      </c>
      <c r="C59" s="52" t="inlineStr">
        <is>
          <t>Thangamayil Jewellery</t>
        </is>
      </c>
      <c r="D59" s="80" t="inlineStr">
        <is>
          <t>Risk</t>
        </is>
      </c>
      <c r="E59" s="70" t="inlineStr">
        <is>
          <t>It is now about 31% below the peak.</t>
        </is>
      </c>
      <c r="F59" s="65" t="n"/>
      <c r="G59" s="52" t="inlineStr">
        <is>
          <t>anandrathi</t>
        </is>
      </c>
      <c r="H59" s="79" t="inlineStr">
        <is>
          <t>open ↗</t>
        </is>
      </c>
    </row>
    <row r="60" ht="30" customHeight="1">
      <c r="A60" s="51" t="n">
        <v>10</v>
      </c>
      <c r="B60" s="52" t="inlineStr">
        <is>
          <t>THANGAMAYL</t>
        </is>
      </c>
      <c r="C60" s="52" t="inlineStr">
        <is>
          <t>Thangamayil Jewellery</t>
        </is>
      </c>
      <c r="D60" s="80" t="inlineStr">
        <is>
          <t>Risk</t>
        </is>
      </c>
      <c r="E60" s="70" t="inlineStr">
        <is>
          <t>Q1 EBITDA (₹145 cr) fell from ₹214 cr in the March quarter.</t>
        </is>
      </c>
      <c r="F60" s="65" t="n"/>
      <c r="G60" s="52" t="inlineStr">
        <is>
          <t>anandrathi</t>
        </is>
      </c>
      <c r="H60" s="79" t="inlineStr">
        <is>
          <t>open ↗</t>
        </is>
      </c>
    </row>
    <row r="61" ht="44" customHeight="1">
      <c r="A61" s="51" t="n">
        <v>10</v>
      </c>
      <c r="B61" s="52" t="inlineStr">
        <is>
          <t>THANGAMAYL</t>
        </is>
      </c>
      <c r="C61" s="52" t="inlineStr">
        <is>
          <t>Thangamayil Jewellery</t>
        </is>
      </c>
      <c r="D61" s="80" t="inlineStr">
        <is>
          <t>Risk</t>
        </is>
      </c>
      <c r="E61" s="70" t="inlineStr">
        <is>
          <t>It has the weakest chart in the batch: a clear downtrend, a negative 6-1 return, and a gold-price-sensitive business.</t>
        </is>
      </c>
      <c r="F61" s="65" t="n"/>
      <c r="G61" s="52" t="inlineStr"/>
      <c r="H61" s="52" t="n"/>
    </row>
  </sheetData>
  <mergeCells count="46">
    <mergeCell ref="E43:F43"/>
    <mergeCell ref="E50:F50"/>
    <mergeCell ref="E55:F55"/>
    <mergeCell ref="E24:F24"/>
    <mergeCell ref="E33:F33"/>
    <mergeCell ref="E42:F42"/>
    <mergeCell ref="E23:F23"/>
    <mergeCell ref="E52:F52"/>
    <mergeCell ref="E48:F48"/>
    <mergeCell ref="E39:F39"/>
    <mergeCell ref="E44:F44"/>
    <mergeCell ref="E35:F35"/>
    <mergeCell ref="E51:F51"/>
    <mergeCell ref="E20:F20"/>
    <mergeCell ref="A2:I2"/>
    <mergeCell ref="E38:F38"/>
    <mergeCell ref="E29:F29"/>
    <mergeCell ref="E19:F19"/>
    <mergeCell ref="E28:F28"/>
    <mergeCell ref="E60:F60"/>
    <mergeCell ref="E40:F40"/>
    <mergeCell ref="E31:F31"/>
    <mergeCell ref="E56:F56"/>
    <mergeCell ref="E34:F34"/>
    <mergeCell ref="E59:F59"/>
    <mergeCell ref="E30:F30"/>
    <mergeCell ref="E46:F46"/>
    <mergeCell ref="E58:F58"/>
    <mergeCell ref="E49:F49"/>
    <mergeCell ref="E27:F27"/>
    <mergeCell ref="E45:F45"/>
    <mergeCell ref="E36:F36"/>
    <mergeCell ref="E61:F61"/>
    <mergeCell ref="E26:F26"/>
    <mergeCell ref="E57:F57"/>
    <mergeCell ref="E54:F54"/>
    <mergeCell ref="E32:F32"/>
    <mergeCell ref="E25:F25"/>
    <mergeCell ref="E41:F41"/>
    <mergeCell ref="A1:I1"/>
    <mergeCell ref="E37:F37"/>
    <mergeCell ref="E22:F22"/>
    <mergeCell ref="E53:F53"/>
    <mergeCell ref="E18:F18"/>
    <mergeCell ref="E47:F47"/>
    <mergeCell ref="E21:F21"/>
  </mergeCells>
  <conditionalFormatting sqref="E5:E14">
    <cfRule type="dataBar" priority="1">
      <dataBar showValue="1">
        <cfvo type="num" val="-2"/>
        <cfvo type="num" val="2"/>
        <color rgb="001F9D63"/>
      </dataBar>
    </cfRule>
  </conditionalFormatting>
  <conditionalFormatting sqref="G5:G14">
    <cfRule type="cellIs" priority="2" operator="greaterThan" dxfId="2">
      <formula>0</formula>
    </cfRule>
    <cfRule type="cellIs" priority="3" operator="lessThan" dxfId="3">
      <formula>0</formula>
    </cfRule>
  </conditionalFormatting>
  <hyperlinks>
    <hyperlink xmlns:r="http://schemas.openxmlformats.org/officeDocument/2006/relationships" ref="H19" r:id="rId1"/>
    <hyperlink xmlns:r="http://schemas.openxmlformats.org/officeDocument/2006/relationships" ref="H20" r:id="rId2"/>
    <hyperlink xmlns:r="http://schemas.openxmlformats.org/officeDocument/2006/relationships" ref="H21" r:id="rId3"/>
    <hyperlink xmlns:r="http://schemas.openxmlformats.org/officeDocument/2006/relationships" ref="H22" r:id="rId4"/>
    <hyperlink xmlns:r="http://schemas.openxmlformats.org/officeDocument/2006/relationships" ref="H24" r:id="rId5"/>
    <hyperlink xmlns:r="http://schemas.openxmlformats.org/officeDocument/2006/relationships" ref="H25" r:id="rId6"/>
    <hyperlink xmlns:r="http://schemas.openxmlformats.org/officeDocument/2006/relationships" ref="H26" r:id="rId7"/>
    <hyperlink xmlns:r="http://schemas.openxmlformats.org/officeDocument/2006/relationships" ref="H27" r:id="rId8"/>
    <hyperlink xmlns:r="http://schemas.openxmlformats.org/officeDocument/2006/relationships" ref="H28" r:id="rId9"/>
    <hyperlink xmlns:r="http://schemas.openxmlformats.org/officeDocument/2006/relationships" ref="H29" r:id="rId10"/>
    <hyperlink xmlns:r="http://schemas.openxmlformats.org/officeDocument/2006/relationships" ref="H30" r:id="rId11"/>
    <hyperlink xmlns:r="http://schemas.openxmlformats.org/officeDocument/2006/relationships" ref="H31" r:id="rId12"/>
    <hyperlink xmlns:r="http://schemas.openxmlformats.org/officeDocument/2006/relationships" ref="H34" r:id="rId13"/>
    <hyperlink xmlns:r="http://schemas.openxmlformats.org/officeDocument/2006/relationships" ref="H35" r:id="rId14"/>
    <hyperlink xmlns:r="http://schemas.openxmlformats.org/officeDocument/2006/relationships" ref="H38" r:id="rId15"/>
    <hyperlink xmlns:r="http://schemas.openxmlformats.org/officeDocument/2006/relationships" ref="H39" r:id="rId16"/>
    <hyperlink xmlns:r="http://schemas.openxmlformats.org/officeDocument/2006/relationships" ref="H40" r:id="rId17"/>
    <hyperlink xmlns:r="http://schemas.openxmlformats.org/officeDocument/2006/relationships" ref="H41" r:id="rId18"/>
    <hyperlink xmlns:r="http://schemas.openxmlformats.org/officeDocument/2006/relationships" ref="H42" r:id="rId19"/>
    <hyperlink xmlns:r="http://schemas.openxmlformats.org/officeDocument/2006/relationships" ref="H43" r:id="rId20"/>
    <hyperlink xmlns:r="http://schemas.openxmlformats.org/officeDocument/2006/relationships" ref="H44" r:id="rId21"/>
    <hyperlink xmlns:r="http://schemas.openxmlformats.org/officeDocument/2006/relationships" ref="H46" r:id="rId22"/>
    <hyperlink xmlns:r="http://schemas.openxmlformats.org/officeDocument/2006/relationships" ref="H47" r:id="rId23"/>
    <hyperlink xmlns:r="http://schemas.openxmlformats.org/officeDocument/2006/relationships" ref="H48" r:id="rId24"/>
    <hyperlink xmlns:r="http://schemas.openxmlformats.org/officeDocument/2006/relationships" ref="H51" r:id="rId25"/>
    <hyperlink xmlns:r="http://schemas.openxmlformats.org/officeDocument/2006/relationships" ref="H52" r:id="rId26"/>
    <hyperlink xmlns:r="http://schemas.openxmlformats.org/officeDocument/2006/relationships" ref="H55" r:id="rId27"/>
    <hyperlink xmlns:r="http://schemas.openxmlformats.org/officeDocument/2006/relationships" ref="H58" r:id="rId28"/>
    <hyperlink xmlns:r="http://schemas.openxmlformats.org/officeDocument/2006/relationships" ref="H59" r:id="rId29"/>
    <hyperlink xmlns:r="http://schemas.openxmlformats.org/officeDocument/2006/relationships" ref="H60" r:id="rId30"/>
  </hyperlink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G1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7" customWidth="1" min="2" max="2"/>
    <col width="80" customWidth="1" min="3" max="3"/>
    <col width="20" customWidth="1" min="4" max="4"/>
    <col width="10" customWidth="1" min="5" max="5"/>
    <col width="10" customWidth="1" min="6" max="6"/>
    <col width="9" customWidth="1" min="7" max="7"/>
  </cols>
  <sheetData>
    <row r="1" ht="30" customHeight="1">
      <c r="A1" s="1" t="inlineStr">
        <is>
          <t>Positive News &amp; Sentiment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Fetched 2026-10-07 12:35</t>
        </is>
      </c>
      <c r="B2" s="2" t="n"/>
      <c r="C2" s="2" t="n"/>
      <c r="D2" s="2" t="n"/>
      <c r="E2" s="2" t="n"/>
      <c r="F2" s="2" t="n"/>
      <c r="G2" s="2" t="n"/>
    </row>
    <row r="4">
      <c r="A4" s="15" t="inlineStr">
        <is>
          <t>Symbol</t>
        </is>
      </c>
      <c r="B4" s="15" t="inlineStr">
        <is>
          <t>Published</t>
        </is>
      </c>
      <c r="C4" s="15" t="inlineStr">
        <is>
          <t>Headline</t>
        </is>
      </c>
      <c r="D4" s="15" t="inlineStr">
        <is>
          <t>Source</t>
        </is>
      </c>
      <c r="E4" s="15" t="inlineStr">
        <is>
          <t>Sentiment</t>
        </is>
      </c>
      <c r="F4" s="15" t="inlineStr">
        <is>
          <t>Label</t>
        </is>
      </c>
      <c r="G4" s="15" t="inlineStr">
        <is>
          <t>Link</t>
        </is>
      </c>
    </row>
    <row r="5">
      <c r="A5" s="52" t="inlineStr">
        <is>
          <t>MARKET</t>
        </is>
      </c>
      <c r="B5" s="52" t="inlineStr">
        <is>
          <t>2026-10-07 11:10</t>
        </is>
      </c>
      <c r="C5" s="52" t="inlineStr">
        <is>
          <t>Stock Market Today: Sensex Falls 429 Points, Nifty Below 22,650 After RBI Rate Hike</t>
        </is>
      </c>
      <c r="D5" s="52" t="inlineStr">
        <is>
          <t>APAC Media</t>
        </is>
      </c>
      <c r="E5" s="82" t="n">
        <v>0.026</v>
      </c>
      <c r="F5" s="52" t="inlineStr">
        <is>
          <t>Neutral</t>
        </is>
      </c>
      <c r="G5" s="83" t="inlineStr">
        <is>
          <t>open ↗</t>
        </is>
      </c>
    </row>
    <row r="6">
      <c r="A6" s="52" t="inlineStr">
        <is>
          <t>MARKET</t>
        </is>
      </c>
      <c r="B6" s="52" t="inlineStr">
        <is>
          <t>2026-10-07 11:02</t>
        </is>
      </c>
      <c r="C6" s="52" t="inlineStr">
        <is>
          <t>RBI MPC 25 bps rate hike impact on stock market: Sensex, Nifty crash - Experts reveal what investors should do now</t>
        </is>
      </c>
      <c r="D6" s="52" t="inlineStr">
        <is>
          <t>Livemint</t>
        </is>
      </c>
      <c r="E6" s="82" t="n">
        <v>-0.273</v>
      </c>
      <c r="F6" s="52" t="inlineStr">
        <is>
          <t>Negative</t>
        </is>
      </c>
      <c r="G6" s="83" t="inlineStr">
        <is>
          <t>open ↗</t>
        </is>
      </c>
    </row>
    <row r="7">
      <c r="A7" s="52" t="inlineStr">
        <is>
          <t>MARKET</t>
        </is>
      </c>
      <c r="B7" s="52" t="inlineStr">
        <is>
          <t>2026-10-07 10:32</t>
        </is>
      </c>
      <c r="C7" s="52" t="inlineStr">
        <is>
          <t>Sensex Today Ends 429 Points Lower | Nifty Below 22,650 | NALCO Down 5%</t>
        </is>
      </c>
      <c r="D7" s="52" t="inlineStr">
        <is>
          <t>Equitymaster</t>
        </is>
      </c>
      <c r="E7" s="82" t="n">
        <v>0.226</v>
      </c>
      <c r="F7" s="52" t="inlineStr">
        <is>
          <t>Positive</t>
        </is>
      </c>
      <c r="G7" s="83" t="inlineStr">
        <is>
          <t>open ↗</t>
        </is>
      </c>
    </row>
    <row r="8">
      <c r="A8" s="52" t="inlineStr">
        <is>
          <t>MARKET</t>
        </is>
      </c>
      <c r="B8" s="52" t="inlineStr">
        <is>
          <t>2026-10-07 10:27</t>
        </is>
      </c>
      <c r="C8" s="52" t="inlineStr">
        <is>
          <t>Stock market prediction for tomorrow: Sensex, Nifty outlook for Thursday | Kospi, Taiwan cues to watch | 8 Oct 2026</t>
        </is>
      </c>
      <c r="D8" s="52" t="inlineStr">
        <is>
          <t>Livemint</t>
        </is>
      </c>
      <c r="E8" s="82" t="n">
        <v>0.402</v>
      </c>
      <c r="F8" s="52" t="inlineStr">
        <is>
          <t>Positive</t>
        </is>
      </c>
      <c r="G8" s="83" t="inlineStr">
        <is>
          <t>open ↗</t>
        </is>
      </c>
    </row>
    <row r="9">
      <c r="A9" s="52" t="inlineStr">
        <is>
          <t>MARKET</t>
        </is>
      </c>
      <c r="B9" s="52" t="inlineStr">
        <is>
          <t>2026-10-07 10:24</t>
        </is>
      </c>
      <c r="C9" s="52" t="inlineStr">
        <is>
          <t>RBI rate hike shakes Indian markets: Sensex, Nifty end lower amid renewed tightening concerns</t>
        </is>
      </c>
      <c r="D9" s="52" t="inlineStr">
        <is>
          <t>The New Indian Express</t>
        </is>
      </c>
      <c r="E9" s="82" t="n">
        <v>0.226</v>
      </c>
      <c r="F9" s="52" t="inlineStr">
        <is>
          <t>Positive</t>
        </is>
      </c>
      <c r="G9" s="83" t="inlineStr">
        <is>
          <t>open ↗</t>
        </is>
      </c>
    </row>
    <row r="10">
      <c r="A10" s="52" t="inlineStr">
        <is>
          <t>MARKET</t>
        </is>
      </c>
      <c r="B10" s="52" t="inlineStr">
        <is>
          <t>2026-10-07 10:09</t>
        </is>
      </c>
      <c r="C10" s="52" t="inlineStr">
        <is>
          <t>Sensex settles 400 pts lower, Nifty ends near 22,600: RBI rate hike among key factors behind market...</t>
        </is>
      </c>
      <c r="D10" s="52" t="inlineStr">
        <is>
          <t>Moneycontrol.com</t>
        </is>
      </c>
      <c r="E10" s="82" t="n">
        <v>0.226</v>
      </c>
      <c r="F10" s="52" t="inlineStr">
        <is>
          <t>Positive</t>
        </is>
      </c>
      <c r="G10" s="83" t="inlineStr">
        <is>
          <t>open ↗</t>
        </is>
      </c>
    </row>
    <row r="11">
      <c r="A11" s="52" t="inlineStr">
        <is>
          <t>MARKET</t>
        </is>
      </c>
      <c r="B11" s="52" t="inlineStr">
        <is>
          <t>2026-10-07 08:05</t>
        </is>
      </c>
      <c r="C11" s="52" t="inlineStr">
        <is>
          <t>RBI MPC 25 bps rate hike impact on stock market: Sensex, Nifty fall - Experts reveal what investors should do now</t>
        </is>
      </c>
      <c r="D11" s="52" t="inlineStr">
        <is>
          <t>TradingView</t>
        </is>
      </c>
      <c r="E11" s="82" t="n">
        <v>0.077</v>
      </c>
      <c r="F11" s="52" t="inlineStr">
        <is>
          <t>Neutral</t>
        </is>
      </c>
      <c r="G11" s="83" t="inlineStr">
        <is>
          <t>open ↗</t>
        </is>
      </c>
    </row>
    <row r="12">
      <c r="A12" s="52" t="inlineStr">
        <is>
          <t>MARKET</t>
        </is>
      </c>
      <c r="B12" s="52" t="inlineStr">
        <is>
          <t>2026-10-07 07:58</t>
        </is>
      </c>
      <c r="C12" s="52" t="inlineStr">
        <is>
          <t>Bank stocks rebound as RBI hikes repo rate; Sensex, Nifty trim early losses</t>
        </is>
      </c>
      <c r="D12" s="52" t="inlineStr">
        <is>
          <t>The Federal</t>
        </is>
      </c>
      <c r="E12" s="82" t="n">
        <v>-0.026</v>
      </c>
      <c r="F12" s="52" t="inlineStr">
        <is>
          <t>Neutral</t>
        </is>
      </c>
      <c r="G12" s="83" t="inlineStr">
        <is>
          <t>open ↗</t>
        </is>
      </c>
    </row>
    <row r="13">
      <c r="A13" s="52" t="inlineStr">
        <is>
          <t>MARKET</t>
        </is>
      </c>
      <c r="B13" s="52" t="inlineStr">
        <is>
          <t>2026-10-07 07:57</t>
        </is>
      </c>
      <c r="C13" s="52" t="inlineStr">
        <is>
          <t>Small-cap stock under ₹50: IT share jumps 14% despite volatility in Sensex, Nifty 50</t>
        </is>
      </c>
      <c r="D13" s="52" t="inlineStr">
        <is>
          <t>Livemint</t>
        </is>
      </c>
      <c r="E13" s="82" t="n">
        <v>0.6909999999999999</v>
      </c>
      <c r="F13" s="52" t="inlineStr">
        <is>
          <t>Positive</t>
        </is>
      </c>
      <c r="G13" s="83" t="inlineStr">
        <is>
          <t>open ↗</t>
        </is>
      </c>
    </row>
    <row r="14">
      <c r="A14" s="52" t="inlineStr">
        <is>
          <t>MARKET</t>
        </is>
      </c>
      <c r="B14" s="52" t="inlineStr">
        <is>
          <t>2026-10-07 06:46</t>
        </is>
      </c>
      <c r="C14" s="52" t="inlineStr">
        <is>
          <t>Markets fall in early trade after two days of rally; Sensex falls 460 points</t>
        </is>
      </c>
      <c r="D14" s="52" t="inlineStr">
        <is>
          <t>The Hindu</t>
        </is>
      </c>
      <c r="E14" s="82" t="n">
        <v>-0.25</v>
      </c>
      <c r="F14" s="52" t="inlineStr">
        <is>
          <t>Negative</t>
        </is>
      </c>
      <c r="G14" s="83" t="inlineStr">
        <is>
          <t>open ↗</t>
        </is>
      </c>
    </row>
    <row r="15">
      <c r="A15" s="52" t="inlineStr">
        <is>
          <t>RRKABEL</t>
        </is>
      </c>
      <c r="B15" s="52" t="inlineStr">
        <is>
          <t>2026-10-07 06:21</t>
        </is>
      </c>
      <c r="C15" s="52" t="inlineStr">
        <is>
          <t>Nuvama initiates coverage on RR Kabel with ‘Buy’: Sees 20% upside on export surge</t>
        </is>
      </c>
      <c r="D15" s="52" t="inlineStr">
        <is>
          <t>The Financial Express</t>
        </is>
      </c>
      <c r="E15" s="82" t="n">
        <v>0.718</v>
      </c>
      <c r="F15" s="52" t="inlineStr">
        <is>
          <t>Positive</t>
        </is>
      </c>
      <c r="G15" s="83" t="inlineStr">
        <is>
          <t>open ↗</t>
        </is>
      </c>
    </row>
    <row r="16">
      <c r="A16" s="52" t="inlineStr">
        <is>
          <t>MARKET</t>
        </is>
      </c>
      <c r="B16" s="52" t="inlineStr">
        <is>
          <t>2026-10-07 05:29</t>
        </is>
      </c>
      <c r="C16" s="52" t="inlineStr">
        <is>
          <t>Stock Markets Today: Sensex, Nifty Decline as Crude Prices Surge</t>
        </is>
      </c>
      <c r="D16" s="52" t="inlineStr">
        <is>
          <t>Rediff</t>
        </is>
      </c>
      <c r="E16" s="82" t="n">
        <v>-0.103</v>
      </c>
      <c r="F16" s="52" t="inlineStr">
        <is>
          <t>Neutral</t>
        </is>
      </c>
      <c r="G16" s="83" t="inlineStr">
        <is>
          <t>open ↗</t>
        </is>
      </c>
    </row>
    <row r="17">
      <c r="A17" s="52" t="inlineStr">
        <is>
          <t>MARKET</t>
        </is>
      </c>
      <c r="B17" s="52" t="inlineStr">
        <is>
          <t>2026-10-07 05:20</t>
        </is>
      </c>
      <c r="C17" s="52" t="inlineStr">
        <is>
          <t>Sensex, Nifty snap two-day rally ahead of RBI policy; crude oil spike weighs</t>
        </is>
      </c>
      <c r="D17" s="52" t="inlineStr">
        <is>
          <t>PSU Watch</t>
        </is>
      </c>
      <c r="E17" s="82" t="n">
        <v>0.25</v>
      </c>
      <c r="F17" s="52" t="inlineStr">
        <is>
          <t>Positive</t>
        </is>
      </c>
      <c r="G17" s="83" t="inlineStr">
        <is>
          <t>open ↗</t>
        </is>
      </c>
    </row>
    <row r="18">
      <c r="A18" s="52" t="inlineStr">
        <is>
          <t>MARKET</t>
        </is>
      </c>
      <c r="B18" s="52" t="inlineStr">
        <is>
          <t>2026-10-07 05:19</t>
        </is>
      </c>
      <c r="C18" s="52" t="inlineStr">
        <is>
          <t>Stock Market Open Report Today, October 7, 2026: Sensex, Nifty Decline as RBI Hikes Repo Rate by 25 bps to 5.50%</t>
        </is>
      </c>
      <c r="D18" s="52" t="inlineStr">
        <is>
          <t>HDFC Sky</t>
        </is>
      </c>
      <c r="E18" s="82" t="n">
        <v>0.026</v>
      </c>
      <c r="F18" s="52" t="inlineStr">
        <is>
          <t>Neutral</t>
        </is>
      </c>
      <c r="G18" s="83" t="inlineStr">
        <is>
          <t>open ↗</t>
        </is>
      </c>
    </row>
    <row r="19">
      <c r="A19" s="52" t="inlineStr">
        <is>
          <t>MARKET</t>
        </is>
      </c>
      <c r="B19" s="52" t="inlineStr">
        <is>
          <t>2026-10-07 04:57</t>
        </is>
      </c>
      <c r="C19" s="52" t="inlineStr">
        <is>
          <t>Stock Markets Today: Sensex, Nifty Decline After Two Days Of Rally</t>
        </is>
      </c>
      <c r="D19" s="52" t="inlineStr">
        <is>
          <t>ETV Bharat</t>
        </is>
      </c>
      <c r="E19" s="82" t="n">
        <v>0.477</v>
      </c>
      <c r="F19" s="52" t="inlineStr">
        <is>
          <t>Positive</t>
        </is>
      </c>
      <c r="G19" s="83" t="inlineStr">
        <is>
          <t>open ↗</t>
        </is>
      </c>
    </row>
    <row r="20">
      <c r="A20" s="52" t="inlineStr">
        <is>
          <t>MARKET</t>
        </is>
      </c>
      <c r="B20" s="52" t="inlineStr">
        <is>
          <t>2026-10-07 04:44</t>
        </is>
      </c>
      <c r="C20" s="52" t="inlineStr">
        <is>
          <t>Sensex Today Trades Lower | Nifty Below 22,650 | Asian Paints &amp; Axis Bank Top Losers</t>
        </is>
      </c>
      <c r="D20" s="52" t="inlineStr">
        <is>
          <t>Equitymaster</t>
        </is>
      </c>
      <c r="E20" s="82" t="n">
        <v>-0.178</v>
      </c>
      <c r="F20" s="52" t="inlineStr">
        <is>
          <t>Neutral</t>
        </is>
      </c>
      <c r="G20" s="83" t="inlineStr">
        <is>
          <t>open ↗</t>
        </is>
      </c>
    </row>
    <row r="21">
      <c r="A21" s="52" t="inlineStr">
        <is>
          <t>MARKET</t>
        </is>
      </c>
      <c r="B21" s="52" t="inlineStr">
        <is>
          <t>2026-10-07 04:33</t>
        </is>
      </c>
      <c r="C21" s="52" t="inlineStr">
        <is>
          <t>Nifty, Sensex open in pressure ahead of RBI policy as investors cautious on growth-inflation dynamics</t>
        </is>
      </c>
      <c r="D21" s="52" t="inlineStr">
        <is>
          <t>ChiniMandi</t>
        </is>
      </c>
      <c r="E21" s="82" t="n">
        <v>0.296</v>
      </c>
      <c r="F21" s="52" t="inlineStr">
        <is>
          <t>Positive</t>
        </is>
      </c>
      <c r="G21" s="83" t="inlineStr">
        <is>
          <t>open ↗</t>
        </is>
      </c>
    </row>
    <row r="22">
      <c r="A22" s="52" t="inlineStr">
        <is>
          <t>E2E</t>
        </is>
      </c>
      <c r="B22" s="52" t="inlineStr">
        <is>
          <t>2026-10-07 04:06</t>
        </is>
      </c>
      <c r="C22" s="52" t="inlineStr">
        <is>
          <t>E2E Networks Share Price hits fresh 52-week high at Rs 720</t>
        </is>
      </c>
      <c r="D22" s="52" t="inlineStr">
        <is>
          <t>Univest</t>
        </is>
      </c>
      <c r="E22" s="82" t="n">
        <v>0.361</v>
      </c>
      <c r="F22" s="52" t="inlineStr">
        <is>
          <t>Positive</t>
        </is>
      </c>
      <c r="G22" s="83" t="inlineStr">
        <is>
          <t>open ↗</t>
        </is>
      </c>
    </row>
    <row r="23">
      <c r="A23" s="52" t="inlineStr">
        <is>
          <t>MARKET</t>
        </is>
      </c>
      <c r="B23" s="52" t="inlineStr">
        <is>
          <t>2026-10-07 03:58</t>
        </is>
      </c>
      <c r="C23" s="52" t="inlineStr">
        <is>
          <t>Why is stock market down today? Sensex crashes 500 points - Top 3 factors behind market selloff explained</t>
        </is>
      </c>
      <c r="D23" s="52" t="inlineStr">
        <is>
          <t>Livemint</t>
        </is>
      </c>
      <c r="E23" s="82" t="n">
        <v>0.202</v>
      </c>
      <c r="F23" s="52" t="inlineStr">
        <is>
          <t>Positive</t>
        </is>
      </c>
      <c r="G23" s="83" t="inlineStr">
        <is>
          <t>open ↗</t>
        </is>
      </c>
    </row>
    <row r="24">
      <c r="A24" s="52" t="inlineStr">
        <is>
          <t>LAURUSLABS</t>
        </is>
      </c>
      <c r="B24" s="52" t="inlineStr">
        <is>
          <t>2026-10-07 03:52</t>
        </is>
      </c>
      <c r="C24" s="52" t="inlineStr">
        <is>
          <t>Laurus stock funds renewable investment as earnings stay strong</t>
        </is>
      </c>
      <c r="D24" s="52" t="inlineStr">
        <is>
          <t>AD HOC NEWS</t>
        </is>
      </c>
      <c r="E24" s="82" t="n">
        <v>0.382</v>
      </c>
      <c r="F24" s="52" t="inlineStr">
        <is>
          <t>Positive</t>
        </is>
      </c>
      <c r="G24" s="83" t="inlineStr">
        <is>
          <t>open ↗</t>
        </is>
      </c>
    </row>
    <row r="25">
      <c r="A25" s="52" t="inlineStr">
        <is>
          <t>MARKET</t>
        </is>
      </c>
      <c r="B25" s="52" t="inlineStr">
        <is>
          <t>2026-10-07 02:46</t>
        </is>
      </c>
      <c r="C25" s="52" t="inlineStr">
        <is>
          <t>GIFT Nifty falls 100 pts, signals weak start for Sensex, Nifty ahead of RBI policy; Asian markets decline</t>
        </is>
      </c>
      <c r="D25" s="52" t="inlineStr">
        <is>
          <t>Moneycontrol.com</t>
        </is>
      </c>
      <c r="E25" s="82" t="n">
        <v>0.303</v>
      </c>
      <c r="F25" s="52" t="inlineStr">
        <is>
          <t>Positive</t>
        </is>
      </c>
      <c r="G25" s="83" t="inlineStr">
        <is>
          <t>open ↗</t>
        </is>
      </c>
    </row>
    <row r="26">
      <c r="A26" s="52" t="inlineStr">
        <is>
          <t>LAURUSLABS</t>
        </is>
      </c>
      <c r="B26" s="52" t="inlineStr">
        <is>
          <t>2026-10-07 02:24</t>
        </is>
      </c>
      <c r="C26" s="52" t="inlineStr">
        <is>
          <t>Trade Spotlight: How should you trade Laurus Labs, BHEL, ACME Solar Holdings, Indian Hotels, Britannia,...</t>
        </is>
      </c>
      <c r="D26" s="52" t="inlineStr">
        <is>
          <t>Moneycontrol.com</t>
        </is>
      </c>
      <c r="E26" s="82" t="n">
        <v>0</v>
      </c>
      <c r="F26" s="52" t="inlineStr">
        <is>
          <t>Neutral</t>
        </is>
      </c>
      <c r="G26" s="83" t="inlineStr">
        <is>
          <t>open ↗</t>
        </is>
      </c>
    </row>
    <row r="27">
      <c r="A27" s="52" t="inlineStr">
        <is>
          <t>MARKET</t>
        </is>
      </c>
      <c r="B27" s="52" t="inlineStr">
        <is>
          <t>2026-10-07 01:45</t>
        </is>
      </c>
      <c r="C27" s="52" t="inlineStr">
        <is>
          <t>Stock market outlook today, 7 Oct: Sensex, Nifty prediction - DJIA, S&amp;P, NASDAQ, GIFT Nifty, Nikkei, Kospi, Taiwan cues</t>
        </is>
      </c>
      <c r="D27" s="52" t="inlineStr">
        <is>
          <t>Livemint</t>
        </is>
      </c>
      <c r="E27" s="82" t="n">
        <v>0.842</v>
      </c>
      <c r="F27" s="52" t="inlineStr">
        <is>
          <t>Positive</t>
        </is>
      </c>
      <c r="G27" s="83" t="inlineStr">
        <is>
          <t>open ↗</t>
        </is>
      </c>
    </row>
    <row r="28">
      <c r="A28" s="52" t="inlineStr">
        <is>
          <t>MARKET</t>
        </is>
      </c>
      <c r="B28" s="52" t="inlineStr">
        <is>
          <t>2026-10-07 01:28</t>
        </is>
      </c>
      <c r="C28" s="52" t="inlineStr">
        <is>
          <t>Stock Market Today: Gift Nifty, RBI Policy To Gold Rate — Five Key Factors For Sensex, Nifty 50 On October 7</t>
        </is>
      </c>
      <c r="D28" s="52" t="inlineStr">
        <is>
          <t>NDTV Profit</t>
        </is>
      </c>
      <c r="E28" s="82" t="n">
        <v>0.8070000000000001</v>
      </c>
      <c r="F28" s="52" t="inlineStr">
        <is>
          <t>Positive</t>
        </is>
      </c>
      <c r="G28" s="83" t="inlineStr">
        <is>
          <t>open ↗</t>
        </is>
      </c>
    </row>
    <row r="29">
      <c r="A29" s="52" t="inlineStr">
        <is>
          <t>RRKABEL</t>
        </is>
      </c>
      <c r="B29" s="52" t="inlineStr">
        <is>
          <t>2026-10-06 16:08</t>
        </is>
      </c>
      <c r="C29" s="52" t="inlineStr">
        <is>
          <t>RR Kabel - Nuvama Wealth Management among 5 stocks showing RSI trending up</t>
        </is>
      </c>
      <c r="D29" s="52" t="inlineStr">
        <is>
          <t>The Economic Times</t>
        </is>
      </c>
      <c r="E29" s="82" t="n">
        <v>0.494</v>
      </c>
      <c r="F29" s="52" t="inlineStr">
        <is>
          <t>Positive</t>
        </is>
      </c>
      <c r="G29" s="83" t="inlineStr">
        <is>
          <t>open ↗</t>
        </is>
      </c>
    </row>
    <row r="30">
      <c r="A30" s="52" t="inlineStr">
        <is>
          <t>MARKET</t>
        </is>
      </c>
      <c r="B30" s="52" t="inlineStr">
        <is>
          <t>2026-10-06 15:40</t>
        </is>
      </c>
      <c r="C30" s="52" t="inlineStr">
        <is>
          <t>Ahead of Market: 10 things that will decide stock market action on Wednesday</t>
        </is>
      </c>
      <c r="D30" s="52" t="inlineStr">
        <is>
          <t>The Economic Times</t>
        </is>
      </c>
      <c r="E30" s="82" t="n">
        <v>0</v>
      </c>
      <c r="F30" s="52" t="inlineStr">
        <is>
          <t>Neutral</t>
        </is>
      </c>
      <c r="G30" s="83" t="inlineStr">
        <is>
          <t>open ↗</t>
        </is>
      </c>
    </row>
    <row r="31">
      <c r="A31" s="52" t="inlineStr">
        <is>
          <t>LAURUSLABS</t>
        </is>
      </c>
      <c r="B31" s="52" t="inlineStr">
        <is>
          <t>2026-10-06 12:59</t>
        </is>
      </c>
      <c r="C31" s="52" t="inlineStr">
        <is>
          <t>Laurus Labs invests ₹12.09 crore in Kurnool Renewables via rights issue</t>
        </is>
      </c>
      <c r="D31" s="52" t="inlineStr">
        <is>
          <t>scanx.trade</t>
        </is>
      </c>
      <c r="E31" s="82" t="n">
        <v>0</v>
      </c>
      <c r="F31" s="52" t="inlineStr">
        <is>
          <t>Neutral</t>
        </is>
      </c>
      <c r="G31" s="83" t="inlineStr">
        <is>
          <t>open ↗</t>
        </is>
      </c>
    </row>
    <row r="32">
      <c r="A32" s="52" t="inlineStr">
        <is>
          <t>RRKABEL</t>
        </is>
      </c>
      <c r="B32" s="52" t="inlineStr">
        <is>
          <t>2026-10-06 12:08</t>
        </is>
      </c>
      <c r="C32" s="52" t="inlineStr">
        <is>
          <t>RR Kabel - Netweb Technologies among 3 stocks showing White Marubozu Pattern</t>
        </is>
      </c>
      <c r="D32" s="52" t="inlineStr">
        <is>
          <t>The Economic Times</t>
        </is>
      </c>
      <c r="E32" s="82" t="n">
        <v>0</v>
      </c>
      <c r="F32" s="52" t="inlineStr">
        <is>
          <t>Neutral</t>
        </is>
      </c>
      <c r="G32" s="83" t="inlineStr">
        <is>
          <t>open ↗</t>
        </is>
      </c>
    </row>
    <row r="33">
      <c r="A33" s="52" t="inlineStr">
        <is>
          <t>MARKET</t>
        </is>
      </c>
      <c r="B33" s="52" t="inlineStr">
        <is>
          <t>2026-10-06 11:43</t>
        </is>
      </c>
      <c r="C33" s="52" t="inlineStr">
        <is>
          <t>Indian stocks rebound strongly as Asia firms; RBI decision holds the key to market momentum</t>
        </is>
      </c>
      <c r="D33" s="52" t="inlineStr">
        <is>
          <t>The New Indian Express</t>
        </is>
      </c>
      <c r="E33" s="82" t="n">
        <v>0.273</v>
      </c>
      <c r="F33" s="52" t="inlineStr">
        <is>
          <t>Positive</t>
        </is>
      </c>
      <c r="G33" s="83" t="inlineStr">
        <is>
          <t>open ↗</t>
        </is>
      </c>
    </row>
    <row r="34">
      <c r="A34" s="52" t="inlineStr">
        <is>
          <t>MARKET</t>
        </is>
      </c>
      <c r="B34" s="52" t="inlineStr">
        <is>
          <t>2026-10-06 10:57</t>
        </is>
      </c>
      <c r="C34" s="52" t="inlineStr">
        <is>
          <t>Sensex, Nifty surge on falling crude, bank stocks rally</t>
        </is>
      </c>
      <c r="D34" s="52" t="inlineStr">
        <is>
          <t>Rediff</t>
        </is>
      </c>
      <c r="E34" s="82" t="n">
        <v>0.5570000000000001</v>
      </c>
      <c r="F34" s="52" t="inlineStr">
        <is>
          <t>Positive</t>
        </is>
      </c>
      <c r="G34" s="83" t="inlineStr">
        <is>
          <t>open ↗</t>
        </is>
      </c>
    </row>
    <row r="35">
      <c r="A35" s="52" t="inlineStr">
        <is>
          <t>MARKET</t>
        </is>
      </c>
      <c r="B35" s="52" t="inlineStr">
        <is>
          <t>2026-10-06 10:54</t>
        </is>
      </c>
      <c r="C35" s="52" t="inlineStr">
        <is>
          <t>Why Is the Indian Stock Market Rising Ahead of the RBI MPC?</t>
        </is>
      </c>
      <c r="D35" s="52" t="inlineStr">
        <is>
          <t>Univest</t>
        </is>
      </c>
      <c r="E35" s="82" t="n">
        <v>0</v>
      </c>
      <c r="F35" s="52" t="inlineStr">
        <is>
          <t>Neutral</t>
        </is>
      </c>
      <c r="G35" s="83" t="inlineStr">
        <is>
          <t>open ↗</t>
        </is>
      </c>
    </row>
    <row r="36">
      <c r="A36" s="52" t="inlineStr">
        <is>
          <t>MARKET</t>
        </is>
      </c>
      <c r="B36" s="52" t="inlineStr">
        <is>
          <t>2026-10-06 10:48</t>
        </is>
      </c>
      <c r="C36" s="52" t="inlineStr">
        <is>
          <t>Sensex, Nifty Surge 2nd Day on Easing Oil, Bank Stock Buying</t>
        </is>
      </c>
      <c r="D36" s="52" t="inlineStr">
        <is>
          <t>Rediff MoneyWiz</t>
        </is>
      </c>
      <c r="E36" s="82" t="n">
        <v>0.784</v>
      </c>
      <c r="F36" s="52" t="inlineStr">
        <is>
          <t>Positive</t>
        </is>
      </c>
      <c r="G36" s="83" t="inlineStr">
        <is>
          <t>open ↗</t>
        </is>
      </c>
    </row>
    <row r="37">
      <c r="A37" s="52" t="inlineStr">
        <is>
          <t>MARKET</t>
        </is>
      </c>
      <c r="B37" s="52" t="inlineStr">
        <is>
          <t>2026-10-06 10:35</t>
        </is>
      </c>
      <c r="C37" s="52" t="inlineStr">
        <is>
          <t>Sensex Today Rallies 685 Points | Nifty Above 22,750 | 3 Reasons Why Indian Share Markets Are Rising</t>
        </is>
      </c>
      <c r="D37" s="52" t="inlineStr">
        <is>
          <t>Equitymaster</t>
        </is>
      </c>
      <c r="E37" s="82" t="n">
        <v>0.6909999999999999</v>
      </c>
      <c r="F37" s="52" t="inlineStr">
        <is>
          <t>Positive</t>
        </is>
      </c>
      <c r="G37" s="83" t="inlineStr">
        <is>
          <t>open ↗</t>
        </is>
      </c>
    </row>
    <row r="38">
      <c r="A38" s="52" t="inlineStr">
        <is>
          <t>MARKET</t>
        </is>
      </c>
      <c r="B38" s="52" t="inlineStr">
        <is>
          <t>2026-10-06 10:33</t>
        </is>
      </c>
      <c r="C38" s="52" t="inlineStr">
        <is>
          <t>Sensex, Nifty end higher for 2nd straight day: 5 reasons why market rallied today</t>
        </is>
      </c>
      <c r="D38" s="52" t="inlineStr">
        <is>
          <t>IndiaIPO</t>
        </is>
      </c>
      <c r="E38" s="82" t="n">
        <v>0.5570000000000001</v>
      </c>
      <c r="F38" s="52" t="inlineStr">
        <is>
          <t>Positive</t>
        </is>
      </c>
      <c r="G38" s="83" t="inlineStr">
        <is>
          <t>open ↗</t>
        </is>
      </c>
    </row>
    <row r="39">
      <c r="A39" s="52" t="inlineStr">
        <is>
          <t>MARKET</t>
        </is>
      </c>
      <c r="B39" s="52" t="inlineStr">
        <is>
          <t>2026-10-06 10:19</t>
        </is>
      </c>
      <c r="C39" s="52" t="inlineStr">
        <is>
          <t>Stock market prediction for today: Sensex, Nifty outlook for Wednesday | Kospi, Taiwan cues to watch | 7 Oct 2026</t>
        </is>
      </c>
      <c r="D39" s="52" t="inlineStr">
        <is>
          <t>Livemint</t>
        </is>
      </c>
      <c r="E39" s="82" t="n">
        <v>0.402</v>
      </c>
      <c r="F39" s="52" t="inlineStr">
        <is>
          <t>Positive</t>
        </is>
      </c>
      <c r="G39" s="83" t="inlineStr">
        <is>
          <t>open ↗</t>
        </is>
      </c>
    </row>
    <row r="40">
      <c r="A40" s="52" t="inlineStr">
        <is>
          <t>ATHERENERG</t>
        </is>
      </c>
      <c r="B40" s="52" t="inlineStr">
        <is>
          <t>2026-10-06 10:15</t>
        </is>
      </c>
      <c r="C40" s="52" t="inlineStr">
        <is>
          <t>Ather Energy Limited Share Price Today: key price action</t>
        </is>
      </c>
      <c r="D40" s="52" t="inlineStr">
        <is>
          <t>Univest</t>
        </is>
      </c>
      <c r="E40" s="82" t="n">
        <v>0.052</v>
      </c>
      <c r="F40" s="52" t="inlineStr">
        <is>
          <t>Neutral</t>
        </is>
      </c>
      <c r="G40" s="83" t="inlineStr">
        <is>
          <t>open ↗</t>
        </is>
      </c>
    </row>
    <row r="41">
      <c r="A41" s="52" t="inlineStr">
        <is>
          <t>MARKET</t>
        </is>
      </c>
      <c r="B41" s="52" t="inlineStr">
        <is>
          <t>2026-10-06 09:48</t>
        </is>
      </c>
      <c r="C41" s="52" t="inlineStr">
        <is>
          <t>Sensex, Nifty Rally Decoded: Three Big Reasons Fueling The Pre-RBI Policy Upswing</t>
        </is>
      </c>
      <c r="D41" s="52" t="inlineStr">
        <is>
          <t>NDTV Profit</t>
        </is>
      </c>
      <c r="E41" s="82" t="n">
        <v>0.6909999999999999</v>
      </c>
      <c r="F41" s="52" t="inlineStr">
        <is>
          <t>Positive</t>
        </is>
      </c>
      <c r="G41" s="83" t="inlineStr">
        <is>
          <t>open ↗</t>
        </is>
      </c>
    </row>
    <row r="42">
      <c r="A42" s="52" t="inlineStr">
        <is>
          <t>MARKET</t>
        </is>
      </c>
      <c r="B42" s="52" t="inlineStr">
        <is>
          <t>2026-10-06 08:45</t>
        </is>
      </c>
      <c r="C42" s="52" t="inlineStr">
        <is>
          <t>Sensex, Nifty up today: Why is Indian stock market rising ahead of RBI MPC meeting outcome? Explained with 3 reasons</t>
        </is>
      </c>
      <c r="D42" s="52" t="inlineStr">
        <is>
          <t>Livemint</t>
        </is>
      </c>
      <c r="E42" s="82" t="n">
        <v>0.402</v>
      </c>
      <c r="F42" s="52" t="inlineStr">
        <is>
          <t>Positive</t>
        </is>
      </c>
      <c r="G42" s="83" t="inlineStr">
        <is>
          <t>open ↗</t>
        </is>
      </c>
    </row>
    <row r="43">
      <c r="A43" s="52" t="inlineStr">
        <is>
          <t>RRKABEL</t>
        </is>
      </c>
      <c r="B43" s="52" t="inlineStr">
        <is>
          <t>2026-10-06 08:16</t>
        </is>
      </c>
      <c r="C43" s="52" t="inlineStr">
        <is>
          <t>Is R R Kabel the Best Stock in Its Sector? A Look at the Numbers</t>
        </is>
      </c>
      <c r="D43" s="52" t="inlineStr">
        <is>
          <t>Univest</t>
        </is>
      </c>
      <c r="E43" s="82" t="n">
        <v>0.637</v>
      </c>
      <c r="F43" s="52" t="inlineStr">
        <is>
          <t>Positive</t>
        </is>
      </c>
      <c r="G43" s="83" t="inlineStr">
        <is>
          <t>open ↗</t>
        </is>
      </c>
    </row>
    <row r="44">
      <c r="A44" s="52" t="inlineStr">
        <is>
          <t>MARKET</t>
        </is>
      </c>
      <c r="B44" s="52" t="inlineStr">
        <is>
          <t>2026-10-06 05:33</t>
        </is>
      </c>
      <c r="C44" s="52" t="inlineStr">
        <is>
          <t>Stock market outlook today, 6 Oct: Sensex, Nifty prediction - DJIA, S&amp;P, NASDAQ, GIFT Nifty, Nikkei, Taiwan cues</t>
        </is>
      </c>
      <c r="D44" s="52" t="inlineStr">
        <is>
          <t>Livemint</t>
        </is>
      </c>
      <c r="E44" s="82" t="n">
        <v>0.842</v>
      </c>
      <c r="F44" s="52" t="inlineStr">
        <is>
          <t>Positive</t>
        </is>
      </c>
      <c r="G44" s="83" t="inlineStr">
        <is>
          <t>open ↗</t>
        </is>
      </c>
    </row>
    <row r="45">
      <c r="A45" s="52" t="inlineStr">
        <is>
          <t>MARKET</t>
        </is>
      </c>
      <c r="B45" s="52" t="inlineStr">
        <is>
          <t>2026-10-06 05:21</t>
        </is>
      </c>
      <c r="C45" s="52" t="inlineStr">
        <is>
          <t>Sensex, Nifty rise in early trade on buying in bank stocks, Reliance Industries</t>
        </is>
      </c>
      <c r="D45" s="52" t="inlineStr">
        <is>
          <t>PSU Watch</t>
        </is>
      </c>
      <c r="E45" s="82" t="n">
        <v>0.402</v>
      </c>
      <c r="F45" s="52" t="inlineStr">
        <is>
          <t>Positive</t>
        </is>
      </c>
      <c r="G45" s="83" t="inlineStr">
        <is>
          <t>open ↗</t>
        </is>
      </c>
    </row>
    <row r="46">
      <c r="A46" s="52" t="inlineStr">
        <is>
          <t>MARKET</t>
        </is>
      </c>
      <c r="B46" s="52" t="inlineStr">
        <is>
          <t>2026-10-06 05:21</t>
        </is>
      </c>
      <c r="C46" s="52" t="inlineStr">
        <is>
          <t>Stock Markets Today: Sensex, Nifty Higher on Bank Stocks, RIL</t>
        </is>
      </c>
      <c r="D46" s="52" t="inlineStr">
        <is>
          <t>Rediff</t>
        </is>
      </c>
      <c r="E46" s="82" t="n">
        <v>0.402</v>
      </c>
      <c r="F46" s="52" t="inlineStr">
        <is>
          <t>Positive</t>
        </is>
      </c>
      <c r="G46" s="83" t="inlineStr">
        <is>
          <t>open ↗</t>
        </is>
      </c>
    </row>
    <row r="47">
      <c r="A47" s="52" t="inlineStr">
        <is>
          <t>MARKET</t>
        </is>
      </c>
      <c r="B47" s="52" t="inlineStr">
        <is>
          <t>2026-10-06 05:12</t>
        </is>
      </c>
      <c r="C47" s="52" t="inlineStr">
        <is>
          <t>Explained: How RBI rate hike may impact Sensex, Nifty after 8-week losing streak</t>
        </is>
      </c>
      <c r="D47" s="52" t="inlineStr">
        <is>
          <t>The Economic Times</t>
        </is>
      </c>
      <c r="E47" s="82" t="n">
        <v>0.026</v>
      </c>
      <c r="F47" s="52" t="inlineStr">
        <is>
          <t>Neutral</t>
        </is>
      </c>
      <c r="G47" s="83" t="inlineStr">
        <is>
          <t>open ↗</t>
        </is>
      </c>
    </row>
    <row r="48">
      <c r="A48" s="52" t="inlineStr">
        <is>
          <t>RRKABEL</t>
        </is>
      </c>
      <c r="B48" s="52" t="inlineStr">
        <is>
          <t>2026-10-06 05:08</t>
        </is>
      </c>
      <c r="C48" s="52" t="inlineStr">
        <is>
          <t>RR Kabel Ltd. (RRKABEL) Share Price Rise Streak: Stock gains for second straight session</t>
        </is>
      </c>
      <c r="D48" s="52" t="inlineStr">
        <is>
          <t>Univest</t>
        </is>
      </c>
      <c r="E48" s="82" t="n">
        <v>0.542</v>
      </c>
      <c r="F48" s="52" t="inlineStr">
        <is>
          <t>Positive</t>
        </is>
      </c>
      <c r="G48" s="83" t="inlineStr">
        <is>
          <t>open ↗</t>
        </is>
      </c>
    </row>
    <row r="49">
      <c r="A49" s="52" t="inlineStr">
        <is>
          <t>E2E</t>
        </is>
      </c>
      <c r="B49" s="52" t="inlineStr">
        <is>
          <t>2026-10-06 05:00</t>
        </is>
      </c>
      <c r="C49" s="52" t="inlineStr">
        <is>
          <t>E2E Networks Share Price Rise: Market Cap and Valuation</t>
        </is>
      </c>
      <c r="D49" s="52" t="inlineStr">
        <is>
          <t>Univest</t>
        </is>
      </c>
      <c r="E49" s="82" t="n">
        <v>0</v>
      </c>
      <c r="F49" s="52" t="inlineStr">
        <is>
          <t>Neutral</t>
        </is>
      </c>
      <c r="G49" s="83" t="inlineStr">
        <is>
          <t>open ↗</t>
        </is>
      </c>
    </row>
    <row r="50">
      <c r="A50" s="52" t="inlineStr">
        <is>
          <t>MARKET</t>
        </is>
      </c>
      <c r="B50" s="52" t="inlineStr">
        <is>
          <t>2026-10-06 04:59</t>
        </is>
      </c>
      <c r="C50" s="52" t="inlineStr">
        <is>
          <t>Stock markets trade higher led by bank stocks, Reliance Industries</t>
        </is>
      </c>
      <c r="D50" s="52" t="inlineStr">
        <is>
          <t>The New Indian Express</t>
        </is>
      </c>
      <c r="E50" s="82" t="n">
        <v>0</v>
      </c>
      <c r="F50" s="52" t="inlineStr">
        <is>
          <t>Neutral</t>
        </is>
      </c>
      <c r="G50" s="83" t="inlineStr">
        <is>
          <t>open ↗</t>
        </is>
      </c>
    </row>
    <row r="51">
      <c r="A51" s="52" t="inlineStr">
        <is>
          <t>MARKET</t>
        </is>
      </c>
      <c r="B51" s="52" t="inlineStr">
        <is>
          <t>2026-10-06 04:43</t>
        </is>
      </c>
      <c r="C51" s="52" t="inlineStr">
        <is>
          <t>Stock Market Open Report Today, October 6, 2026: Sensex, Nifty Edge Higher as Investors Await RBI Rate Decision</t>
        </is>
      </c>
      <c r="D51" s="52" t="inlineStr">
        <is>
          <t>HDFC Sky</t>
        </is>
      </c>
      <c r="E51" s="82" t="n">
        <v>0.477</v>
      </c>
      <c r="F51" s="52" t="inlineStr">
        <is>
          <t>Positive</t>
        </is>
      </c>
      <c r="G51" s="83" t="inlineStr">
        <is>
          <t>open ↗</t>
        </is>
      </c>
    </row>
    <row r="52">
      <c r="A52" s="52" t="inlineStr">
        <is>
          <t>DIACABS</t>
        </is>
      </c>
      <c r="B52" s="52" t="inlineStr">
        <is>
          <t>2026-10-06 04:41</t>
        </is>
      </c>
      <c r="C52" s="52" t="inlineStr">
        <is>
          <t>Diamond Power Infrastructure Ltd. (DIACABS) Share Price Rise Streak Extends in Second Straight Session</t>
        </is>
      </c>
      <c r="D52" s="52" t="inlineStr">
        <is>
          <t>Univest</t>
        </is>
      </c>
      <c r="E52" s="82" t="n">
        <v>0.586</v>
      </c>
      <c r="F52" s="52" t="inlineStr">
        <is>
          <t>Positive</t>
        </is>
      </c>
      <c r="G52" s="83" t="inlineStr">
        <is>
          <t>open ↗</t>
        </is>
      </c>
    </row>
    <row r="53">
      <c r="A53" s="52" t="inlineStr">
        <is>
          <t>MARKET</t>
        </is>
      </c>
      <c r="B53" s="52" t="inlineStr">
        <is>
          <t>2026-10-06 04:37</t>
        </is>
      </c>
      <c r="C53" s="52" t="inlineStr">
        <is>
          <t>Sensex Today Trades Higher | Nifty Above 22,550 | Asian Paints &amp; Bharti Airtel Top Gainers</t>
        </is>
      </c>
      <c r="D53" s="52" t="inlineStr">
        <is>
          <t>Equitymaster</t>
        </is>
      </c>
      <c r="E53" s="82" t="n">
        <v>0.542</v>
      </c>
      <c r="F53" s="52" t="inlineStr">
        <is>
          <t>Positive</t>
        </is>
      </c>
      <c r="G53" s="83" t="inlineStr">
        <is>
          <t>open ↗</t>
        </is>
      </c>
    </row>
    <row r="54">
      <c r="A54" s="52" t="inlineStr">
        <is>
          <t>MARKET</t>
        </is>
      </c>
      <c r="B54" s="52" t="inlineStr">
        <is>
          <t>2026-10-06 04:36</t>
        </is>
      </c>
      <c r="C54" s="52" t="inlineStr">
        <is>
          <t>Capital markets related stocks in demand: BSE, MOFSL, Groww jump up to 3%</t>
        </is>
      </c>
      <c r="D54" s="52" t="inlineStr">
        <is>
          <t>Business Standard</t>
        </is>
      </c>
      <c r="E54" s="82" t="n">
        <v>0.318</v>
      </c>
      <c r="F54" s="52" t="inlineStr">
        <is>
          <t>Positive</t>
        </is>
      </c>
      <c r="G54" s="83" t="inlineStr">
        <is>
          <t>open ↗</t>
        </is>
      </c>
    </row>
    <row r="55">
      <c r="A55" s="52" t="inlineStr">
        <is>
          <t>E2E</t>
        </is>
      </c>
      <c r="B55" s="52" t="inlineStr">
        <is>
          <t>2026-10-06 04:35</t>
        </is>
      </c>
      <c r="C55" s="52" t="inlineStr">
        <is>
          <t>E2E Networks Share Price Today Near Yearly High at Rs 685</t>
        </is>
      </c>
      <c r="D55" s="52" t="inlineStr">
        <is>
          <t>Univest</t>
        </is>
      </c>
      <c r="E55" s="82" t="n">
        <v>0.202</v>
      </c>
      <c r="F55" s="52" t="inlineStr">
        <is>
          <t>Positive</t>
        </is>
      </c>
      <c r="G55" s="83" t="inlineStr">
        <is>
          <t>open ↗</t>
        </is>
      </c>
    </row>
    <row r="56">
      <c r="A56" s="52" t="inlineStr">
        <is>
          <t>MARKET</t>
        </is>
      </c>
      <c r="B56" s="52" t="inlineStr">
        <is>
          <t>2026-10-06 04:08</t>
        </is>
      </c>
      <c r="C56" s="52" t="inlineStr">
        <is>
          <t>Sensex rises over 100 points, Nifty above 22,600 as market extends gains. Why caution is warranted</t>
        </is>
      </c>
      <c r="D56" s="52" t="inlineStr">
        <is>
          <t>The Economic Times</t>
        </is>
      </c>
      <c r="E56" s="82" t="n">
        <v>0.7</v>
      </c>
      <c r="F56" s="52" t="inlineStr">
        <is>
          <t>Positive</t>
        </is>
      </c>
      <c r="G56" s="83" t="inlineStr">
        <is>
          <t>open ↗</t>
        </is>
      </c>
    </row>
    <row r="57">
      <c r="A57" s="52" t="inlineStr">
        <is>
          <t>MARKET</t>
        </is>
      </c>
      <c r="B57" s="52" t="inlineStr">
        <is>
          <t>2026-10-06 03:57</t>
        </is>
      </c>
      <c r="C57" s="52" t="inlineStr">
        <is>
          <t>Market Update: Sensex Gains 348 Points, Nifty Above 22,650; Banks, Metals Lead Rally</t>
        </is>
      </c>
      <c r="D57" s="52" t="inlineStr">
        <is>
          <t>News18</t>
        </is>
      </c>
      <c r="E57" s="82" t="n">
        <v>0.8070000000000001</v>
      </c>
      <c r="F57" s="52" t="inlineStr">
        <is>
          <t>Positive</t>
        </is>
      </c>
      <c r="G57" s="83" t="inlineStr">
        <is>
          <t>open ↗</t>
        </is>
      </c>
    </row>
    <row r="58">
      <c r="A58" s="52" t="inlineStr">
        <is>
          <t>MARKET</t>
        </is>
      </c>
      <c r="B58" s="52" t="inlineStr">
        <is>
          <t>2026-10-06 02:41</t>
        </is>
      </c>
      <c r="C58" s="52" t="inlineStr">
        <is>
          <t>GIFT Nifty up, signals positive start for Sensex, Nifty; Asian gains, softer oil support sentiment</t>
        </is>
      </c>
      <c r="D58" s="52" t="inlineStr">
        <is>
          <t>Moneycontrol.com</t>
        </is>
      </c>
      <c r="E58" s="82" t="n">
        <v>0.951</v>
      </c>
      <c r="F58" s="52" t="inlineStr">
        <is>
          <t>Positive</t>
        </is>
      </c>
      <c r="G58" s="83" t="inlineStr">
        <is>
          <t>open ↗</t>
        </is>
      </c>
    </row>
    <row r="59">
      <c r="A59" s="52" t="inlineStr">
        <is>
          <t>MARKET</t>
        </is>
      </c>
      <c r="B59" s="52" t="inlineStr">
        <is>
          <t>2026-10-06 01:54</t>
        </is>
      </c>
      <c r="C59" s="52" t="inlineStr">
        <is>
          <t>Indian shares extend gains ahead of RBI rate decision</t>
        </is>
      </c>
      <c r="D59" s="52" t="inlineStr">
        <is>
          <t>Reuters</t>
        </is>
      </c>
      <c r="E59" s="82" t="n">
        <v>0.511</v>
      </c>
      <c r="F59" s="52" t="inlineStr">
        <is>
          <t>Positive</t>
        </is>
      </c>
      <c r="G59" s="83" t="inlineStr">
        <is>
          <t>open ↗</t>
        </is>
      </c>
    </row>
    <row r="60">
      <c r="A60" s="52" t="inlineStr">
        <is>
          <t>MARKET</t>
        </is>
      </c>
      <c r="B60" s="52" t="inlineStr">
        <is>
          <t>2026-10-06 01:45</t>
        </is>
      </c>
      <c r="C60" s="52" t="inlineStr">
        <is>
          <t>Sensex Today | Stock Market LIVE Updates: Nifty at 22,450, Sensex up 110 pts; HCL Tech, Asian Paints</t>
        </is>
      </c>
      <c r="D60" s="52" t="inlineStr">
        <is>
          <t>IndiaIPO</t>
        </is>
      </c>
      <c r="E60" s="82" t="n">
        <v>0.402</v>
      </c>
      <c r="F60" s="52" t="inlineStr">
        <is>
          <t>Positive</t>
        </is>
      </c>
      <c r="G60" s="83" t="inlineStr">
        <is>
          <t>open ↗</t>
        </is>
      </c>
    </row>
    <row r="61">
      <c r="A61" s="52" t="inlineStr">
        <is>
          <t>MARKET</t>
        </is>
      </c>
      <c r="B61" s="52" t="inlineStr">
        <is>
          <t>2026-10-06 01:27</t>
        </is>
      </c>
      <c r="C61" s="52" t="inlineStr">
        <is>
          <t>Stock Market Today: Gift Nifty, Nasdaq To AI Stocks Rally — Five Key Factors For Sensex, Nifty 50 On October 6</t>
        </is>
      </c>
      <c r="D61" s="52" t="inlineStr">
        <is>
          <t>NDTV Profit</t>
        </is>
      </c>
      <c r="E61" s="82" t="n">
        <v>0.883</v>
      </c>
      <c r="F61" s="52" t="inlineStr">
        <is>
          <t>Positive</t>
        </is>
      </c>
      <c r="G61" s="83" t="inlineStr">
        <is>
          <t>open ↗</t>
        </is>
      </c>
    </row>
    <row r="62">
      <c r="A62" s="52" t="inlineStr">
        <is>
          <t>MARKET</t>
        </is>
      </c>
      <c r="B62" s="52" t="inlineStr">
        <is>
          <t>2026-10-05 23:14</t>
        </is>
      </c>
      <c r="C62" s="52" t="inlineStr">
        <is>
          <t>Five reasons India's stock market is sinking even when its economy is growing</t>
        </is>
      </c>
      <c r="D62" s="52" t="inlineStr">
        <is>
          <t>BBC</t>
        </is>
      </c>
      <c r="E62" s="82" t="n">
        <v>0.178</v>
      </c>
      <c r="F62" s="52" t="inlineStr">
        <is>
          <t>Neutral</t>
        </is>
      </c>
      <c r="G62" s="83" t="inlineStr">
        <is>
          <t>open ↗</t>
        </is>
      </c>
    </row>
    <row r="63">
      <c r="A63" s="52" t="inlineStr">
        <is>
          <t>DIACABS</t>
        </is>
      </c>
      <c r="B63" s="52" t="inlineStr">
        <is>
          <t>2026-10-05 22:01</t>
        </is>
      </c>
      <c r="C63" s="52" t="inlineStr">
        <is>
          <t>Diamond Power Infrastructure bags ₹43.26 Cr cable supply order from Adani Power</t>
        </is>
      </c>
      <c r="D63" s="52" t="inlineStr">
        <is>
          <t>Alice Blue</t>
        </is>
      </c>
      <c r="E63" s="82" t="n">
        <v>0.735</v>
      </c>
      <c r="F63" s="52" t="inlineStr">
        <is>
          <t>Positive</t>
        </is>
      </c>
      <c r="G63" s="83" t="inlineStr">
        <is>
          <t>open ↗</t>
        </is>
      </c>
    </row>
    <row r="64">
      <c r="A64" s="52" t="inlineStr">
        <is>
          <t>MARKET</t>
        </is>
      </c>
      <c r="B64" s="52" t="inlineStr">
        <is>
          <t>2026-10-05 18:14</t>
        </is>
      </c>
      <c r="C64" s="52" t="inlineStr">
        <is>
          <t>Stock Market Today: Sensex, Nifty Recover; ITC, Bajaj Finance Lead Top Gainers</t>
        </is>
      </c>
      <c r="D64" s="52" t="inlineStr">
        <is>
          <t>APAC Media</t>
        </is>
      </c>
      <c r="E64" s="82" t="n">
        <v>0.542</v>
      </c>
      <c r="F64" s="52" t="inlineStr">
        <is>
          <t>Positive</t>
        </is>
      </c>
      <c r="G64" s="83" t="inlineStr">
        <is>
          <t>open ↗</t>
        </is>
      </c>
    </row>
    <row r="65">
      <c r="A65" s="52" t="inlineStr">
        <is>
          <t>RRKABEL</t>
        </is>
      </c>
      <c r="B65" s="52" t="inlineStr">
        <is>
          <t>2026-10-05 11:48</t>
        </is>
      </c>
      <c r="C65" s="52" t="inlineStr">
        <is>
          <t>Power Stocks Rise: What's Driving CESC, TD Power, RR Kabel?</t>
        </is>
      </c>
      <c r="D65" s="52" t="inlineStr">
        <is>
          <t>Univest</t>
        </is>
      </c>
      <c r="E65" s="82" t="n">
        <v>0</v>
      </c>
      <c r="F65" s="52" t="inlineStr">
        <is>
          <t>Neutral</t>
        </is>
      </c>
      <c r="G65" s="83" t="inlineStr">
        <is>
          <t>open ↗</t>
        </is>
      </c>
    </row>
    <row r="66">
      <c r="A66" s="52" t="inlineStr">
        <is>
          <t>MARKET</t>
        </is>
      </c>
      <c r="B66" s="52" t="inlineStr">
        <is>
          <t>2026-10-05 11:06</t>
        </is>
      </c>
      <c r="C66" s="52" t="inlineStr">
        <is>
          <t>Stock markets rebound; Sensex climbs 473 points</t>
        </is>
      </c>
      <c r="D66" s="52" t="inlineStr">
        <is>
          <t>The Hindu</t>
        </is>
      </c>
      <c r="E66" s="82" t="n">
        <v>0.382</v>
      </c>
      <c r="F66" s="52" t="inlineStr">
        <is>
          <t>Positive</t>
        </is>
      </c>
      <c r="G66" s="83" t="inlineStr">
        <is>
          <t>open ↗</t>
        </is>
      </c>
    </row>
    <row r="67">
      <c r="A67" s="52" t="inlineStr">
        <is>
          <t>MARKET</t>
        </is>
      </c>
      <c r="B67" s="52" t="inlineStr">
        <is>
          <t>2026-10-05 10:38</t>
        </is>
      </c>
      <c r="C67" s="52" t="inlineStr">
        <is>
          <t>Stock Markets Rebound: Sensex Climbs 473 Pts, Nifty Above 22,500</t>
        </is>
      </c>
      <c r="D67" s="52" t="inlineStr">
        <is>
          <t>Rediff MoneyWiz</t>
        </is>
      </c>
      <c r="E67" s="82" t="n">
        <v>0.649</v>
      </c>
      <c r="F67" s="52" t="inlineStr">
        <is>
          <t>Positive</t>
        </is>
      </c>
      <c r="G67" s="83" t="inlineStr">
        <is>
          <t>open ↗</t>
        </is>
      </c>
    </row>
    <row r="68">
      <c r="A68" s="52" t="inlineStr">
        <is>
          <t>MARKET</t>
        </is>
      </c>
      <c r="B68" s="52" t="inlineStr">
        <is>
          <t>2026-10-05 10:35</t>
        </is>
      </c>
      <c r="C68" s="52" t="inlineStr">
        <is>
          <t>Sensex rises 473 points, Nifty snaps 4-day losing streak: 5 reasons why stock market rose today</t>
        </is>
      </c>
      <c r="D68" s="52" t="inlineStr">
        <is>
          <t>IndiaIPO</t>
        </is>
      </c>
      <c r="E68" s="82" t="n">
        <v>0.026</v>
      </c>
      <c r="F68" s="52" t="inlineStr">
        <is>
          <t>Neutral</t>
        </is>
      </c>
      <c r="G68" s="83" t="inlineStr">
        <is>
          <t>open ↗</t>
        </is>
      </c>
    </row>
    <row r="69">
      <c r="A69" s="52" t="inlineStr">
        <is>
          <t>MARKET</t>
        </is>
      </c>
      <c r="B69" s="52" t="inlineStr">
        <is>
          <t>2026-10-05 10:29</t>
        </is>
      </c>
      <c r="C69" s="52" t="inlineStr">
        <is>
          <t>Sensex Today Ends 473 Points Higher | Nifty Above 22,550 | Raymond Realty Up 6%</t>
        </is>
      </c>
      <c r="D69" s="52" t="inlineStr">
        <is>
          <t>Equitymaster</t>
        </is>
      </c>
      <c r="E69" s="82" t="n">
        <v>0.402</v>
      </c>
      <c r="F69" s="52" t="inlineStr">
        <is>
          <t>Positive</t>
        </is>
      </c>
      <c r="G69" s="83" t="inlineStr">
        <is>
          <t>open ↗</t>
        </is>
      </c>
    </row>
    <row r="70">
      <c r="A70" s="52" t="inlineStr">
        <is>
          <t>MARKET</t>
        </is>
      </c>
      <c r="B70" s="52" t="inlineStr">
        <is>
          <t>2026-10-05 10:22</t>
        </is>
      </c>
      <c r="C70" s="52" t="inlineStr">
        <is>
          <t>Stock market prediction for today: Sensex, Nifty outlook for Tuesday | Kospi, Taiwan cues to watch | 6 Oct 2026</t>
        </is>
      </c>
      <c r="D70" s="52" t="inlineStr">
        <is>
          <t>Livemint</t>
        </is>
      </c>
      <c r="E70" s="82" t="n">
        <v>0.402</v>
      </c>
      <c r="F70" s="52" t="inlineStr">
        <is>
          <t>Positive</t>
        </is>
      </c>
      <c r="G70" s="83" t="inlineStr">
        <is>
          <t>open ↗</t>
        </is>
      </c>
    </row>
    <row r="71">
      <c r="A71" s="52" t="inlineStr">
        <is>
          <t>MARKET</t>
        </is>
      </c>
      <c r="B71" s="52" t="inlineStr">
        <is>
          <t>2026-10-05 10:19</t>
        </is>
      </c>
      <c r="C71" s="52" t="inlineStr">
        <is>
          <t>Taking Stock: Markets snap 4-day losing streak; Nifty ends above 22,500, Sensex up 473 pts</t>
        </is>
      </c>
      <c r="D71" s="52" t="inlineStr">
        <is>
          <t>TradingView</t>
        </is>
      </c>
      <c r="E71" s="82" t="n">
        <v>0.026</v>
      </c>
      <c r="F71" s="52" t="inlineStr">
        <is>
          <t>Neutral</t>
        </is>
      </c>
      <c r="G71" s="83" t="inlineStr">
        <is>
          <t>open ↗</t>
        </is>
      </c>
    </row>
    <row r="72">
      <c r="A72" s="52" t="inlineStr">
        <is>
          <t>MARKET</t>
        </is>
      </c>
      <c r="B72" s="52" t="inlineStr">
        <is>
          <t>2026-10-05 08:36</t>
        </is>
      </c>
      <c r="C72" s="52" t="inlineStr">
        <is>
          <t>Gold, silver or stocks: Where should investors put fresh money after the Sensex, Nifty crash?</t>
        </is>
      </c>
      <c r="D72" s="52" t="inlineStr">
        <is>
          <t>Livemint</t>
        </is>
      </c>
      <c r="E72" s="82" t="n">
        <v>0.052</v>
      </c>
      <c r="F72" s="52" t="inlineStr">
        <is>
          <t>Neutral</t>
        </is>
      </c>
      <c r="G72" s="83" t="inlineStr">
        <is>
          <t>open ↗</t>
        </is>
      </c>
    </row>
    <row r="73">
      <c r="A73" s="52" t="inlineStr">
        <is>
          <t>TDPOWERSYS</t>
        </is>
      </c>
      <c r="B73" s="52" t="inlineStr">
        <is>
          <t>2026-10-05 07:25</t>
        </is>
      </c>
      <c r="C73" s="52" t="inlineStr">
        <is>
          <t>TD Power Systems Ltd. 52 Week High Streak and Valuation</t>
        </is>
      </c>
      <c r="D73" s="52" t="inlineStr">
        <is>
          <t>Univest</t>
        </is>
      </c>
      <c r="E73" s="82" t="n">
        <v>0.202</v>
      </c>
      <c r="F73" s="52" t="inlineStr">
        <is>
          <t>Positive</t>
        </is>
      </c>
      <c r="G73" s="83" t="inlineStr">
        <is>
          <t>open ↗</t>
        </is>
      </c>
    </row>
    <row r="74">
      <c r="A74" s="52" t="inlineStr">
        <is>
          <t>AEROFLEX</t>
        </is>
      </c>
      <c r="B74" s="52" t="inlineStr">
        <is>
          <t>2026-10-05 06:49</t>
        </is>
      </c>
      <c r="C74" s="52" t="inlineStr">
        <is>
          <t>Top 3 Ranked Performers in Ashish Kacholia’s Portfolio in 2026</t>
        </is>
      </c>
      <c r="D74" s="52" t="inlineStr">
        <is>
          <t>The Financial Express</t>
        </is>
      </c>
      <c r="E74" s="82" t="n">
        <v>0.202</v>
      </c>
      <c r="F74" s="52" t="inlineStr">
        <is>
          <t>Positive</t>
        </is>
      </c>
      <c r="G74" s="83" t="inlineStr">
        <is>
          <t>open ↗</t>
        </is>
      </c>
    </row>
    <row r="75">
      <c r="A75" s="52" t="inlineStr">
        <is>
          <t>MARKET</t>
        </is>
      </c>
      <c r="B75" s="52" t="inlineStr">
        <is>
          <t>2026-10-05 06:46</t>
        </is>
      </c>
      <c r="C75" s="52" t="inlineStr">
        <is>
          <t>Stock market on the rise: What caused the Nifty, Sensex rebound today? | Business News</t>
        </is>
      </c>
      <c r="D75" s="52" t="inlineStr">
        <is>
          <t>Hindustan Times</t>
        </is>
      </c>
      <c r="E75" s="82" t="n">
        <v>0.402</v>
      </c>
      <c r="F75" s="52" t="inlineStr">
        <is>
          <t>Positive</t>
        </is>
      </c>
      <c r="G75" s="83" t="inlineStr">
        <is>
          <t>open ↗</t>
        </is>
      </c>
    </row>
    <row r="76">
      <c r="A76" s="52" t="inlineStr">
        <is>
          <t>MARKET</t>
        </is>
      </c>
      <c r="B76" s="52" t="inlineStr">
        <is>
          <t>2026-10-05 06:17</t>
        </is>
      </c>
      <c r="C76" s="52" t="inlineStr">
        <is>
          <t>Relief rally in stock market? 4 reasons why Nifty and Sensex indices are trading green today</t>
        </is>
      </c>
      <c r="D76" s="52" t="inlineStr">
        <is>
          <t>The Week</t>
        </is>
      </c>
      <c r="E76" s="82" t="n">
        <v>0.832</v>
      </c>
      <c r="F76" s="52" t="inlineStr">
        <is>
          <t>Positive</t>
        </is>
      </c>
      <c r="G76" s="83" t="inlineStr">
        <is>
          <t>open ↗</t>
        </is>
      </c>
    </row>
    <row r="77">
      <c r="A77" s="52" t="inlineStr">
        <is>
          <t>MARKET</t>
        </is>
      </c>
      <c r="B77" s="52" t="inlineStr">
        <is>
          <t>2026-10-05 05:39</t>
        </is>
      </c>
      <c r="C77" s="52" t="inlineStr">
        <is>
          <t>Stock markets rebound in early trade; Sensex jumps more than 700 points</t>
        </is>
      </c>
      <c r="D77" s="52" t="inlineStr">
        <is>
          <t>The Hindu</t>
        </is>
      </c>
      <c r="E77" s="82" t="n">
        <v>0.459</v>
      </c>
      <c r="F77" s="52" t="inlineStr">
        <is>
          <t>Positive</t>
        </is>
      </c>
      <c r="G77" s="83" t="inlineStr">
        <is>
          <t>open ↗</t>
        </is>
      </c>
    </row>
    <row r="78">
      <c r="A78" s="52" t="inlineStr">
        <is>
          <t>MARKET</t>
        </is>
      </c>
      <c r="B78" s="52" t="inlineStr">
        <is>
          <t>2026-10-05 05:35</t>
        </is>
      </c>
      <c r="C78" s="52" t="inlineStr">
        <is>
          <t>Stock Market Today: Sensex Today Rebounds, Nifty 50 Above 22,600</t>
        </is>
      </c>
      <c r="D78" s="52" t="inlineStr">
        <is>
          <t>Univest</t>
        </is>
      </c>
      <c r="E78" s="82" t="n">
        <v>0.402</v>
      </c>
      <c r="F78" s="52" t="inlineStr">
        <is>
          <t>Positive</t>
        </is>
      </c>
      <c r="G78" s="83" t="inlineStr">
        <is>
          <t>open ↗</t>
        </is>
      </c>
    </row>
    <row r="79">
      <c r="A79" s="52" t="inlineStr">
        <is>
          <t>MARKET</t>
        </is>
      </c>
      <c r="B79" s="52" t="inlineStr">
        <is>
          <t>2026-10-05 05:19</t>
        </is>
      </c>
      <c r="C79" s="52" t="inlineStr">
        <is>
          <t>Stock Markets Today: Sensex, Nifty Jump on Global Cues</t>
        </is>
      </c>
      <c r="D79" s="52" t="inlineStr">
        <is>
          <t>Rediff</t>
        </is>
      </c>
      <c r="E79" s="82" t="n">
        <v>0.67</v>
      </c>
      <c r="F79" s="52" t="inlineStr">
        <is>
          <t>Positive</t>
        </is>
      </c>
      <c r="G79" s="83" t="inlineStr">
        <is>
          <t>open ↗</t>
        </is>
      </c>
    </row>
    <row r="80">
      <c r="A80" s="52" t="inlineStr">
        <is>
          <t>MARKET</t>
        </is>
      </c>
      <c r="B80" s="52" t="inlineStr">
        <is>
          <t>2026-10-05 04:57</t>
        </is>
      </c>
      <c r="C80" s="52" t="inlineStr">
        <is>
          <t>Sensex Jumps 453 Points; Nifty Rebounds Above 22,500</t>
        </is>
      </c>
      <c r="D80" s="52" t="inlineStr">
        <is>
          <t>HDFC Sky</t>
        </is>
      </c>
      <c r="E80" s="82" t="n">
        <v>0.6909999999999999</v>
      </c>
      <c r="F80" s="52" t="inlineStr">
        <is>
          <t>Positive</t>
        </is>
      </c>
      <c r="G80" s="83" t="inlineStr">
        <is>
          <t>open ↗</t>
        </is>
      </c>
    </row>
    <row r="81">
      <c r="A81" s="52" t="inlineStr">
        <is>
          <t>MARKET</t>
        </is>
      </c>
      <c r="B81" s="52" t="inlineStr">
        <is>
          <t>2026-10-05 04:52</t>
        </is>
      </c>
      <c r="C81" s="52" t="inlineStr">
        <is>
          <t>Sensex Today Trades Higher | Nifty Above 22,550 | Bajaj Finance &amp; ITC Top Gainers</t>
        </is>
      </c>
      <c r="D81" s="52" t="inlineStr">
        <is>
          <t>Equitymaster</t>
        </is>
      </c>
      <c r="E81" s="82" t="n">
        <v>0.542</v>
      </c>
      <c r="F81" s="52" t="inlineStr">
        <is>
          <t>Positive</t>
        </is>
      </c>
      <c r="G81" s="83" t="inlineStr">
        <is>
          <t>open ↗</t>
        </is>
      </c>
    </row>
    <row r="82">
      <c r="A82" s="52" t="inlineStr">
        <is>
          <t>MARKET</t>
        </is>
      </c>
      <c r="B82" s="52" t="inlineStr">
        <is>
          <t>2026-10-05 04:51</t>
        </is>
      </c>
      <c r="C82" s="52" t="inlineStr">
        <is>
          <t>Stock Markets Rebound: Sensex Jumps 700+ Points, Nifty Up</t>
        </is>
      </c>
      <c r="D82" s="52" t="inlineStr">
        <is>
          <t>Rediff MoneyWiz</t>
        </is>
      </c>
      <c r="E82" s="82" t="n">
        <v>0.6909999999999999</v>
      </c>
      <c r="F82" s="52" t="inlineStr">
        <is>
          <t>Positive</t>
        </is>
      </c>
      <c r="G82" s="83" t="inlineStr">
        <is>
          <t>open ↗</t>
        </is>
      </c>
    </row>
    <row r="83">
      <c r="A83" s="52" t="inlineStr">
        <is>
          <t>MARKET</t>
        </is>
      </c>
      <c r="B83" s="52" t="inlineStr">
        <is>
          <t>2026-10-05 04:19</t>
        </is>
      </c>
      <c r="C83" s="52" t="inlineStr">
        <is>
          <t>Stock Markets Closing: Sensex Ends 470 Points Higher, Nifty Tops 22,550</t>
        </is>
      </c>
      <c r="D83" s="52" t="inlineStr">
        <is>
          <t>ETV Bharat</t>
        </is>
      </c>
      <c r="E83" s="82" t="n">
        <v>0.718</v>
      </c>
      <c r="F83" s="52" t="inlineStr">
        <is>
          <t>Positive</t>
        </is>
      </c>
      <c r="G83" s="83" t="inlineStr">
        <is>
          <t>open ↗</t>
        </is>
      </c>
    </row>
    <row r="84">
      <c r="A84" s="52" t="inlineStr">
        <is>
          <t>MARKET</t>
        </is>
      </c>
      <c r="B84" s="52" t="inlineStr">
        <is>
          <t>2026-10-05 04:03</t>
        </is>
      </c>
      <c r="C84" s="52" t="inlineStr">
        <is>
          <t>Why is stock market up today? Top 3 factors behind the rally in Sensex, Nifty today</t>
        </is>
      </c>
      <c r="D84" s="52" t="inlineStr">
        <is>
          <t>Livemint</t>
        </is>
      </c>
      <c r="E84" s="82" t="n">
        <v>0.758</v>
      </c>
      <c r="F84" s="52" t="inlineStr">
        <is>
          <t>Positive</t>
        </is>
      </c>
      <c r="G84" s="83" t="inlineStr">
        <is>
          <t>open ↗</t>
        </is>
      </c>
    </row>
    <row r="85">
      <c r="A85" s="52" t="inlineStr">
        <is>
          <t>MARKET</t>
        </is>
      </c>
      <c r="B85" s="52" t="inlineStr">
        <is>
          <t>2026-10-05 04:02</t>
        </is>
      </c>
      <c r="C85" s="52" t="inlineStr">
        <is>
          <t>Why did market rise today? Sensex jumps 473 points, Nifty closes above 22,550: 6 key factors driving rebou</t>
        </is>
      </c>
      <c r="D85" s="52" t="inlineStr">
        <is>
          <t>The Economic Times</t>
        </is>
      </c>
      <c r="E85" s="82" t="n">
        <v>0.6909999999999999</v>
      </c>
      <c r="F85" s="52" t="inlineStr">
        <is>
          <t>Positive</t>
        </is>
      </c>
      <c r="G85" s="83" t="inlineStr">
        <is>
          <t>open ↗</t>
        </is>
      </c>
    </row>
    <row r="86">
      <c r="A86" s="52" t="inlineStr">
        <is>
          <t>MARKET</t>
        </is>
      </c>
      <c r="B86" s="52" t="inlineStr">
        <is>
          <t>2026-10-05 03:27</t>
        </is>
      </c>
      <c r="C86" s="52" t="inlineStr">
        <is>
          <t>Sensex, Nifty opening: Will stock market rise ahead of RBI MPC?</t>
        </is>
      </c>
      <c r="D86" s="52" t="inlineStr">
        <is>
          <t>India Today</t>
        </is>
      </c>
      <c r="E86" s="82" t="n">
        <v>0.402</v>
      </c>
      <c r="F86" s="52" t="inlineStr">
        <is>
          <t>Positive</t>
        </is>
      </c>
      <c r="G86" s="83" t="inlineStr">
        <is>
          <t>open ↗</t>
        </is>
      </c>
    </row>
    <row r="87">
      <c r="A87" s="52" t="inlineStr">
        <is>
          <t>MARKET</t>
        </is>
      </c>
      <c r="B87" s="52" t="inlineStr">
        <is>
          <t>2026-10-05 02:24</t>
        </is>
      </c>
      <c r="C87" s="52" t="inlineStr">
        <is>
          <t>Stock Market Today: Gift Nifty, US Jobs Data To Oil Prices — Five Key Factors For Sensex, Nifty 50 On October 5</t>
        </is>
      </c>
      <c r="D87" s="52" t="inlineStr">
        <is>
          <t>NDTV Profit</t>
        </is>
      </c>
      <c r="E87" s="82" t="n">
        <v>0.8070000000000001</v>
      </c>
      <c r="F87" s="52" t="inlineStr">
        <is>
          <t>Positive</t>
        </is>
      </c>
      <c r="G87" s="83" t="inlineStr">
        <is>
          <t>open ↗</t>
        </is>
      </c>
    </row>
    <row r="88">
      <c r="A88" s="52" t="inlineStr">
        <is>
          <t>MARKET</t>
        </is>
      </c>
      <c r="B88" s="52" t="inlineStr">
        <is>
          <t>2026-10-05 01:28</t>
        </is>
      </c>
      <c r="C88" s="52" t="inlineStr">
        <is>
          <t>Stock market outlook today, 5 Oct: Sensex, Nifty prediction - DJIA, S&amp;P, NASDAQ, GIFT Nifty, Nikkei, Taiwan cues</t>
        </is>
      </c>
      <c r="D88" s="52" t="inlineStr">
        <is>
          <t>Livemint</t>
        </is>
      </c>
      <c r="E88" s="82" t="n">
        <v>0.842</v>
      </c>
      <c r="F88" s="52" t="inlineStr">
        <is>
          <t>Positive</t>
        </is>
      </c>
      <c r="G88" s="83" t="inlineStr">
        <is>
          <t>open ↗</t>
        </is>
      </c>
    </row>
    <row r="89">
      <c r="A89" s="52" t="inlineStr">
        <is>
          <t>MARKET</t>
        </is>
      </c>
      <c r="B89" s="52" t="inlineStr">
        <is>
          <t>2026-10-04 12:57</t>
        </is>
      </c>
      <c r="C89" s="52" t="inlineStr">
        <is>
          <t>Share Market News: Nifty 50 Outlook &amp; Prediction</t>
        </is>
      </c>
      <c r="D89" s="52" t="inlineStr">
        <is>
          <t>Liquide Blog</t>
        </is>
      </c>
      <c r="E89" s="82" t="n">
        <v>0.402</v>
      </c>
      <c r="F89" s="52" t="inlineStr">
        <is>
          <t>Positive</t>
        </is>
      </c>
      <c r="G89" s="83" t="inlineStr">
        <is>
          <t>open ↗</t>
        </is>
      </c>
    </row>
    <row r="90">
      <c r="A90" s="52" t="inlineStr">
        <is>
          <t>MARKET</t>
        </is>
      </c>
      <c r="B90" s="52" t="inlineStr">
        <is>
          <t>2026-10-04 11:18</t>
        </is>
      </c>
      <c r="C90" s="52" t="inlineStr">
        <is>
          <t>Sensex, Nifty, Bank Nifty prediction: What will happen in the Indian stock market on Monday? 3 reasons tell the scene</t>
        </is>
      </c>
      <c r="D90" s="52" t="inlineStr">
        <is>
          <t>Livemint</t>
        </is>
      </c>
      <c r="E90" s="82" t="n">
        <v>0.66</v>
      </c>
      <c r="F90" s="52" t="inlineStr">
        <is>
          <t>Positive</t>
        </is>
      </c>
      <c r="G90" s="83" t="inlineStr">
        <is>
          <t>open ↗</t>
        </is>
      </c>
    </row>
    <row r="91">
      <c r="A91" s="52" t="inlineStr">
        <is>
          <t>LAURUSLABS</t>
        </is>
      </c>
      <c r="B91" s="52" t="inlineStr">
        <is>
          <t>2026-10-04 09:09</t>
        </is>
      </c>
      <c r="C91" s="52" t="inlineStr">
        <is>
          <t>Laurus Labs - 7 midcap stocks with rising EPS for four straight quarters. Are they in your portfolio?</t>
        </is>
      </c>
      <c r="D91" s="52" t="inlineStr">
        <is>
          <t>The Economic Times</t>
        </is>
      </c>
      <c r="E91" s="82" t="n">
        <v>0.226</v>
      </c>
      <c r="F91" s="52" t="inlineStr">
        <is>
          <t>Positive</t>
        </is>
      </c>
      <c r="G91" s="83" t="inlineStr">
        <is>
          <t>open ↗</t>
        </is>
      </c>
    </row>
    <row r="92">
      <c r="A92" s="52" t="inlineStr">
        <is>
          <t>MARKET</t>
        </is>
      </c>
      <c r="B92" s="52" t="inlineStr">
        <is>
          <t>2026-10-04 04:39</t>
        </is>
      </c>
      <c r="C92" s="52" t="inlineStr">
        <is>
          <t>Stock market prediction for today, 5 Oct Monday: Sensex, Nifty outlook; Dow Jones, Nasdaq, Kospi, Nikkei, Taiwan cues</t>
        </is>
      </c>
      <c r="D92" s="52" t="inlineStr">
        <is>
          <t>Livemint</t>
        </is>
      </c>
      <c r="E92" s="82" t="n">
        <v>0.402</v>
      </c>
      <c r="F92" s="52" t="inlineStr">
        <is>
          <t>Positive</t>
        </is>
      </c>
      <c r="G92" s="83" t="inlineStr">
        <is>
          <t>open ↗</t>
        </is>
      </c>
    </row>
    <row r="93">
      <c r="A93" s="52" t="inlineStr">
        <is>
          <t>MARKET</t>
        </is>
      </c>
      <c r="B93" s="52" t="inlineStr">
        <is>
          <t>2026-10-04 03:44</t>
        </is>
      </c>
      <c r="C93" s="52" t="inlineStr">
        <is>
          <t>Will Nifty, Sensex plunge for 9th straight week? TCS Q2, RBI MPC among 4 factors to drive Dalal Street fro</t>
        </is>
      </c>
      <c r="D93" s="52" t="inlineStr">
        <is>
          <t>The Economic Times</t>
        </is>
      </c>
      <c r="E93" s="82" t="n">
        <v>0.026</v>
      </c>
      <c r="F93" s="52" t="inlineStr">
        <is>
          <t>Neutral</t>
        </is>
      </c>
      <c r="G93" s="83" t="inlineStr">
        <is>
          <t>open ↗</t>
        </is>
      </c>
    </row>
    <row r="94">
      <c r="A94" s="52" t="inlineStr">
        <is>
          <t>LAURUSLABS</t>
        </is>
      </c>
      <c r="B94" s="52" t="inlineStr">
        <is>
          <t>2026-10-04 02:58</t>
        </is>
      </c>
      <c r="C94" s="52" t="inlineStr">
        <is>
          <t>Laurus Labs to host Q1 FY27 earnings call on July 24</t>
        </is>
      </c>
      <c r="D94" s="52" t="inlineStr">
        <is>
          <t>scanx.trade</t>
        </is>
      </c>
      <c r="E94" s="82" t="n">
        <v>0</v>
      </c>
      <c r="F94" s="52" t="inlineStr">
        <is>
          <t>Neutral</t>
        </is>
      </c>
      <c r="G94" s="83" t="inlineStr">
        <is>
          <t>open ↗</t>
        </is>
      </c>
    </row>
    <row r="95">
      <c r="A95" s="52" t="inlineStr">
        <is>
          <t>ATHERENERG</t>
        </is>
      </c>
      <c r="B95" s="52" t="inlineStr">
        <is>
          <t>2026-10-04 01:36</t>
        </is>
      </c>
      <c r="C95" s="52" t="inlineStr">
        <is>
          <t>Tesla Delivery Beat Lifts Ather Energy Stock And EV Shares Back Into View</t>
        </is>
      </c>
      <c r="D95" s="52" t="inlineStr">
        <is>
          <t>Simply Wall Street</t>
        </is>
      </c>
      <c r="E95" s="82" t="n">
        <v>0.572</v>
      </c>
      <c r="F95" s="52" t="inlineStr">
        <is>
          <t>Positive</t>
        </is>
      </c>
      <c r="G95" s="83" t="inlineStr">
        <is>
          <t>open ↗</t>
        </is>
      </c>
    </row>
    <row r="96">
      <c r="A96" s="52" t="inlineStr">
        <is>
          <t>LAURUSLABS</t>
        </is>
      </c>
      <c r="B96" s="52" t="inlineStr">
        <is>
          <t>2026-10-04 00:59</t>
        </is>
      </c>
      <c r="C96" s="52" t="inlineStr">
        <is>
          <t>Laurus Labs NCLT hearing for composite scheme set for Sep 10</t>
        </is>
      </c>
      <c r="D96" s="52" t="inlineStr">
        <is>
          <t>scanx.trade</t>
        </is>
      </c>
      <c r="E96" s="82" t="n">
        <v>0</v>
      </c>
      <c r="F96" s="52" t="inlineStr">
        <is>
          <t>Neutral</t>
        </is>
      </c>
      <c r="G96" s="83" t="inlineStr">
        <is>
          <t>open ↗</t>
        </is>
      </c>
    </row>
    <row r="97">
      <c r="A97" s="52" t="inlineStr">
        <is>
          <t>MARKET</t>
        </is>
      </c>
      <c r="B97" s="52" t="inlineStr">
        <is>
          <t>2026-10-03 11:53</t>
        </is>
      </c>
      <c r="C97" s="52" t="inlineStr">
        <is>
          <t>Stock Market Outlook October 2026: Can Sensex, Nifty Recover? What Analysts Are Saying</t>
        </is>
      </c>
      <c r="D97" s="52" t="inlineStr">
        <is>
          <t>ETV Bharat</t>
        </is>
      </c>
      <c r="E97" s="82" t="n">
        <v>0.402</v>
      </c>
      <c r="F97" s="52" t="inlineStr">
        <is>
          <t>Positive</t>
        </is>
      </c>
      <c r="G97" s="83" t="inlineStr">
        <is>
          <t>open ↗</t>
        </is>
      </c>
    </row>
    <row r="98">
      <c r="A98" s="52" t="inlineStr">
        <is>
          <t>E2E</t>
        </is>
      </c>
      <c r="B98" s="52" t="inlineStr">
        <is>
          <t>2026-10-03 11:24</t>
        </is>
      </c>
      <c r="C98" s="52" t="inlineStr">
        <is>
          <t>1:10 Stock Split Alert! L&amp;T Backed Small Cap Stock Fixes Stock Split Record Date | How To Get Eligible?</t>
        </is>
      </c>
      <c r="D98" s="52" t="inlineStr">
        <is>
          <t>Goodreturns</t>
        </is>
      </c>
      <c r="E98" s="82" t="n">
        <v>0.624</v>
      </c>
      <c r="F98" s="52" t="inlineStr">
        <is>
          <t>Positive</t>
        </is>
      </c>
      <c r="G98" s="83" t="inlineStr">
        <is>
          <t>open ↗</t>
        </is>
      </c>
    </row>
    <row r="99">
      <c r="A99" s="52" t="inlineStr">
        <is>
          <t>MARKET</t>
        </is>
      </c>
      <c r="B99" s="52" t="inlineStr">
        <is>
          <t>2026-10-03 11:02</t>
        </is>
      </c>
      <c r="C99" s="52" t="inlineStr">
        <is>
          <t>Indian Stock Market Outlook Next Week, 5 to 9 October 2026: Sensex, Nifty May Remain Volatile Amid FII Selling</t>
        </is>
      </c>
      <c r="D99" s="52" t="inlineStr">
        <is>
          <t>Goodreturns</t>
        </is>
      </c>
      <c r="E99" s="82" t="n">
        <v>0.402</v>
      </c>
      <c r="F99" s="52" t="inlineStr">
        <is>
          <t>Positive</t>
        </is>
      </c>
      <c r="G99" s="83" t="inlineStr">
        <is>
          <t>open ↗</t>
        </is>
      </c>
    </row>
    <row r="100">
      <c r="A100" s="52" t="inlineStr">
        <is>
          <t>E2E</t>
        </is>
      </c>
      <c r="B100" s="52" t="inlineStr">
        <is>
          <t>2026-10-03 07:00</t>
        </is>
      </c>
      <c r="C100" s="52" t="inlineStr">
        <is>
          <t>Indian Listed New-Age Tech Company Tracker: Market Cap, Revenue &amp; More</t>
        </is>
      </c>
      <c r="D100" s="52" t="inlineStr">
        <is>
          <t>Inc42</t>
        </is>
      </c>
      <c r="E100" s="82" t="n">
        <v>0</v>
      </c>
      <c r="F100" s="52" t="inlineStr">
        <is>
          <t>Neutral</t>
        </is>
      </c>
      <c r="G100" s="83" t="inlineStr">
        <is>
          <t>open ↗</t>
        </is>
      </c>
    </row>
    <row r="101">
      <c r="A101" s="52" t="inlineStr">
        <is>
          <t>TDPOWERSYS</t>
        </is>
      </c>
      <c r="B101" s="52" t="inlineStr">
        <is>
          <t>2026-10-02 14:25</t>
        </is>
      </c>
      <c r="C101" s="52" t="inlineStr">
        <is>
          <t>TD Power Systems receives listing approval for equity shares worth Rs. 600 each</t>
        </is>
      </c>
      <c r="D101" s="52" t="inlineStr">
        <is>
          <t>Business Upturn</t>
        </is>
      </c>
      <c r="E101" s="82" t="n">
        <v>0.572</v>
      </c>
      <c r="F101" s="52" t="inlineStr">
        <is>
          <t>Positive</t>
        </is>
      </c>
      <c r="G101" s="83" t="inlineStr">
        <is>
          <t>open ↗</t>
        </is>
      </c>
    </row>
    <row r="102">
      <c r="A102" s="52" t="inlineStr">
        <is>
          <t>MARKET</t>
        </is>
      </c>
      <c r="B102" s="52" t="inlineStr">
        <is>
          <t>2026-10-02 12:21</t>
        </is>
      </c>
      <c r="C102" s="52" t="inlineStr">
        <is>
          <t>Sensex, Nifty Fall For Eighth Straight Week Amid FII Selling</t>
        </is>
      </c>
      <c r="D102" s="52" t="inlineStr">
        <is>
          <t>Deccan Chronicle</t>
        </is>
      </c>
      <c r="E102" s="82" t="n">
        <v>0.296</v>
      </c>
      <c r="F102" s="52" t="inlineStr">
        <is>
          <t>Positive</t>
        </is>
      </c>
      <c r="G102" s="83" t="inlineStr">
        <is>
          <t>open ↗</t>
        </is>
      </c>
    </row>
    <row r="103">
      <c r="A103" s="52" t="inlineStr">
        <is>
          <t>MARKET</t>
        </is>
      </c>
      <c r="B103" s="52" t="inlineStr">
        <is>
          <t>2026-10-02 09:56</t>
        </is>
      </c>
      <c r="C103" s="52" t="inlineStr">
        <is>
          <t>Stock Market: Sensex, Nifty Extend Losing Streak To 8th Consecutive Week Amid FII Selling, Global Risks</t>
        </is>
      </c>
      <c r="D103" s="52" t="inlineStr">
        <is>
          <t>ETV Bharat</t>
        </is>
      </c>
      <c r="E103" s="82" t="n">
        <v>-0.077</v>
      </c>
      <c r="F103" s="52" t="inlineStr">
        <is>
          <t>Neutral</t>
        </is>
      </c>
      <c r="G103" s="83" t="inlineStr">
        <is>
          <t>open ↗</t>
        </is>
      </c>
    </row>
    <row r="104">
      <c r="A104" s="52" t="inlineStr">
        <is>
          <t>TDPOWERSYS</t>
        </is>
      </c>
      <c r="B104" s="52" t="inlineStr">
        <is>
          <t>2026-10-02 09:20</t>
        </is>
      </c>
      <c r="C104" s="52" t="inlineStr">
        <is>
          <t>TD Power Systems (NSE:TDPOWERSYS): What Does the Listing Approval for 12.5 Lakh Preferential Shares Mean?</t>
        </is>
      </c>
      <c r="D104" s="52" t="inlineStr">
        <is>
          <t>Kalkine India</t>
        </is>
      </c>
      <c r="E104" s="82" t="n">
        <v>0.421</v>
      </c>
      <c r="F104" s="52" t="inlineStr">
        <is>
          <t>Positive</t>
        </is>
      </c>
      <c r="G104" s="83" t="inlineStr">
        <is>
          <t>open ↗</t>
        </is>
      </c>
    </row>
    <row r="105">
      <c r="A105" s="52" t="inlineStr">
        <is>
          <t>MARKET</t>
        </is>
      </c>
      <c r="B105" s="52" t="inlineStr">
        <is>
          <t>2026-10-02 04:58</t>
        </is>
      </c>
      <c r="C105" s="52" t="inlineStr">
        <is>
          <t>Weekly market wrap: NIFTY50, SENSEX fall up to 3% marking 8th week of loss; Bajaj Auto, Max Health among top losers</t>
        </is>
      </c>
      <c r="D105" s="52" t="inlineStr">
        <is>
          <t>Upstox</t>
        </is>
      </c>
      <c r="E105" s="82" t="n">
        <v>-0.778</v>
      </c>
      <c r="F105" s="52" t="inlineStr">
        <is>
          <t>Negative</t>
        </is>
      </c>
      <c r="G105" s="83" t="inlineStr">
        <is>
          <t>open ↗</t>
        </is>
      </c>
    </row>
    <row r="106">
      <c r="A106" s="52" t="inlineStr">
        <is>
          <t>MARKET</t>
        </is>
      </c>
      <c r="B106" s="52" t="inlineStr">
        <is>
          <t>2026-10-02 04:41</t>
        </is>
      </c>
      <c r="C106" s="52" t="inlineStr">
        <is>
          <t>Stock market holiday October 2: BSE, NSE closed for Gandhi Jayanti</t>
        </is>
      </c>
      <c r="D106" s="52" t="inlineStr">
        <is>
          <t>Telangana Today</t>
        </is>
      </c>
      <c r="E106" s="82" t="n">
        <v>0.402</v>
      </c>
      <c r="F106" s="52" t="inlineStr">
        <is>
          <t>Positive</t>
        </is>
      </c>
      <c r="G106" s="83" t="inlineStr">
        <is>
          <t>open ↗</t>
        </is>
      </c>
    </row>
    <row r="107">
      <c r="A107" s="52" t="inlineStr">
        <is>
          <t>MARKET</t>
        </is>
      </c>
      <c r="B107" s="52" t="inlineStr">
        <is>
          <t>2026-10-02 04:39</t>
        </is>
      </c>
      <c r="C107" s="52" t="inlineStr">
        <is>
          <t>Sensex Today | Stock Market Live: Sensex flat, Nifty nears 22,500; auto, media down, IT stocks gain</t>
        </is>
      </c>
      <c r="D107" s="52" t="inlineStr">
        <is>
          <t>IndiaIPO</t>
        </is>
      </c>
      <c r="E107" s="82" t="n">
        <v>0.625</v>
      </c>
      <c r="F107" s="52" t="inlineStr">
        <is>
          <t>Positive</t>
        </is>
      </c>
      <c r="G107" s="83" t="inlineStr">
        <is>
          <t>open ↗</t>
        </is>
      </c>
    </row>
    <row r="108">
      <c r="A108" s="52" t="inlineStr">
        <is>
          <t>MARKET</t>
        </is>
      </c>
      <c r="B108" s="52" t="inlineStr">
        <is>
          <t>2026-10-02 03:57</t>
        </is>
      </c>
      <c r="C108" s="52" t="inlineStr">
        <is>
          <t>Gandhi Jayanti: Are NSE, BSE closed for trading on October 2?</t>
        </is>
      </c>
      <c r="D108" s="52" t="inlineStr">
        <is>
          <t>The Times of India</t>
        </is>
      </c>
      <c r="E108" s="82" t="n">
        <v>0</v>
      </c>
      <c r="F108" s="52" t="inlineStr">
        <is>
          <t>Neutral</t>
        </is>
      </c>
      <c r="G108" s="83" t="inlineStr">
        <is>
          <t>open ↗</t>
        </is>
      </c>
    </row>
    <row r="109">
      <c r="A109" s="52" t="inlineStr">
        <is>
          <t>LAURUSLABS</t>
        </is>
      </c>
      <c r="B109" s="52" t="inlineStr">
        <is>
          <t>2026-10-02 03:53</t>
        </is>
      </c>
      <c r="C109" s="52" t="inlineStr">
        <is>
          <t>Top 2 stocks to buy or sell for short-term: Laurus Labs, Canara Bank by Chandan Taparia - Check stop-loss, targets</t>
        </is>
      </c>
      <c r="D109" s="52" t="inlineStr">
        <is>
          <t>Livemint</t>
        </is>
      </c>
      <c r="E109" s="82" t="n">
        <v>0.153</v>
      </c>
      <c r="F109" s="52" t="inlineStr">
        <is>
          <t>Neutral</t>
        </is>
      </c>
      <c r="G109" s="83" t="inlineStr">
        <is>
          <t>open ↗</t>
        </is>
      </c>
    </row>
    <row r="110">
      <c r="A110" s="52" t="inlineStr">
        <is>
          <t>MARKET</t>
        </is>
      </c>
      <c r="B110" s="52" t="inlineStr">
        <is>
          <t>2026-10-02 03:52</t>
        </is>
      </c>
      <c r="C110" s="52" t="inlineStr">
        <is>
          <t>Closing Bell: Sensex, Nifty end lower again, extend losing streak to eighth week in a row</t>
        </is>
      </c>
      <c r="D110" s="52" t="inlineStr">
        <is>
          <t>IndiaIPO</t>
        </is>
      </c>
      <c r="E110" s="82" t="n">
        <v>-0</v>
      </c>
      <c r="F110" s="52" t="inlineStr">
        <is>
          <t>Neutral</t>
        </is>
      </c>
      <c r="G110" s="83" t="inlineStr">
        <is>
          <t>open ↗</t>
        </is>
      </c>
    </row>
    <row r="111">
      <c r="A111" s="52" t="inlineStr">
        <is>
          <t>MARKET</t>
        </is>
      </c>
      <c r="B111" s="52" t="inlineStr">
        <is>
          <t>2026-10-02 03:07</t>
        </is>
      </c>
      <c r="C111" s="52" t="inlineStr">
        <is>
          <t>Is stock market open or closed today? Check NSE, BSE October 2 schedule</t>
        </is>
      </c>
      <c r="D111" s="52" t="inlineStr">
        <is>
          <t>India Today</t>
        </is>
      </c>
      <c r="E111" s="82" t="n">
        <v>0</v>
      </c>
      <c r="F111" s="52" t="inlineStr">
        <is>
          <t>Neutral</t>
        </is>
      </c>
      <c r="G111" s="83" t="inlineStr">
        <is>
          <t>open ↗</t>
        </is>
      </c>
    </row>
    <row r="112">
      <c r="A112" s="52" t="inlineStr">
        <is>
          <t>MARKET</t>
        </is>
      </c>
      <c r="B112" s="52" t="inlineStr">
        <is>
          <t>2026-10-02 01:57</t>
        </is>
      </c>
      <c r="C112" s="52" t="inlineStr">
        <is>
          <t>Stock market holiday today: Are NSE, BSE closed for Gandhi Jayanti? Check 2026 holiday list</t>
        </is>
      </c>
      <c r="D112" s="52" t="inlineStr">
        <is>
          <t>The Economic Times</t>
        </is>
      </c>
      <c r="E112" s="82" t="n">
        <v>0.66</v>
      </c>
      <c r="F112" s="52" t="inlineStr">
        <is>
          <t>Positive</t>
        </is>
      </c>
      <c r="G112" s="83" t="inlineStr">
        <is>
          <t>open ↗</t>
        </is>
      </c>
    </row>
    <row r="113">
      <c r="A113" s="52" t="inlineStr">
        <is>
          <t>MARKET</t>
        </is>
      </c>
      <c r="B113" s="52" t="inlineStr">
        <is>
          <t>2026-10-02 01:50</t>
        </is>
      </c>
      <c r="C113" s="52" t="inlineStr">
        <is>
          <t>Stock market holiday: BSE, NSE closed today for Gandhi Jayanti</t>
        </is>
      </c>
      <c r="D113" s="52" t="inlineStr">
        <is>
          <t>Business Standard</t>
        </is>
      </c>
      <c r="E113" s="82" t="n">
        <v>0.402</v>
      </c>
      <c r="F113" s="52" t="inlineStr">
        <is>
          <t>Positive</t>
        </is>
      </c>
      <c r="G113" s="83" t="inlineStr">
        <is>
          <t>open ↗</t>
        </is>
      </c>
    </row>
    <row r="114">
      <c r="A114" s="52" t="inlineStr">
        <is>
          <t>MARKET</t>
        </is>
      </c>
      <c r="B114" s="52" t="inlineStr">
        <is>
          <t>2026-10-02 00:47</t>
        </is>
      </c>
      <c r="C114" s="52" t="inlineStr">
        <is>
          <t>Stock market holiday today on October 2: BSE, NSE to remain closed for Gandhi Jayanti</t>
        </is>
      </c>
      <c r="D114" s="52" t="inlineStr">
        <is>
          <t>Moneycontrol.com</t>
        </is>
      </c>
      <c r="E114" s="82" t="n">
        <v>0.402</v>
      </c>
      <c r="F114" s="52" t="inlineStr">
        <is>
          <t>Positive</t>
        </is>
      </c>
      <c r="G114" s="83" t="inlineStr">
        <is>
          <t>open ↗</t>
        </is>
      </c>
    </row>
    <row r="115">
      <c r="A115" s="52" t="inlineStr">
        <is>
          <t>MARKET</t>
        </is>
      </c>
      <c r="B115" s="52" t="inlineStr">
        <is>
          <t>2026-10-01 17:40</t>
        </is>
      </c>
      <c r="C115" s="52" t="inlineStr">
        <is>
          <t>Indian stock market loses 8th straight week, ₹9.5 lakh crore wealth wiped out in an hour</t>
        </is>
      </c>
      <c r="D115" s="52" t="inlineStr">
        <is>
          <t>WION</t>
        </is>
      </c>
      <c r="E115" s="82" t="n">
        <v>0.421</v>
      </c>
      <c r="F115" s="52" t="inlineStr">
        <is>
          <t>Positive</t>
        </is>
      </c>
      <c r="G115" s="83" t="inlineStr">
        <is>
          <t>open ↗</t>
        </is>
      </c>
    </row>
    <row r="116">
      <c r="A116" s="52" t="inlineStr">
        <is>
          <t>MARKET</t>
        </is>
      </c>
      <c r="B116" s="52" t="inlineStr">
        <is>
          <t>2026-10-01 11:30</t>
        </is>
      </c>
      <c r="C116" s="52" t="inlineStr">
        <is>
          <t>Stock markets fall for fourth day on relentless foreign fund outflows; Sensex drops 570 points</t>
        </is>
      </c>
      <c r="D116" s="52" t="inlineStr">
        <is>
          <t>The Hindu</t>
        </is>
      </c>
      <c r="E116" s="82" t="n">
        <v>-0.296</v>
      </c>
      <c r="F116" s="52" t="inlineStr">
        <is>
          <t>Negative</t>
        </is>
      </c>
      <c r="G116" s="83" t="inlineStr">
        <is>
          <t>open ↗</t>
        </is>
      </c>
    </row>
    <row r="117">
      <c r="A117" s="52" t="inlineStr">
        <is>
          <t>MARKET</t>
        </is>
      </c>
      <c r="B117" s="52" t="inlineStr">
        <is>
          <t>2026-10-01 10:58</t>
        </is>
      </c>
      <c r="C117" s="52" t="inlineStr">
        <is>
          <t>Indian stock markets log worst weekly losing streak in 25 years, fall another 1%</t>
        </is>
      </c>
      <c r="D117" s="52" t="inlineStr">
        <is>
          <t>The Indian Express</t>
        </is>
      </c>
      <c r="E117" s="82" t="n">
        <v>-0.844</v>
      </c>
      <c r="F117" s="52" t="inlineStr">
        <is>
          <t>Negative</t>
        </is>
      </c>
      <c r="G117" s="83" t="inlineStr">
        <is>
          <t>open ↗</t>
        </is>
      </c>
    </row>
    <row r="118">
      <c r="A118" s="52" t="inlineStr">
        <is>
          <t>THANGAMAYL</t>
        </is>
      </c>
      <c r="B118" s="52" t="inlineStr">
        <is>
          <t>2026-10-01 10:31</t>
        </is>
      </c>
      <c r="C118" s="52" t="inlineStr">
        <is>
          <t>Thangamayil Jewellery Ltd Dividend History, Yield &amp; Record Date</t>
        </is>
      </c>
      <c r="D118" s="52" t="inlineStr">
        <is>
          <t>INDmoney</t>
        </is>
      </c>
      <c r="E118" s="82" t="n">
        <v>0.572</v>
      </c>
      <c r="F118" s="52" t="inlineStr">
        <is>
          <t>Positive</t>
        </is>
      </c>
      <c r="G118" s="83" t="inlineStr">
        <is>
          <t>open ↗</t>
        </is>
      </c>
    </row>
    <row r="119">
      <c r="A119" s="52" t="inlineStr">
        <is>
          <t>MARKET</t>
        </is>
      </c>
      <c r="B119" s="52" t="inlineStr">
        <is>
          <t>2026-10-01 10:03</t>
        </is>
      </c>
      <c r="C119" s="52" t="inlineStr">
        <is>
          <t>RBI rate hike expected in October? What it means for Sensex, Nifty | Experts decode</t>
        </is>
      </c>
      <c r="D119" s="52" t="inlineStr">
        <is>
          <t>Livemint</t>
        </is>
      </c>
      <c r="E119" s="82" t="n">
        <v>0.402</v>
      </c>
      <c r="F119" s="52" t="inlineStr">
        <is>
          <t>Positive</t>
        </is>
      </c>
      <c r="G119" s="83" t="inlineStr">
        <is>
          <t>open ↗</t>
        </is>
      </c>
    </row>
    <row r="120">
      <c r="A120" s="52" t="inlineStr">
        <is>
          <t>MARKET</t>
        </is>
      </c>
      <c r="B120" s="52" t="inlineStr">
        <is>
          <t>2026-10-01 09:32</t>
        </is>
      </c>
      <c r="C120" s="52" t="inlineStr">
        <is>
          <t>Sensex, Nifty outlook: Will the October series disappoint or Diwali muhurat will bring cheer in investors portfolio?</t>
        </is>
      </c>
      <c r="D120" s="52" t="inlineStr">
        <is>
          <t>Livemint</t>
        </is>
      </c>
      <c r="E120" s="82" t="n">
        <v>0.511</v>
      </c>
      <c r="F120" s="52" t="inlineStr">
        <is>
          <t>Positive</t>
        </is>
      </c>
      <c r="G120" s="83" t="inlineStr">
        <is>
          <t>open ↗</t>
        </is>
      </c>
    </row>
    <row r="121">
      <c r="A121" s="52" t="inlineStr">
        <is>
          <t>MARKET</t>
        </is>
      </c>
      <c r="B121" s="52" t="inlineStr">
        <is>
          <t>2026-10-01 09:20</t>
        </is>
      </c>
      <c r="C121" s="52" t="inlineStr">
        <is>
          <t>Why stock market was down today? Rs 6 lakh crore wiped out; Sensex, Nifty suffer worst losing streak in</t>
        </is>
      </c>
      <c r="D121" s="52" t="inlineStr">
        <is>
          <t>The Times of India</t>
        </is>
      </c>
      <c r="E121" s="82" t="n">
        <v>-0.8179999999999999</v>
      </c>
      <c r="F121" s="52" t="inlineStr">
        <is>
          <t>Negative</t>
        </is>
      </c>
      <c r="G121" s="83" t="inlineStr">
        <is>
          <t>open ↗</t>
        </is>
      </c>
    </row>
    <row r="122">
      <c r="A122" s="52" t="inlineStr">
        <is>
          <t>MARKET</t>
        </is>
      </c>
      <c r="B122" s="52" t="inlineStr">
        <is>
          <t>2026-10-01 08:50</t>
        </is>
      </c>
      <c r="C122" s="52" t="inlineStr">
        <is>
          <t>Stock Market Holiday: Are BSE, NSE open or closed for Gandhi Jayanti tomorrow? Check upcoming market holid</t>
        </is>
      </c>
      <c r="D122" s="52" t="inlineStr">
        <is>
          <t>The Economic Times</t>
        </is>
      </c>
      <c r="E122" s="82" t="n">
        <v>0.402</v>
      </c>
      <c r="F122" s="52" t="inlineStr">
        <is>
          <t>Positive</t>
        </is>
      </c>
      <c r="G122" s="83" t="inlineStr">
        <is>
          <t>open ↗</t>
        </is>
      </c>
    </row>
    <row r="123">
      <c r="A123" s="52" t="inlineStr">
        <is>
          <t>MARKET</t>
        </is>
      </c>
      <c r="B123" s="52" t="inlineStr">
        <is>
          <t>2026-10-01 08:15</t>
        </is>
      </c>
      <c r="C123" s="52" t="inlineStr">
        <is>
          <t>Sensex Crashes 1,000 Points: Rs 9 Lakh Crore Wiped Out As Foreign Investors Sell Indian Stocks En-Masse</t>
        </is>
      </c>
      <c r="D123" s="52" t="inlineStr">
        <is>
          <t>NDTV</t>
        </is>
      </c>
      <c r="E123" s="82" t="n">
        <v>-0.34</v>
      </c>
      <c r="F123" s="52" t="inlineStr">
        <is>
          <t>Negative</t>
        </is>
      </c>
      <c r="G123" s="83" t="inlineStr">
        <is>
          <t>open ↗</t>
        </is>
      </c>
    </row>
    <row r="124">
      <c r="A124" s="52" t="inlineStr">
        <is>
          <t>MARKET</t>
        </is>
      </c>
      <c r="B124" s="52" t="inlineStr">
        <is>
          <t>2026-10-01 07:51</t>
        </is>
      </c>
      <c r="C124" s="52" t="inlineStr">
        <is>
          <t>Another stock market crash: Nifty, Sensex tank - FII selling, high bond yields, among 5 reasons behind big plunge</t>
        </is>
      </c>
      <c r="D124" s="52" t="inlineStr">
        <is>
          <t>Livemint</t>
        </is>
      </c>
      <c r="E124" s="82" t="n">
        <v>-0.586</v>
      </c>
      <c r="F124" s="52" t="inlineStr">
        <is>
          <t>Negative</t>
        </is>
      </c>
      <c r="G124" s="83" t="inlineStr">
        <is>
          <t>open ↗</t>
        </is>
      </c>
    </row>
    <row r="125">
      <c r="A125" s="52" t="inlineStr">
        <is>
          <t>MARKET</t>
        </is>
      </c>
      <c r="B125" s="52" t="inlineStr">
        <is>
          <t>2026-10-01 07:45</t>
        </is>
      </c>
      <c r="C125" s="52" t="inlineStr">
        <is>
          <t>Over Rs 10,00,00,00,00,000 Wiped Out! Sensex Crashes 1,000 Points, Nifty 50 Slips Below 22,300</t>
        </is>
      </c>
      <c r="D125" s="52" t="inlineStr">
        <is>
          <t>NDTV Profit</t>
        </is>
      </c>
      <c r="E125" s="82" t="n">
        <v>0.151</v>
      </c>
      <c r="F125" s="52" t="inlineStr">
        <is>
          <t>Neutral</t>
        </is>
      </c>
      <c r="G125" s="83" t="inlineStr">
        <is>
          <t>open ↗</t>
        </is>
      </c>
    </row>
    <row r="126">
      <c r="A126" s="52" t="inlineStr">
        <is>
          <t>MARKET</t>
        </is>
      </c>
      <c r="B126" s="52" t="inlineStr">
        <is>
          <t>2026-10-01 07:34</t>
        </is>
      </c>
      <c r="C126" s="52" t="inlineStr">
        <is>
          <t>Why did market crash today? Sensex drops 571 points, Nifty nears 22,450. 5 key factors behind Rs 5 lakh cr</t>
        </is>
      </c>
      <c r="D126" s="52" t="inlineStr">
        <is>
          <t>The Economic Times</t>
        </is>
      </c>
      <c r="E126" s="82" t="n">
        <v>-0.273</v>
      </c>
      <c r="F126" s="52" t="inlineStr">
        <is>
          <t>Negative</t>
        </is>
      </c>
      <c r="G126" s="83" t="inlineStr">
        <is>
          <t>open ↗</t>
        </is>
      </c>
    </row>
    <row r="127">
      <c r="A127" s="52" t="inlineStr">
        <is>
          <t>TDPOWERSYS</t>
        </is>
      </c>
      <c r="B127" s="52" t="inlineStr">
        <is>
          <t>2026-10-01 07:00</t>
        </is>
      </c>
      <c r="C127" s="52" t="inlineStr">
        <is>
          <t>TD Power Systems Share Price update: fundamentals in focus</t>
        </is>
      </c>
      <c r="D127" s="52" t="inlineStr">
        <is>
          <t>Univest</t>
        </is>
      </c>
      <c r="E127" s="82" t="n">
        <v>0</v>
      </c>
      <c r="F127" s="52" t="inlineStr">
        <is>
          <t>Neutral</t>
        </is>
      </c>
      <c r="G127" s="83" t="inlineStr">
        <is>
          <t>open ↗</t>
        </is>
      </c>
    </row>
    <row r="128">
      <c r="A128" s="52" t="inlineStr">
        <is>
          <t>ATHERENERG</t>
        </is>
      </c>
      <c r="B128" s="52" t="inlineStr">
        <is>
          <t>2026-10-01 07:00</t>
        </is>
      </c>
      <c r="C128" s="52" t="inlineStr">
        <is>
          <t>Ather Energy Share Price Falls 2.09%: Valuation View</t>
        </is>
      </c>
      <c r="D128" s="52" t="inlineStr">
        <is>
          <t>Univest</t>
        </is>
      </c>
      <c r="E128" s="82" t="n">
        <v>-0.128</v>
      </c>
      <c r="F128" s="52" t="inlineStr">
        <is>
          <t>Neutral</t>
        </is>
      </c>
      <c r="G128" s="83" t="inlineStr">
        <is>
          <t>open ↗</t>
        </is>
      </c>
    </row>
    <row r="129">
      <c r="A129" s="52" t="inlineStr">
        <is>
          <t>ACUTAAS</t>
        </is>
      </c>
      <c r="B129" s="52" t="inlineStr">
        <is>
          <t>2026-10-01 07:00</t>
        </is>
      </c>
      <c r="C129" s="52" t="inlineStr">
        <is>
          <t>ACUTAAS: Slightly Higher Fair Value Rests On Growth Holding Up</t>
        </is>
      </c>
      <c r="D129" s="52" t="inlineStr">
        <is>
          <t>Simply Wall Street</t>
        </is>
      </c>
      <c r="E129" s="82" t="n">
        <v>0.6870000000000001</v>
      </c>
      <c r="F129" s="52" t="inlineStr">
        <is>
          <t>Positive</t>
        </is>
      </c>
      <c r="G129" s="83" t="inlineStr">
        <is>
          <t>open ↗</t>
        </is>
      </c>
    </row>
    <row r="130">
      <c r="A130" s="52" t="inlineStr">
        <is>
          <t>E2E</t>
        </is>
      </c>
      <c r="B130" s="52" t="inlineStr">
        <is>
          <t>2026-10-01 07:00</t>
        </is>
      </c>
      <c r="C130" s="52" t="inlineStr">
        <is>
          <t>Larsen &amp; Toubro (NSEI:LT) Stock Forecast &amp; Analyst Predictions</t>
        </is>
      </c>
      <c r="D130" s="52" t="inlineStr">
        <is>
          <t>Simply Wall Street</t>
        </is>
      </c>
      <c r="E130" s="82" t="n">
        <v>0</v>
      </c>
      <c r="F130" s="52" t="inlineStr">
        <is>
          <t>Neutral</t>
        </is>
      </c>
      <c r="G130" s="83" t="inlineStr">
        <is>
          <t>open ↗</t>
        </is>
      </c>
    </row>
    <row r="131">
      <c r="A131" s="52" t="inlineStr">
        <is>
          <t>LAURUSLABS</t>
        </is>
      </c>
      <c r="B131" s="52" t="inlineStr">
        <is>
          <t>2026-10-01 07:00</t>
        </is>
      </c>
      <c r="C131" s="52" t="inlineStr">
        <is>
          <t>LAURUSLABS Outlook for the Week</t>
        </is>
      </c>
      <c r="D131" s="52" t="inlineStr">
        <is>
          <t>Equitypandit</t>
        </is>
      </c>
      <c r="E131" s="82" t="n">
        <v>0</v>
      </c>
      <c r="F131" s="52" t="inlineStr">
        <is>
          <t>Neutral</t>
        </is>
      </c>
      <c r="G131" s="83" t="inlineStr">
        <is>
          <t>open ↗</t>
        </is>
      </c>
    </row>
    <row r="132">
      <c r="A132" s="52" t="inlineStr">
        <is>
          <t>LAURUSLABS</t>
        </is>
      </c>
      <c r="B132" s="52" t="inlineStr">
        <is>
          <t>2026-10-01 07:00</t>
        </is>
      </c>
      <c r="C132" s="52" t="inlineStr">
        <is>
          <t>LAURUS LABS LIMITED Option Chain - Live LAURUS LABS LIMITED Option Chain Data, OI &amp; Price</t>
        </is>
      </c>
      <c r="D132" s="52" t="inlineStr">
        <is>
          <t>Upstox</t>
        </is>
      </c>
      <c r="E132" s="82" t="n">
        <v>-0.645</v>
      </c>
      <c r="F132" s="52" t="inlineStr">
        <is>
          <t>Negative</t>
        </is>
      </c>
      <c r="G132" s="83" t="inlineStr">
        <is>
          <t>open ↗</t>
        </is>
      </c>
    </row>
    <row r="133">
      <c r="A133" s="52" t="inlineStr">
        <is>
          <t>MARKET</t>
        </is>
      </c>
      <c r="B133" s="52" t="inlineStr">
        <is>
          <t>2026-10-01 04:19</t>
        </is>
      </c>
      <c r="C133" s="52" t="inlineStr">
        <is>
          <t>Equity markets fall for 8 consecutive weeks for first time in 25 years; key factors behind decline</t>
        </is>
      </c>
      <c r="D133" s="52" t="inlineStr">
        <is>
          <t>Moneycontrol.com</t>
        </is>
      </c>
      <c r="E133" s="82" t="n">
        <v>-0.612</v>
      </c>
      <c r="F133" s="52" t="inlineStr">
        <is>
          <t>Negative</t>
        </is>
      </c>
      <c r="G133" s="83" t="inlineStr">
        <is>
          <t>open ↗</t>
        </is>
      </c>
    </row>
    <row r="134">
      <c r="A134" s="52" t="inlineStr">
        <is>
          <t>MARKET</t>
        </is>
      </c>
      <c r="B134" s="52" t="inlineStr">
        <is>
          <t>2026-10-01 03:46</t>
        </is>
      </c>
      <c r="C134" s="52" t="inlineStr">
        <is>
          <t>Sensex tumbles 1,000 points, Nifty cracks 22,300 in afternoon selloff | Business News</t>
        </is>
      </c>
      <c r="D134" s="52" t="inlineStr">
        <is>
          <t>Hindustan Times</t>
        </is>
      </c>
      <c r="E134" s="82" t="n">
        <v>-0.128</v>
      </c>
      <c r="F134" s="52" t="inlineStr">
        <is>
          <t>Neutral</t>
        </is>
      </c>
      <c r="G134" s="83" t="inlineStr">
        <is>
          <t>open ↗</t>
        </is>
      </c>
    </row>
    <row r="135">
      <c r="A135" s="52" t="inlineStr">
        <is>
          <t>MARKET</t>
        </is>
      </c>
      <c r="B135" s="52" t="inlineStr">
        <is>
          <t>2026-10-01 01:20</t>
        </is>
      </c>
      <c r="C135" s="52" t="inlineStr">
        <is>
          <t>Stock market outlook today, 1 Oct: Sensex, Nifty prediction - DJIA, S&amp;P, NASDAQ, GIFT Nifty, Kospi, Nikkei, Taiwan cues</t>
        </is>
      </c>
      <c r="D135" s="52" t="inlineStr">
        <is>
          <t>Livemint</t>
        </is>
      </c>
      <c r="E135" s="82" t="n">
        <v>0.842</v>
      </c>
      <c r="F135" s="52" t="inlineStr">
        <is>
          <t>Positive</t>
        </is>
      </c>
      <c r="G135" s="83" t="inlineStr">
        <is>
          <t>open ↗</t>
        </is>
      </c>
    </row>
  </sheetData>
  <mergeCells count="2">
    <mergeCell ref="A2:G2"/>
    <mergeCell ref="A1:G1"/>
  </mergeCells>
  <conditionalFormatting sqref="E5:E135">
    <cfRule type="colorScale" priority="1">
      <colorScale>
        <cfvo type="num" val="-1"/>
        <cfvo type="num" val="0"/>
        <cfvo type="num" val="1"/>
        <color rgb="00F8696B"/>
        <color rgb="00FFFFFF"/>
        <color rgb="0063BE7B"/>
      </colorScale>
    </cfRule>
  </conditionalFormatting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  <hyperlink xmlns:r="http://schemas.openxmlformats.org/officeDocument/2006/relationships" ref="G14" r:id="rId10"/>
    <hyperlink xmlns:r="http://schemas.openxmlformats.org/officeDocument/2006/relationships" ref="G15" r:id="rId11"/>
    <hyperlink xmlns:r="http://schemas.openxmlformats.org/officeDocument/2006/relationships" ref="G16" r:id="rId12"/>
    <hyperlink xmlns:r="http://schemas.openxmlformats.org/officeDocument/2006/relationships" ref="G17" r:id="rId13"/>
    <hyperlink xmlns:r="http://schemas.openxmlformats.org/officeDocument/2006/relationships" ref="G18" r:id="rId14"/>
    <hyperlink xmlns:r="http://schemas.openxmlformats.org/officeDocument/2006/relationships" ref="G19" r:id="rId15"/>
    <hyperlink xmlns:r="http://schemas.openxmlformats.org/officeDocument/2006/relationships" ref="G20" r:id="rId16"/>
    <hyperlink xmlns:r="http://schemas.openxmlformats.org/officeDocument/2006/relationships" ref="G21" r:id="rId17"/>
    <hyperlink xmlns:r="http://schemas.openxmlformats.org/officeDocument/2006/relationships" ref="G22" r:id="rId18"/>
    <hyperlink xmlns:r="http://schemas.openxmlformats.org/officeDocument/2006/relationships" ref="G23" r:id="rId19"/>
    <hyperlink xmlns:r="http://schemas.openxmlformats.org/officeDocument/2006/relationships" ref="G24" r:id="rId20"/>
    <hyperlink xmlns:r="http://schemas.openxmlformats.org/officeDocument/2006/relationships" ref="G25" r:id="rId21"/>
    <hyperlink xmlns:r="http://schemas.openxmlformats.org/officeDocument/2006/relationships" ref="G26" r:id="rId22"/>
    <hyperlink xmlns:r="http://schemas.openxmlformats.org/officeDocument/2006/relationships" ref="G27" r:id="rId23"/>
    <hyperlink xmlns:r="http://schemas.openxmlformats.org/officeDocument/2006/relationships" ref="G28" r:id="rId24"/>
    <hyperlink xmlns:r="http://schemas.openxmlformats.org/officeDocument/2006/relationships" ref="G29" r:id="rId25"/>
    <hyperlink xmlns:r="http://schemas.openxmlformats.org/officeDocument/2006/relationships" ref="G30" r:id="rId26"/>
    <hyperlink xmlns:r="http://schemas.openxmlformats.org/officeDocument/2006/relationships" ref="G31" r:id="rId27"/>
    <hyperlink xmlns:r="http://schemas.openxmlformats.org/officeDocument/2006/relationships" ref="G32" r:id="rId28"/>
    <hyperlink xmlns:r="http://schemas.openxmlformats.org/officeDocument/2006/relationships" ref="G33" r:id="rId29"/>
    <hyperlink xmlns:r="http://schemas.openxmlformats.org/officeDocument/2006/relationships" ref="G34" r:id="rId30"/>
    <hyperlink xmlns:r="http://schemas.openxmlformats.org/officeDocument/2006/relationships" ref="G35" r:id="rId31"/>
    <hyperlink xmlns:r="http://schemas.openxmlformats.org/officeDocument/2006/relationships" ref="G36" r:id="rId32"/>
    <hyperlink xmlns:r="http://schemas.openxmlformats.org/officeDocument/2006/relationships" ref="G37" r:id="rId33"/>
    <hyperlink xmlns:r="http://schemas.openxmlformats.org/officeDocument/2006/relationships" ref="G38" r:id="rId34"/>
    <hyperlink xmlns:r="http://schemas.openxmlformats.org/officeDocument/2006/relationships" ref="G39" r:id="rId35"/>
    <hyperlink xmlns:r="http://schemas.openxmlformats.org/officeDocument/2006/relationships" ref="G40" r:id="rId36"/>
    <hyperlink xmlns:r="http://schemas.openxmlformats.org/officeDocument/2006/relationships" ref="G41" r:id="rId37"/>
    <hyperlink xmlns:r="http://schemas.openxmlformats.org/officeDocument/2006/relationships" ref="G42" r:id="rId38"/>
    <hyperlink xmlns:r="http://schemas.openxmlformats.org/officeDocument/2006/relationships" ref="G43" r:id="rId39"/>
    <hyperlink xmlns:r="http://schemas.openxmlformats.org/officeDocument/2006/relationships" ref="G44" r:id="rId40"/>
    <hyperlink xmlns:r="http://schemas.openxmlformats.org/officeDocument/2006/relationships" ref="G45" r:id="rId41"/>
    <hyperlink xmlns:r="http://schemas.openxmlformats.org/officeDocument/2006/relationships" ref="G46" r:id="rId42"/>
    <hyperlink xmlns:r="http://schemas.openxmlformats.org/officeDocument/2006/relationships" ref="G47" r:id="rId43"/>
    <hyperlink xmlns:r="http://schemas.openxmlformats.org/officeDocument/2006/relationships" ref="G48" r:id="rId44"/>
    <hyperlink xmlns:r="http://schemas.openxmlformats.org/officeDocument/2006/relationships" ref="G49" r:id="rId45"/>
    <hyperlink xmlns:r="http://schemas.openxmlformats.org/officeDocument/2006/relationships" ref="G50" r:id="rId46"/>
    <hyperlink xmlns:r="http://schemas.openxmlformats.org/officeDocument/2006/relationships" ref="G51" r:id="rId47"/>
    <hyperlink xmlns:r="http://schemas.openxmlformats.org/officeDocument/2006/relationships" ref="G52" r:id="rId48"/>
    <hyperlink xmlns:r="http://schemas.openxmlformats.org/officeDocument/2006/relationships" ref="G53" r:id="rId49"/>
    <hyperlink xmlns:r="http://schemas.openxmlformats.org/officeDocument/2006/relationships" ref="G54" r:id="rId50"/>
    <hyperlink xmlns:r="http://schemas.openxmlformats.org/officeDocument/2006/relationships" ref="G55" r:id="rId51"/>
    <hyperlink xmlns:r="http://schemas.openxmlformats.org/officeDocument/2006/relationships" ref="G56" r:id="rId52"/>
    <hyperlink xmlns:r="http://schemas.openxmlformats.org/officeDocument/2006/relationships" ref="G57" r:id="rId53"/>
    <hyperlink xmlns:r="http://schemas.openxmlformats.org/officeDocument/2006/relationships" ref="G58" r:id="rId54"/>
    <hyperlink xmlns:r="http://schemas.openxmlformats.org/officeDocument/2006/relationships" ref="G59" r:id="rId55"/>
    <hyperlink xmlns:r="http://schemas.openxmlformats.org/officeDocument/2006/relationships" ref="G60" r:id="rId56"/>
    <hyperlink xmlns:r="http://schemas.openxmlformats.org/officeDocument/2006/relationships" ref="G61" r:id="rId57"/>
    <hyperlink xmlns:r="http://schemas.openxmlformats.org/officeDocument/2006/relationships" ref="G62" r:id="rId58"/>
    <hyperlink xmlns:r="http://schemas.openxmlformats.org/officeDocument/2006/relationships" ref="G63" r:id="rId59"/>
    <hyperlink xmlns:r="http://schemas.openxmlformats.org/officeDocument/2006/relationships" ref="G64" r:id="rId60"/>
    <hyperlink xmlns:r="http://schemas.openxmlformats.org/officeDocument/2006/relationships" ref="G65" r:id="rId61"/>
    <hyperlink xmlns:r="http://schemas.openxmlformats.org/officeDocument/2006/relationships" ref="G66" r:id="rId62"/>
    <hyperlink xmlns:r="http://schemas.openxmlformats.org/officeDocument/2006/relationships" ref="G67" r:id="rId63"/>
    <hyperlink xmlns:r="http://schemas.openxmlformats.org/officeDocument/2006/relationships" ref="G68" r:id="rId64"/>
    <hyperlink xmlns:r="http://schemas.openxmlformats.org/officeDocument/2006/relationships" ref="G69" r:id="rId65"/>
    <hyperlink xmlns:r="http://schemas.openxmlformats.org/officeDocument/2006/relationships" ref="G70" r:id="rId66"/>
    <hyperlink xmlns:r="http://schemas.openxmlformats.org/officeDocument/2006/relationships" ref="G71" r:id="rId67"/>
    <hyperlink xmlns:r="http://schemas.openxmlformats.org/officeDocument/2006/relationships" ref="G72" r:id="rId68"/>
    <hyperlink xmlns:r="http://schemas.openxmlformats.org/officeDocument/2006/relationships" ref="G73" r:id="rId69"/>
    <hyperlink xmlns:r="http://schemas.openxmlformats.org/officeDocument/2006/relationships" ref="G74" r:id="rId70"/>
    <hyperlink xmlns:r="http://schemas.openxmlformats.org/officeDocument/2006/relationships" ref="G75" r:id="rId71"/>
    <hyperlink xmlns:r="http://schemas.openxmlformats.org/officeDocument/2006/relationships" ref="G76" r:id="rId72"/>
    <hyperlink xmlns:r="http://schemas.openxmlformats.org/officeDocument/2006/relationships" ref="G77" r:id="rId73"/>
    <hyperlink xmlns:r="http://schemas.openxmlformats.org/officeDocument/2006/relationships" ref="G78" r:id="rId74"/>
    <hyperlink xmlns:r="http://schemas.openxmlformats.org/officeDocument/2006/relationships" ref="G79" r:id="rId75"/>
    <hyperlink xmlns:r="http://schemas.openxmlformats.org/officeDocument/2006/relationships" ref="G80" r:id="rId76"/>
    <hyperlink xmlns:r="http://schemas.openxmlformats.org/officeDocument/2006/relationships" ref="G81" r:id="rId77"/>
    <hyperlink xmlns:r="http://schemas.openxmlformats.org/officeDocument/2006/relationships" ref="G82" r:id="rId78"/>
    <hyperlink xmlns:r="http://schemas.openxmlformats.org/officeDocument/2006/relationships" ref="G83" r:id="rId79"/>
    <hyperlink xmlns:r="http://schemas.openxmlformats.org/officeDocument/2006/relationships" ref="G84" r:id="rId80"/>
    <hyperlink xmlns:r="http://schemas.openxmlformats.org/officeDocument/2006/relationships" ref="G85" r:id="rId81"/>
    <hyperlink xmlns:r="http://schemas.openxmlformats.org/officeDocument/2006/relationships" ref="G86" r:id="rId82"/>
    <hyperlink xmlns:r="http://schemas.openxmlformats.org/officeDocument/2006/relationships" ref="G87" r:id="rId83"/>
    <hyperlink xmlns:r="http://schemas.openxmlformats.org/officeDocument/2006/relationships" ref="G88" r:id="rId84"/>
    <hyperlink xmlns:r="http://schemas.openxmlformats.org/officeDocument/2006/relationships" ref="G89" r:id="rId85"/>
    <hyperlink xmlns:r="http://schemas.openxmlformats.org/officeDocument/2006/relationships" ref="G90" r:id="rId86"/>
    <hyperlink xmlns:r="http://schemas.openxmlformats.org/officeDocument/2006/relationships" ref="G91" r:id="rId87"/>
    <hyperlink xmlns:r="http://schemas.openxmlformats.org/officeDocument/2006/relationships" ref="G92" r:id="rId88"/>
    <hyperlink xmlns:r="http://schemas.openxmlformats.org/officeDocument/2006/relationships" ref="G93" r:id="rId89"/>
    <hyperlink xmlns:r="http://schemas.openxmlformats.org/officeDocument/2006/relationships" ref="G94" r:id="rId90"/>
    <hyperlink xmlns:r="http://schemas.openxmlformats.org/officeDocument/2006/relationships" ref="G95" r:id="rId91"/>
    <hyperlink xmlns:r="http://schemas.openxmlformats.org/officeDocument/2006/relationships" ref="G96" r:id="rId92"/>
    <hyperlink xmlns:r="http://schemas.openxmlformats.org/officeDocument/2006/relationships" ref="G97" r:id="rId93"/>
    <hyperlink xmlns:r="http://schemas.openxmlformats.org/officeDocument/2006/relationships" ref="G98" r:id="rId94"/>
    <hyperlink xmlns:r="http://schemas.openxmlformats.org/officeDocument/2006/relationships" ref="G99" r:id="rId95"/>
    <hyperlink xmlns:r="http://schemas.openxmlformats.org/officeDocument/2006/relationships" ref="G100" r:id="rId96"/>
    <hyperlink xmlns:r="http://schemas.openxmlformats.org/officeDocument/2006/relationships" ref="G101" r:id="rId97"/>
    <hyperlink xmlns:r="http://schemas.openxmlformats.org/officeDocument/2006/relationships" ref="G102" r:id="rId98"/>
    <hyperlink xmlns:r="http://schemas.openxmlformats.org/officeDocument/2006/relationships" ref="G103" r:id="rId99"/>
    <hyperlink xmlns:r="http://schemas.openxmlformats.org/officeDocument/2006/relationships" ref="G104" r:id="rId100"/>
    <hyperlink xmlns:r="http://schemas.openxmlformats.org/officeDocument/2006/relationships" ref="G105" r:id="rId101"/>
    <hyperlink xmlns:r="http://schemas.openxmlformats.org/officeDocument/2006/relationships" ref="G106" r:id="rId102"/>
    <hyperlink xmlns:r="http://schemas.openxmlformats.org/officeDocument/2006/relationships" ref="G107" r:id="rId103"/>
    <hyperlink xmlns:r="http://schemas.openxmlformats.org/officeDocument/2006/relationships" ref="G108" r:id="rId104"/>
    <hyperlink xmlns:r="http://schemas.openxmlformats.org/officeDocument/2006/relationships" ref="G109" r:id="rId105"/>
    <hyperlink xmlns:r="http://schemas.openxmlformats.org/officeDocument/2006/relationships" ref="G110" r:id="rId106"/>
    <hyperlink xmlns:r="http://schemas.openxmlformats.org/officeDocument/2006/relationships" ref="G111" r:id="rId107"/>
    <hyperlink xmlns:r="http://schemas.openxmlformats.org/officeDocument/2006/relationships" ref="G112" r:id="rId108"/>
    <hyperlink xmlns:r="http://schemas.openxmlformats.org/officeDocument/2006/relationships" ref="G113" r:id="rId109"/>
    <hyperlink xmlns:r="http://schemas.openxmlformats.org/officeDocument/2006/relationships" ref="G114" r:id="rId110"/>
    <hyperlink xmlns:r="http://schemas.openxmlformats.org/officeDocument/2006/relationships" ref="G115" r:id="rId111"/>
    <hyperlink xmlns:r="http://schemas.openxmlformats.org/officeDocument/2006/relationships" ref="G116" r:id="rId112"/>
    <hyperlink xmlns:r="http://schemas.openxmlformats.org/officeDocument/2006/relationships" ref="G117" r:id="rId113"/>
    <hyperlink xmlns:r="http://schemas.openxmlformats.org/officeDocument/2006/relationships" ref="G118" r:id="rId114"/>
    <hyperlink xmlns:r="http://schemas.openxmlformats.org/officeDocument/2006/relationships" ref="G119" r:id="rId115"/>
    <hyperlink xmlns:r="http://schemas.openxmlformats.org/officeDocument/2006/relationships" ref="G120" r:id="rId116"/>
    <hyperlink xmlns:r="http://schemas.openxmlformats.org/officeDocument/2006/relationships" ref="G121" r:id="rId117"/>
    <hyperlink xmlns:r="http://schemas.openxmlformats.org/officeDocument/2006/relationships" ref="G122" r:id="rId118"/>
    <hyperlink xmlns:r="http://schemas.openxmlformats.org/officeDocument/2006/relationships" ref="G123" r:id="rId119"/>
    <hyperlink xmlns:r="http://schemas.openxmlformats.org/officeDocument/2006/relationships" ref="G124" r:id="rId120"/>
    <hyperlink xmlns:r="http://schemas.openxmlformats.org/officeDocument/2006/relationships" ref="G125" r:id="rId121"/>
    <hyperlink xmlns:r="http://schemas.openxmlformats.org/officeDocument/2006/relationships" ref="G126" r:id="rId122"/>
    <hyperlink xmlns:r="http://schemas.openxmlformats.org/officeDocument/2006/relationships" ref="G127" r:id="rId123"/>
    <hyperlink xmlns:r="http://schemas.openxmlformats.org/officeDocument/2006/relationships" ref="G128" r:id="rId124"/>
    <hyperlink xmlns:r="http://schemas.openxmlformats.org/officeDocument/2006/relationships" ref="G129" r:id="rId125"/>
    <hyperlink xmlns:r="http://schemas.openxmlformats.org/officeDocument/2006/relationships" ref="G130" r:id="rId126"/>
    <hyperlink xmlns:r="http://schemas.openxmlformats.org/officeDocument/2006/relationships" ref="G131" r:id="rId127"/>
    <hyperlink xmlns:r="http://schemas.openxmlformats.org/officeDocument/2006/relationships" ref="G132" r:id="rId128"/>
    <hyperlink xmlns:r="http://schemas.openxmlformats.org/officeDocument/2006/relationships" ref="G133" r:id="rId129"/>
    <hyperlink xmlns:r="http://schemas.openxmlformats.org/officeDocument/2006/relationships" ref="G134" r:id="rId130"/>
    <hyperlink xmlns:r="http://schemas.openxmlformats.org/officeDocument/2006/relationships" ref="G135" r:id="rId131"/>
  </hyperlink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A5"/>
  <sheetViews>
    <sheetView workbookViewId="0">
      <selection activeCell="A1" sqref="A1"/>
    </sheetView>
  </sheetViews>
  <sheetFormatPr baseColWidth="8" defaultRowHeight="15"/>
  <sheetData>
    <row r="1">
      <c r="A1" t="inlineStr">
        <is>
          <t>{"batch": {"batch_id": "2026-09-28", "title": "SwingScope batch 2026-09-28", "signal_date": "2026-09-28", "exit_date_est": "2026-10-27", "hold_sessions": 21, "universe": "liquidity top 400 of all NSE stocks", "capital": 139903.0, "est_costs": 859.0, "cost_pct": 0.6, "regime": "Down", "regime_note": "the signal's weakest regime historically", "warnings": "0 of 10", "evidence": ["Backtest, 2017\u20132026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dates", "Live record | No results yet | The first live result arrives when this system finishes its first batch. Live results are kept apart from the backtest and never mixed in."], "stocks": [{"rank": 1, "symbol": "TDPOWERSYS", "isin": "INE419M01035", "qty": 20, "last_close": 722.0, "amount": 14440.0, "spark_12m": "2.0,31.7 2.4,32.0 2.9,31.7 3.3,31.1 3.7,31.1 4.2,31.1 4.6,31.0 5.0,30.6 5.4,30.4 5.9,29.2 6.3,29.3 6.7,29.5 7.2,29.8 7.6,30.1 8.0,30.4 8.5,30.5 8.9,30.3 9.3,29.4 9.7,29.3 10.2,28.8 10.6,29.1 11.0,28.9 11.5,29.1 11.9,29.2 12.3,29.1 12.8,29.0 13.2,28.4 13.6,28.0 14.0,25.5 14.5,24.3 14.9,24.2 15.3,24.8 15.8,25.3 16.2,25.2 16.6,25.4 17.1,24.2 17.5,25.4 17.9,25.2 18.4,25.2 18.8,25.7 19.2,25.8 19.6,25.9 20.1,26.9 20.5,25.8 20.9,25.9 21.4,24.9 21.8,24.9 22.2,25.4 22.7,25.0 23.1,25.0 23.5,25.8 23.9,26.8 24.4,27.7 24.8,28.3 25.2,27.7 25.7,28.1 26.1,28.2 26.5,27.9 27.0,27.6 27.4,27.9 27.8,27.1 28.2,27.6 28.7,27.1 29.1,26.4 29.5,26.7 30.0,27.0 30.4,27.3 30.8,27.7 31.3,27.5 31.7,27.5 32.1,28.3 32.5,28.0 33.0,27.7 33.4,27.9 33.8,27.5 34.3,27.9 34.7,28.3 35.1,28.8 35.6,27.9 36.0,28.2 36.4,28.5 36.9,28.7 37.3,29.2 37.7,29.4 38.1,29.5 38.6,29.7 39.0,29.6 39.4,28.8 39.9,28.2 40.3,26.7 40.7,26.2 41.2,24.3 41.6,24.1 42.0,24.5 42.4,25.2 42.9,24.8 43.3,23.3 43.7,22.8 44.2,23.4 44.6,23.8 45.0,23.1 45.5,22.8 45.9,22.8 46.3,22.4 46.7,22.4 47.2,21.8 47.6,22.3 48.0,22.5 48.5,22.5 48.9,21.8 49.3,22.2 49.8,22.6 50.2,22.4 50.6,22.5 51.1,23.5 51.5,24.3 51.9,24.7 52.3,24.4 52.8,25.3 53.2,24.9 53.6,24.3 54.1,23.7 54.5,23.8 54.9,23.0 55.4,24.2 55.8,23.1 56.2,22.3 56.6,23.4 57.1,23.3 57.5,23.0 57.9,23.0 58.4,22.5 58.8,22.5 59.2,22.4 59.7,22.6 60.1,21.2 60.5,21.5 60.9,20.8 61.4,20.0 61.8,19.2 62.2,18.3 62.7,18.6 63.1,17.4 63.5,17.2 64.0,16.0 64.4,16.6 64.8,15.0 65.3,15.0 65.7,14.8 66.1,14.6 66.5,14.2 67.0,14.5 67.4,12.2 67.8,13.0 68.3,14.1 68.7,14.4 69.1,14.2 69.6,14.0 70.0,10.4 70.4,9.9 70.8,11.9 71.3,12.6 71.7,10.6 72.1,10.8 72.6,10.7 73.0,8.8 73.4,9.8 73.9,10.2 74.3,12.7 74.7,12.5 75.1,11.1 75.6,10.0 76.0,10.3 76.4,12.8 76.9,12.6 77.3,14.8 77.7,15.6 78.2,13.7 78.6,13.6 79.0,14.4 79.5,12.7 79.9,11.6 80.3,11.5 80.7,10.0 81.2,9.2 81.6,11.7 82.0,12.0 82.5,12.6 82.9,12.4 83.3,13.7 83.8,13.8 84.2,16.6 84.6,14.2 85.0,15.7 85.5,16.9 85.9,16.6 86.3,14.9 86.8,14.9 87.2,15.6 87.6,14.2 88.1,15.6 88.5,15.5 88.9,15.2 89.3,15.5 89.8,14.6 90.2,15.2 90.6,15.9 91.1,15.2 91.5,15.9 91.9,18.1 92.4,17.5 92.8,15.5 93.2,16.0 93.6,15.5 94.1,13.5 94.5,12.7 94.9,11.8 95.4,12.5 95.8,11.4 96.2,5.6 96.7,5.6 97.1,5.5 97.5,3.7 98.0,2.7 98.4,3.8 98.8,4.9 99.2,4.1 99.7,3.4 100.1,6.2 100.5,6.3 101.0,5.6 101.4,4.9 101.8,3.6 102.3,4.6 102.7,5.9 103.1,6.6 103.5,5.6 104.0,6.0 104.4,4.0 104.8,4.8 105.3,4.4 105.7,2.0 106.1,6.5 106.6,8.1 107.0,6.7 107.4,4.3 107.8,5.2 108.3,4.7 108.7,4.2 109.1,5.5 109.6,5.0 110.0,6.7", "ret_12_1": 177.0, "ret_6_1": 72.2, "ret_3_1": 19.6, "volatility": 60.1, "traded_daily_cr": 128.0, "watch": "Nothing flagged", "from_12m_high": -10.3, "signal_rank": 6, "data_quality": "Green"}, {"rank": 2, "symbol": "AEROFLEX", "isin": "INE024001021", "qty": 29, "last_close": 513.4, "amount": 14889.0, "spark_12m": "2.0,29.8 2.4,29.6 2.9,29.5 3.3,30.0 3.7,30.1 4.2,30.5 4.6,30.8 5.0,30.9 5.4,30.9 5.9,30.5 6.3,30.7 6.7,30.8 7.2,30.9 7.6,31.0 8.0,31.0 8.5,31.1 8.9,31.2 9.3,31.2 9.7,31.2 10.2,31.2 10.6,31.4 11.0,31.1 11.5,31.0 11.9,31.0 12.3,31.0 12.8,30.1 13.2,30.1 13.6,30.5 14.0,30.0 14.5,29.8 14.9,30.3 15.3,30.5 15.8,30.0 16.2,30.0 16.6,30.2 17.1,30.2 17.5,30.1 17.9,29.9 18.4,30.1 18.8,30.3 19.2,30.2 19.6,30.2 20.1,30.5 20.5,30.9 20.9,30.2 21.4,30.2 21.8,30.4 22.2,30.0 22.7,30.2 23.1,30.3 23.5,30.6 23.9,30.6 24.4,30.7 24.8,31.3 25.2,31.0 25.7,30.7 26.1,30.9 26.5,30.7 27.0,30.3 27.4,30.5 27.8,30.3 28.2,30.7 28.7,29.5 29.1,29.2 29.5,28.8 30.0,28.6 30.4,28.9 30.8,29.1 31.3,29.3 31.7,29.5 32.1,29.6 32.5,29.2 33.0,29.0 33.4,29.3 33.8,29.1 34.3,29.9 34.7,30.2 35.1,30.2 35.6,30.5 36.0,30.7 36.4,30.8 36.9,30.9 37.3,31.3 37.7,31.8 38.1,31.5 38.6,32.0 39.0,31.7 39.4,31.4 39.9,30.4 40.3,30.6 40.7,31.0 41.2,30.1 41.6,29.9 42.0,29.9 42.4,30.1 42.9,29.3 43.3,29.4 43.7,29.6 44.2,29.5 44.6,30.0 45.0,29.6 45.5,28.5 45.9,27.1 46.3,27.0 46.7,27.3 47.2,27.6 47.6,27.7 48.0,27.0 48.5,26.9 48.9,26.5 49.3,27.2 49.8,27.7 50.2,27.3 50.6,27.6 51.1,27.9 51.5,27.5 51.9,26.5 52.3,26.3 52.8,26.5 53.2,25.6 53.6,25.3 54.1,25.6 54.5,26.8 54.9,26.6 55.4,27.3 55.8,25.3 56.2,25.3 56.6,26.1 57.1,26.2 57.5,25.4 57.9,25.2 58.4,25.0 58.8,25.7 59.2,24.6 59.7,23.6 60.1,22.6 60.5,22.6 60.9,22.3 61.4,22.1 61.8,21.0 62.2,21.7 62.7,22.6 63.1,21.5 63.5,22.1 64.0,23.4 64.4,22.2 64.8,22.3 65.3,21.4 65.7,21.4 66.1,21.6 66.5,20.5 67.0,18.6 67.4,13.6 67.8,11.7 68.3,14.7 68.7,17.1 69.1,17.1 69.6,17.4 70.0,16.7 70.4,16.8 70.8,15.9 71.3,15.2 71.7,16.0 72.1,14.3 72.6,13.5 73.0,14.3 73.4,14.0 73.9,14.4 74.3,15.4 74.7,13.1 75.1,12.1 75.6,11.7 76.0,13.1 76.4,14.6 76.9,12.7 77.3,13.5 77.7,13.9 78.2,11.1 78.6,8.9 79.0,9.4 79.5,6.5 79.9,8.1 80.3,6.8 80.7,6.6 81.2,7.1 81.6,8.8 82.0,9.7 82.5,9.6 82.9,9.4 83.3,8.1 83.8,8.9 84.2,10.5 84.6,10.3 85.0,13.6 85.5,14.5 85.9,14.2 86.3,13.6 86.8,13.0 87.2,13.8 87.6,13.0 88.1,13.8 88.5,13.8 88.9,14.1 89.3,13.6 89.8,14.0 90.2,13.1 90.6,13.0 91.1,13.2 91.5,11.2 91.9,10.9 92.4,12.6 92.8,12.0 93.2,12.3 93.6,9.9 94.1,10.5 94.5,11.8 94.9,12.7 95.4,13.1 95.8,12.9 96.2,11.2 96.7,11.1 97.1,10.2 97.5,10.5 98.0,8.3 98.4,9.2 98.8,9.1 99.2,7.1 99.7,7.0 100.1,7.6 100.5,4.7 101.0,5.7 101.4,4.3 101.8,5.5 102.3,3.6 102.7,4.4 103.1,4.3 103.5,4.6 104.0,3.1 104.4,2.0 104.8,2.9 105.3,2.7 105.7,2.7 106.1,6.8 106.6,8.7 107.0,7.5 107.4,6.5 107.8,6.2 108.3,6.1 108.7,5.8 109.1,5.3 109.6,5.5 110.0,6.3", "ret_12_1": 175.0, "ret_6_1": 107.0, "ret_3_1": 10.7, "volatility": 67.3, "traded_daily_cr": 53.0, "watch": "Nothing flagged", "from_12m_high": -10.5, "signal_rank": 7, "data_quality": "Green"}, {"rank": 3, "symbol": "ATHERENERG", "isin": "INE0LEZ01016", "qty": 10, "last_close": 1454.9, "amount": 14549.0, "spark_12m": "2.0,30.9 2.4,30.7 2.9,31.2 3.3,30.9 3.7,31.6 4.2,32.0 4.6,31.0 5.0,31.4 5.4,30.8 5.9,30.7 6.3,30.0 6.7,29.7 7.2,29.5 7.6,29.9 8.0,30.6 8.5,30.2 8.9,30.1 9.3,29.6 9.7,28.2 10.2,28.1 10.6,27.4 11.0,26.3 11.5,27.1 11.9,27.8 12.3,27.1 12.8,27.0 13.2,27.8 13.6,27.8 14.0,28.2 14.5,28.2 14.9,28.8 15.3,29.6 15.8,29.1 16.2,29.8 16.6,29.0 17.1,29.8 17.5,29.5 17.9,29.2 18.4,29.3 18.8,28.7 19.2,28.3 19.6,28.0 20.1,28.1 20.5,28.6 20.9,28.3 21.4,28.1 21.8,27.7 22.2,27.5 22.7,27.7 23.1,28.3 23.5,28.4 23.9,28.7 24.4,28.6 24.8,28.5 25.2,29.2 25.7,29.3 26.1,29.3 26.5,29.3 27.0,28.3 27.4,28.6 27.8,28.9 28.2,28.9 28.7,27.9 29.1,28.0 29.5,27.8 30.0,27.4 30.4,27.7 30.8,27.5 31.3,27.1 31.7,26.6 32.1,27.0 32.5,26.9 33.0,28.3 33.4,28.1 33.8,28.1 34.3,28.6 34.7,29.6 35.1,29.5 35.6,29.1 36.0,29.3 36.4,30.0 36.9,29.8 37.3,30.3 37.7,30.1 38.1,29.7 38.6,29.9 39.0,30.0 39.4,30.3 39.9,30.4 40.3,29.9 40.7,30.3 41.2,28.6 41.6,28.0 42.0,27.6 42.4,27.8 42.9,27.3 43.3,27.3 43.7,27.5 44.2,27.3 44.6,27.7 45.0,27.7 45.5,27.3 45.9,27.2 46.3,27.1 46.7,27.7 47.2,27.5 47.6,28.0 48.0,27.8 48.5,27.9 48.9,27.7 49.3,27.8 49.8,27.9 50.2,28.3 50.6,28.6 51.1,28.4 51.5,28.1 51.9,27.9 52.3,27.7 52.8,27.8 53.2,27.6 53.6,27.3 54.1,26.7 54.5,26.6 54.9,25.9 55.4,26.7 55.8,26.5 56.2,26.0 56.6,25.5 57.1,26.6 57.5,26.2 57.9,26.4 58.4,25.8 58.8,26.4 59.2,26.2 59.7,24.9 60.1,23.8 60.5,22.7 60.9,23.6 61.4,23.7 61.8,24.1 62.2,23.2 62.7,23.0 63.1,22.7 63.5,22.9 64.0,23.3 64.4,21.8 64.8,22.1 65.3,21.9 65.7,22.0 66.1,22.0 66.5,21.9 67.0,23.0 67.4,22.7 67.8,22.5 68.3,21.1 68.7,22.3 69.1,21.6 69.6,21.9 70.0,21.9 70.4,22.6 70.8,22.6 71.3,22.7 71.7,23.2 72.1,23.3 72.6,22.3 73.0,21.6 73.4,21.5 73.9,21.3 74.3,21.9 74.7,21.4 75.1,19.8 75.6,20.7 76.0,19.5 76.4,20.3 76.9,19.5 77.3,19.3 77.7,19.7 78.2,19.6 78.6,19.7 79.0,20.4 79.5,20.6 79.9,21.1 80.3,21.1 80.7,21.4 81.2,20.2 81.6,20.6 82.0,20.4 82.5,18.2 82.9,16.8 83.3,17.1 83.8,16.7 84.2,17.1 84.6,17.2 85.0,16.8 85.5,15.3 85.9,14.8 86.3,14.6 86.8,15.7 87.2,15.3 87.6,12.9 88.1,13.6 88.5,13.2 88.9,12.9 89.3,13.1 89.8,13.6 90.2,14.5 90.6,15.1 91.1,14.9 91.5,15.2 91.9,14.1 92.4,14.3 92.8,13.8 93.2,13.5 93.6,9.0 94.1,8.4 94.5,8.9 94.9,8.2 95.4,8.6 95.8,7.1 96.2,6.0 96.7,7.0 97.1,7.4 97.5,8.1 98.0,8.6 98.4,9.3 98.8,9.0 99.2,8.7 99.7,8.9 100.1,9.2 100.5,7.8 101.0,7.8 101.4,4.8 101.8,2.2 102.3,2.0 102.7,3.0 103.1,4.2 103.5,5.6 104.0,5.2 104.4,5.7 104.8,5.7 105.3,3.7 105.7,3.8 106.1,6.0 106.6,6.0 107.0,6.4 107.4,4.2 107.8,5.4 108.3,6.6 108.7,7.7 109.1,7.7 109.6,7.8 110.0,8.8", "ret_12_1": 166.0, "ret_6_1": 97.5, "ret_3_1": 31.1, "volatility": 49.4, "traded_daily_cr": 493.0, "watch": "Nothing flagged", "from_12m_high": -15.7, "signal_rank": 9, "data_quality": "Green"}, {"rank": 4, "symbol": "THANGAMAYL", "isin": "INE085J01014", "qty": 2, "last_close": 5011.5, "amount": 10023.0, "spark_12m": "2.0,30.9 2.4,31.1 2.9,31.4 3.3,31.4 3.7,31.4 4.2,31.6 4.6,31.7 5.0,31.6 5.4,31.6 5.9,31.2 6.3,31.3 6.7,31.6 7.2,31.2 7.6,31.5 8.0,31.6 8.5,31.5 8.9,31.8 9.3,31.9 9.7,31.9 10.2,31.9 10.6,31.9 11.0,31.9 11.5,32.0 11.9,31.5 12.3,31.6 12.8,31.3 13.2,31.4 13.6,31.3 14.0,30.8 14.5,28.3 14.9,25.9 15.3,25.7 15.8,23.9 16.2,25.3 16.6,24.8 17.1,24.1 17.5,24.4 17.9,24.5 18.4,24.7 18.8,24.9 19.2,25.1 19.6,25.2 20.1,26.0 20.5,24.8 20.9,24.8 21.4,24.7 21.8,24.8 22.2,24.7 22.7,24.1 23.1,25.2 23.5,24.6 23.9,24.8 24.4,24.9 24.8,25.2 25.2,24.7 25.7,24.9 26.1,24.9 26.5,25.0 27.0,25.0 27.4,24.9 27.8,24.4 28.2,24.6 28.7,24.2 29.1,23.8 29.5,23.7 30.0,24.5 30.4,25.0 30.8,25.0 31.3,25.0 31.7,24.9 32.1,24.7 32.5,24.8 33.0,24.2 33.4,23.4 33.8,21.4 34.3,21.2 34.7,22.7 35.1,22.3 35.6,21.9 36.0,21.5 36.4,21.8 36.9,22.1 37.3,22.1 37.7,21.2 38.1,22.6 38.6,22.9 39.0,23.8 39.4,22.8 39.9,23.4 40.3,24.3 40.7,24.9 41.2,25.1 41.6,24.5 42.0,25.1 42.4,23.9 42.9,22.1 43.3,22.2 43.7,22.3 44.2,22.5 44.6,22.9 45.0,22.1 45.5,22.3 45.9,22.6 46.3,23.4 46.7,23.0 47.2,22.8 47.6,22.0 48.0,21.5 48.5,21.0 48.9,20.8 49.3,21.4 49.8,22.7 50.2,22.6 50.6,22.2 51.1,22.9 51.5,22.1 51.9,23.1 52.3,23.0 52.8,23.3 53.2,23.6 53.6,23.4 54.1,23.3 54.5,24.1 54.9,24.3 55.4,25.2 55.8,24.4 56.2,22.8 56.6,23.7 57.1,23.7 57.5,23.0 57.9,23.1 58.4,21.9 58.8,21.3 59.2,20.3 59.7,20.0 60.1,19.8 60.5,19.5 60.9,19.1 61.4,19.0 61.8,19.3 62.2,19.8 62.7,19.8 63.1,20.4 63.5,21.7 64.0,21.7 64.4,20.8 64.8,20.7 65.3,20.6 65.7,20.8 66.1,20.6 66.5,20.7 67.0,20.1 67.4,19.9 67.8,19.1 68.3,20.5 68.7,22.4 69.1,22.5 69.6,22.7 70.0,22.8 70.4,23.1 70.8,22.5 71.3,21.8 71.7,21.3 72.1,21.6 72.6,21.5 73.0,21.6 73.4,21.0 73.9,19.4 74.3,18.9 74.7,17.2 75.1,16.1 75.6,12.0 76.0,13.0 76.4,12.2 76.9,12.3 77.3,12.4 77.7,12.6 78.2,12.2 78.6,12.1 79.0,12.4 79.5,11.4 79.9,12.5 80.3,12.4 80.7,11.8 81.2,12.8 81.6,12.4 82.0,11.6 82.5,10.0 82.9,7.1 83.3,9.6 83.8,7.6 84.2,8.4 84.6,7.7 85.0,7.2 85.5,4.8 85.9,6.0 86.3,6.3 86.8,8.0 87.2,6.8 87.6,5.9 88.1,7.2 88.5,6.9 88.9,7.2 89.3,6.8 89.8,6.7 90.2,4.5 90.6,4.3 91.1,2.0 91.5,2.8 91.9,6.8 92.4,10.4 92.8,13.7 93.2,15.1 93.6,16.5 94.1,15.2 94.5,14.1 94.9,13.4 95.4,13.0 95.8,13.7 96.2,13.1 96.7,13.4 97.1,12.5 97.5,13.0 98.0,12.2 98.4,12.0 98.8,12.4 99.2,12.2 99.7,12.2 100.1,12.7 100.5,12.2 101.0,12.1 101.4,12.5 101.8,12.6 102.3,13.2 102.7,13.6 103.1,13.3 103.5,13.1 104.0,12.3 104.4,12.9 104.8,14.3 105.3,14.5 105.7,14.2 106.1,15.4 106.6,15.3 107.0,16.0 107.4,14.7 107.8,15.3 108.3,14.3 108.7,13.2 109.1,14.4 109.6,14.2 110.0,14.9", "ret_12_1": 154.0, "ret_6_1": 66.3, "ret_3_1": -14.0, "volatility": 59.8, "traded_daily_cr": 71.0, "watch": "Nothing flagged", "from_12m_high": -31.4, "signal_rank": 11, "data_quality": "Green"}, {"rank": 5, "symbol": "RRKABEL", "isin": "INE777K01022", "qty": 6, "last_close": 2459.8, "amount": 14759.0, "spark_12m": "2.0,31.3 2.4,31.1 2.9,30.7 3.3,31.2 3.7,31.2 4.2,32.0 4.6,31.8 5.0,31.2 5.4,31.1 5.9,31.4 6.3,31.1 6.7,31.1 7.2,31.3 7.6,31.4 8.0,31.0 8.5,31.2 8.9,31.3 9.3,31.3 9.7,31.0 10.2,31.2 10.6,31.4 11.0,31.2 11.5,31.4 11.9,31.5 12.3,30.1 12.8,28.7 13.2,28.4 13.6,28.6 14.0,28.6 14.5,29.0 14.9,28.4 15.3,28.8 15.8,29.2 16.2,29.8 16.6,29.6 17.1,28.8 17.5,29.3 17.9,29.3 18.4,29.1 18.8,29.7 19.2,29.5 19.6,29.4 20.1,29.7 20.5,29.7 20.9,29.5 21.4,29.0 21.8,29.1 22.2,28.8 22.7,28.8 23.1,28.8 23.5,29.0 23.9,28.9 24.4,29.4 24.8,29.5 25.2,29.1 25.7,28.6 26.1,28.7 26.5,28.4 27.0,27.8 27.4,28.1 27.8,28.3 28.2,28.3 28.7,27.3 29.1,26.5 29.5,26.6 30.0,27.1 30.4,27.5 30.8,28.1 31.3,28.2 31.7,27.9 32.1,27.6 32.5,26.9 33.0,26.4 33.4,26.3 33.8,26.4 34.3,26.7 34.7,26.9 35.1,27.3 35.6,27.0 36.0,27.1 36.4,27.5 36.9,28.0 37.3,28.6 37.7,28.6 38.1,28.4 38.6,29.7 39.0,30.0 39.4,29.7 39.9,30.3 40.3,29.3 40.7,29.6 41.2,28.4 41.6,27.8 42.0,27.5 42.4,27.7 42.9,27.6 43.3,28.5 43.7,28.2 44.2,28.3 44.6,28.7 45.0,28.7 45.5,28.4 45.9,28.5 46.3,28.4 46.7,28.1 47.2,27.9 47.6,27.0 48.0,26.9 48.5,26.7 48.9,26.0 49.3,26.5 49.8,27.3 50.2,27.1 50.6,26.6 51.1,27.2 51.5,27.8 51.9,28.4 52.3,28.2 52.8,29.8 53.2,29.3 53.6,28.9 54.1,28.1 54.5,28.9 54.9,29.0 55.4,30.3 55.8,29.7 56.2,29.7 56.6,30.3 57.1,30.7 57.5,30.0 57.9,30.0 58.4,30.0 58.8,30.2 59.2,28.8 59.7,29.1 60.1,28.9 60.5,29.3 60.9,29.0 61.4,27.8 61.8,27.5 62.2,27.6 62.7,27.8 63.1,27.7 63.5,28.3 64.0,28.1 64.4,26.9 64.8,25.1 65.3,24.8 65.7,25.8 66.1,22.2 66.5,22.1 67.0,21.8 67.4,19.6 67.8,19.3 68.3,19.7 68.7,19.4 69.1,19.0 69.6,17.6 70.0,19.1 70.4,19.2 70.8,19.7 71.3,18.9 71.7,19.2 72.1,19.2 72.6,18.5 73.0,18.7 73.4,19.1 73.9,17.3 74.3,17.8 74.7,17.9 75.1,15.6 75.6,14.4 76.0,14.4 76.4,15.6 76.9,15.2 77.3,15.3 77.7,16.0 78.2,15.3 78.6,15.0 79.0,14.8 79.5,14.6 79.9,13.1 80.3,12.7 80.7,12.1 81.2,11.8 81.6,10.6 82.0,9.7 82.5,9.5 82.9,11.4 83.3,11.6 83.8,11.4 84.2,12.3 84.6,13.1 85.0,14.9 85.5,15.0 85.9,14.7 86.3,14.3 86.8,11.7 87.2,12.2 87.6,13.2 88.1,11.2 88.5,13.1 88.9,12.4 89.3,12.2 89.8,10.7 90.2,11.7 90.6,9.6 91.1,9.1 91.5,8.2 91.9,8.5 92.4,8.4 92.8,7.7 93.2,7.2 93.6,7.0 94.1,4.4 94.5,4.9 94.9,5.0 95.4,5.0 95.8,4.0 96.2,4.4 96.7,3.7 97.1,4.5 97.5,5.2 98.0,4.5 98.4,2.5 98.8,2.6 99.2,2.2 99.7,3.0 100.1,4.2 100.5,4.1 101.0,3.7 101.4,2.4 101.8,2.0 102.3,3.0 102.7,7.2 103.1,7.5 103.5,10.3 104.0,11.5 104.4,10.4 104.8,10.9 105.3,10.6 105.7,10.8 106.1,11.6 106.6,11.3 107.0,11.4 107.4,10.4 107.8,11.1 108.3,10.0 108.7,9.9 109.1,9.0 109.6,9.0 110.0,10.2", "ret_12_1": 126.0, "ret_6_1": 110.0, "ret_3_1": 18.2, "volatility": 44.0, "traded_daily_cr": 93.0, "watch": "Nothing flagged", "from_12m_high": -16.0, "signal_rank": 15, "data_quality": "Green"}, {"rank": 6, "symbol": "ACUTAAS", "isin": "INE00FF01025", "qty": 4, "last_close": 3214.4, "amount": 12858.0, "spark_12m": "2.0,30.2 2.4,30.2 2.9,30.3 3.3,30.3 3.7,30.8 4.2,31.5 4.6,31.6 5.0,32.0 5.4,31.2 5.9,31.1 6.3,30.9 6.7,30.9 7.2,30.9 7.6,30.7 8.0,30.1 8.5,29.7 8.9,29.7 9.3,29.1 9.7,29.0 10.2,27.8 10.6,26.4 11.0,26.1 11.5,26.7 11.9,27.4 12.3,26.8 12.8,27.0 13.2,27.3 13.6,27.1 14.0,26.8 14.5,25.8 14.9,25.5 15.3,26.3 15.8,26.4 16.2,26.4 16.6,26.5 17.1,27.1 17.5,27.4 17.9,27.0 18.4,27.1 18.8,27.0 19.2,26.9 19.6,26.8 20.1,27.2 20.5,25.0 20.9,26.1 21.4,26.0 21.8,26.1 22.2,25.4 22.7,26.2 23.1,26.6 23.5,26.7 23.9,27.1 24.4,27.1 24.8,27.8 25.2,27.6 25.7,27.4 26.1,27.7 26.5,27.6 27.0,28.1 27.4,27.2 27.8,27.7 28.2,28.0 28.7,27.8 29.1,27.4 29.5,27.2 30.0,27.8 30.4,27.8 30.8,27.8 31.3,27.7 31.7,27.1 32.1,26.5 32.5,26.6 33.0,26.3 33.4,26.4 33.8,26.4 34.3,26.7 34.7,27.4 35.1,27.5 35.6,27.4 36.0,27.1 36.4,27.2 36.9,27.4 37.3,28.1 37.7,28.4 38.1,27.9 38.6,27.8 39.0,26.8 39.4,25.1 39.9,24.2 40.3,24.5 40.7,24.2 41.2,23.8 41.6,23.5 42.0,23.6 42.4,23.6 42.9,23.4 43.3,22.8 43.7,23.0 44.2,22.2 44.6,23.2 45.0,22.9 45.5,22.4 45.9,21.6 46.3,22.1 46.7,22.0 47.2,21.5 47.6,21.5 48.0,21.3 48.5,21.1 48.9,21.4 49.3,21.0 49.8,22.1 50.2,20.4 50.6,20.2 51.1,21.4 51.5,20.5 51.9,21.0 52.3,21.0 52.8,22.3 53.2,21.3 53.6,19.6 54.1,20.1 54.5,20.3 54.9,18.3 55.4,20.0 55.8,17.9 56.2,16.7 56.6,16.5 57.1,16.3 57.5,19.2 57.9,22.0 58.4,20.7 58.8,20.7 59.2,19.2 59.7,19.3 60.1,18.8 60.5,18.4 60.9,19.7 61.4,19.1 61.8,18.8 62.2,18.2 62.7,18.7 63.1,18.0 63.5,18.5 64.0,18.4 64.4,17.1 64.8,17.5 65.3,17.0 65.7,15.9 66.1,14.9 66.5,15.1 67.0,14.7 67.4,14.2 67.8,14.1 68.3,13.2 68.7,14.0 69.1,12.9 69.6,14.2 70.0,14.2 70.4,13.3 70.8,12.2 71.3,12.3 71.7,10.8 72.1,11.4 72.6,11.7 73.0,10.3 73.4,10.8 73.9,9.1 74.3,10.5 74.7,10.3 75.1,9.1 75.6,8.7 76.0,6.6 76.4,6.8 76.9,8.3 77.3,8.2 77.7,9.2 78.2,8.9 78.6,9.5 79.0,10.8 79.5,10.8 79.9,9.0 80.3,7.7 80.7,7.6 81.2,7.3 81.6,7.4 82.0,7.0 82.5,3.6 82.9,4.1 83.3,3.6 83.8,2.0 84.2,2.0 84.6,4.3 85.0,5.8 85.5,5.0 85.9,5.0 86.3,5.7 86.8,4.5 87.2,5.0 87.6,3.9 88.1,3.4 88.5,3.0 88.9,2.5 89.3,2.2 89.8,2.4 90.2,5.0 90.6,7.5 91.1,6.1 91.5,7.0 91.9,6.9 92.4,7.8 92.8,9.4 93.2,9.3 93.6,7.9 94.1,7.2 94.5,7.5 94.9,7.0 95.4,7.2 95.8,7.7 96.2,8.8 96.7,9.4 97.1,7.8 97.5,8.3 98.0,5.8 98.4,7.9 98.8,8.1 99.2,8.6 99.7,8.6 100.1,6.8 100.5,7.5 101.0,6.6 101.4,7.2 101.8,8.7 102.3,8.6 102.7,9.1 103.1,8.2 103.5,8.6 104.0,8.5 104.4,8.5 104.8,7.7 105.3,5.1 105.7,5.9 106.1,7.4 106.6,6.4 107.0,6.8 107.4,5.2 107.8,5.4 108.3,8.1 108.7,7.4 109.1,7.2 109.6,7.3 110.0,8.1", "ret_12_1": 126.0, "ret_6_1": 36.7, "ret_3_1": -5.6, "volatility": 46.7, "traded_daily_cr": 101.0, "watch": "Nothing flagged", "from_12m_high": -13.0, "signal_rank": 16, "data_quality": "Green"}, {"rank": 7, "symbol": "DIACABS", "isin": "INE989C01038", "qty": 44, "last_close": 339.25, "amount": 14927.0, "spark_12m": "2.0,27.2 2.4,27.3 2.9,27.2 3.3,27.4 3.7,28.0 4.2,28.4 4.6,28.2 5.0,28.6 5.4,28.5 5.9,28.3 6.3,28.7 6.7,29.2 7.2,29.3 7.6,29.4 8.0,29.4 8.5,29.6 8.9,29.5 9.3,29.2 9.7,29.3 10.2,29.4 10.6,29.2 11.0,29.1 11.5,29.1 11.9,29.3 12.3,28.1 12.8,28.5 13.2,28.1 13.6,28.2 14.0,28.2 14.5,28.1 14.9,27.9 15.3,28.6 15.8,28.3 16.2,28.8 16.6,28.9 17.1,28.8 17.5,28.4 17.9,28.4 18.4,28.4 18.8,28.7 19.2,28.3 19.6,28.7 20.1,29.1 20.5,29.5 20.9,29.6 21.4,29.4 21.8,29.4 22.2,28.5 22.7,28.6 23.1,28.9 23.5,29.2 23.9,29.3 24.4,29.1 24.8,29.4 25.2,29.4 25.7,29.7 26.1,29.7 26.5,29.5 27.0,29.4 27.4,29.6 27.8,29.6 28.2,29.5 28.7,29.5 29.1,29.2 29.5,29.3 30.0,29.5 30.4,29.6 30.8,29.8 31.3,29.8 31.7,29.8 32.1,29.8 32.5,29.9 33.0,29.3 33.4,29.3 33.8,29.1 34.3,29.7 34.7,30.2 35.1,30.1 35.6,30.5 36.0,30.7 36.4,30.6 36.9,30.4 37.3,31.0 37.7,30.9 38.1,30.8 38.6,31.4 39.0,31.4 39.4,31.1 39.9,31.4 40.3,31.5 40.7,31.7 41.2,31.2 41.6,30.8 42.0,31.3 42.4,31.3 42.9,30.9 43.3,30.4 43.7,30.2 44.2,30.3 44.6,30.5 45.0,29.5 45.5,29.8 45.9,29.8 46.3,30.2 46.7,30.1 47.2,30.2 47.6,30.4 48.0,30.0 48.5,29.6 48.9,29.9 49.3,29.9 49.8,30.4 50.2,29.9 50.6,30.1 51.1,30.2 51.5,29.7 51.9,29.9 52.3,30.0 52.8,30.8 53.2,31.0 53.6,31.2 54.1,30.7 54.5,31.4 54.9,31.0 55.4,32.0 55.8,31.7 56.2,30.9 56.6,31.5 57.1,31.9 57.5,31.2 57.9,31.2 58.4,30.8 58.8,30.9 59.2,30.3 59.7,30.4 60.1,29.9 60.5,29.8 60.9,29.5 61.4,28.7 61.8,28.6 62.2,27.4 62.7,27.2 63.1,27.5 63.5,27.5 64.0,27.3 64.4,26.8 64.8,27.1 65.3,27.3 65.7,27.7 66.1,26.8 66.5,26.6 67.0,25.6 67.4,26.4 67.8,26.0 68.3,25.8 68.7,26.4 69.1,25.9 69.6,24.0 70.0,23.5 70.4,24.0 70.8,24.2 71.3,23.6 71.7,23.8 72.1,23.8 72.6,23.5 73.0,22.4 73.4,23.3 73.9,23.7 74.3,25.0 74.7,23.7 75.1,24.3 75.6,23.9 76.0,22.7 76.4,23.3 76.9,22.8 77.3,23.4 77.7,23.8 78.2,22.9 78.6,21.4 79.0,22.4 79.5,22.6 79.9,22.9 80.3,22.1 80.7,22.3 81.2,22.9 81.6,22.6 82.0,22.4 82.5,22.2 82.9,22.1 83.3,22.2 83.8,22.0 84.2,23.2 84.6,21.1 85.0,20.4 85.5,19.7 85.9,18.9 86.3,20.0 86.8,20.1 87.2,20.4 87.6,20.2 88.1,20.4 88.5,20.7 88.9,18.3 89.3,15.6 89.8,15.6 90.2,15.1 90.6,12.8 91.1,11.5 91.5,10.0 91.9,8.2 92.4,9.2 92.8,9.7 93.2,9.8 93.6,10.5 94.1,8.8 94.5,7.0 94.9,5.3 95.4,5.7 95.8,5.5 96.2,4.9 96.7,5.0 97.1,4.8 97.5,5.8 98.0,4.9 98.4,5.8 98.8,6.4 99.2,6.2 99.7,6.5 100.1,8.0 100.5,8.1 101.0,8.1 101.4,6.9 101.8,7.1 102.3,7.9 102.7,8.9 103.1,9.8 103.5,8.8 104.0,8.7 104.4,8.3 104.8,8.5 105.3,6.7 105.7,4.8 106.1,2.8 106.6,2.0 107.0,4.0 107.4,5.0 107.8,4.0 108.3,4.6 108.7,3.8 109.1,5.7 109.6,6.4 110.0,8.0", "ret_12_1": 124.0, "ret_6_1": 180.0, "ret_3_1": 61.7, "volatility": 53.6, "traded_daily_cr": 51.0, "watch": "Nothing flagged", "from_12m_high": -14.1, "signal_rank": 17, "data_quality": "Green"}, {"rank": 8, "symbol": "KIRLOSENG", "isin": "INE146L01010", "qty": 7, "last_close": 2141.2, "amount": 14988.0, "spark_12m": "2.0,30.3 2.4,30.3 2.9,30.5 3.3,30.2 3.7,30.7 4.2,31.2 4.6,31.1 5.0,31.1 5.4,31.0 5.9,31.4 6.3,31.6 6.7,31.8 7.2,31.8 7.6,31.8 8.0,31.6 8.5,31.7 8.9,32.0 9.3,31.9 9.7,31.8 10.2,31.6 10.6,31.8 11.0,31.6 11.5,31.5 11.9,31.5 12.3,30.7 12.8,29.6 13.2,29.4 13.6,29.4 14.0,29.7 14.5,29.4 14.9,29.4 15.3,29.9 15.8,30.3 16.2,30.5 16.6,30.7 17.1,28.7 17.5,28.2 17.9,28.1 18.4,27.7 18.8,27.2 19.2,26.6 19.6,26.5 20.1,26.8 20.5,27.4 20.9,26.9 21.4,27.1 21.8,27.2 22.2,27.5 22.7,27.6 23.1,27.7 23.5,28.2 23.9,26.8 24.4,27.4 24.8,28.0 25.2,27.5 25.7,27.7 26.1,27.6 26.5,27.1 27.0,27.3 27.4,25.7 27.8,24.7 28.2,24.6 28.7,25.4 29.1,24.2 29.5,24.4 30.0,25.0 30.4,24.9 30.8,25.8 31.3,25.7 31.7,25.8 32.1,25.6 32.5,25.1 33.0,25.2 33.4,25.3 33.8,25.8 34.3,26.5 34.7,26.9 35.1,27.5 35.6,27.0 36.0,26.7 36.4,26.7 36.9,27.4 37.3,27.9 37.7,27.9 38.1,27.7 38.6,28.0 39.0,28.0 39.4,27.7 39.9,27.6 40.3,26.6 40.7,27.0 41.2,26.5 41.6,25.6 42.0,26.2 42.4,26.7 42.9,25.8 43.3,25.0 43.7,23.9 44.2,23.7 44.6,23.0 45.0,22.4 45.5,22.1 45.9,22.3 46.3,22.2 46.7,22.3 47.2,22.6 47.6,22.7 48.0,22.5 48.5,22.7 48.9,22.7 49.3,22.5 49.8,22.3 50.2,21.4 50.6,20.6 51.1,21.6 51.5,21.9 51.9,21.7 52.3,21.4 52.8,21.7 53.2,21.4 53.6,21.9 54.1,22.0 54.5,22.2 54.9,23.0 55.4,24.6 55.8,23.9 56.2,22.7 56.6,23.5 57.1,23.9 57.5,23.2 57.9,22.9 58.4,22.3 58.8,22.6 59.2,21.4 59.7,21.6 60.1,21.3 60.5,21.1 60.9,19.1 61.4,18.8 61.8,18.7 62.2,18.4 62.7,17.9 63.1,18.4 63.5,18.9 64.0,19.2 64.4,17.6 64.8,16.9 65.3,17.3 65.7,17.3 66.1,16.9 66.5,16.6 67.0,17.1 67.4,16.8 67.8,16.8 68.3,18.0 68.7,19.8 69.1,19.1 69.6,19.1 70.0,16.6 70.4,17.3 70.8,18.0 71.3,17.9 71.7,17.7 72.1,17.8 72.6,17.2 73.0,16.4 73.4,15.0 73.9,13.3 74.3,13.4 74.7,14.5 75.1,13.9 75.6,12.9 76.0,13.5 76.4,14.6 76.9,14.6 77.3,15.2 77.7,15.6 78.2,13.9 78.6,13.2 79.0,13.4 79.5,12.2 79.9,12.3 80.3,12.1 80.7,5.1 81.2,3.0 81.6,2.0 82.0,3.4 82.5,4.2 82.9,5.5 83.3,5.9 83.8,6.3 84.2,7.9 84.6,7.3 85.0,7.2 85.5,7.1 85.9,4.5 86.3,3.3 86.8,4.3 87.2,5.6 87.6,4.6 88.1,5.0 88.5,7.5 88.9,8.1 89.3,8.1 89.8,8.7 90.2,8.8 90.6,8.7 91.1,7.0 91.5,8.6 91.9,8.8 92.4,9.6 92.8,8.6 93.2,8.0 93.6,7.1 94.1,7.7 94.5,7.6 94.9,9.1 95.4,9.7 95.8,10.2 96.2,11.0 96.7,10.9 97.1,10.2 97.5,10.2 98.0,9.8 98.4,10.6 98.8,9.3 99.2,10.2 99.7,10.8 100.1,11.5 100.5,11.3 101.0,10.2 101.4,9.8 101.8,10.2 102.3,9.5 102.7,9.1 103.1,7.2 103.5,8.4 104.0,8.9 104.4,7.1 104.8,8.1 105.3,8.3 105.7,9.0 106.1,11.2 106.6,11.3 107.0,9.8 107.4,9.1 107.8,9.6 108.3,9.1 108.7,8.1 109.1,9.1 109.6,9.6 110.0,9.5", "ret_12_1": 123.0, "ret_6_1": 58.2, "ret_3_1": -11.2, "volatility": 49.9, "traded_daily_cr": 87.0, "watch": "Nothing flagged", "from_12m_high": -16.5, "signal_rank": 18, "data_quality": "Green"}, {"rank": 9, "symbol": "E2E", "isin": "INE255Z01027", "qty": 23, "last_close": 625.9, "amount": 14396.0, "spark_12m": "2.0,25.4 2.4,24.4 2.9,23.5 3.3,24.3 3.7,23.7 4.2,22.9 4.6,23.7 5.0,24.4 5.4,23.4 5.9,22.4 6.3,21.3 6.7,21.1 7.2,21.2 7.6,22.8 8.0,23.1 8.5,23.8 8.9,24.4 9.3,24.4 9.7,24.3 10.2,24.1 10.6,24.5 11.0,24.4 11.5,24.3 11.9,25.2 12.3,24.5 12.8,24.9 13.2,25.1 13.6,24.9 14.0,25.0 14.5,25.3 14.9,24.9 15.3,25.3 15.8,25.1 16.2,25.3 16.6,26.1 17.1,26.1 17.5,26.8 17.9,27.8 18.4,28.0 18.8,28.1 19.2,28.0 19.6,28.1 20.1,28.8 20.5,29.7 20.9,29.7 21.4,29.6 21.8,29.8 22.2,30.1 22.7,30.0 23.1,30.5 23.5,30.9 23.9,30.5 24.4,31.0 24.8,31.6 25.2,30.8 25.7,31.2 26.1,31.1 26.5,31.1 27.0,31.1 27.4,31.5 27.8,31.6 28.2,31.7 28.7,31.3 29.1,31.2 29.5,31.1 30.0,31.2 30.4,31.4 30.8,32.0 31.3,31.9 31.7,31.8 32.1,31.7 32.5,31.6 33.0,31.2 33.4,31.5 33.8,31.6 34.3,31.5 34.7,31.5 35.1,31.6 35.6,31.8 36.0,31.6 36.4,30.3 36.9,30.2 37.3,30.8 37.7,31.3 38.1,31.2 38.6,31.5 39.0,31.5 39.4,31.3 39.9,31.5 40.3,31.0 40.7,29.0 41.2,28.0 41.6,29.0 42.0,29.5 42.4,28.7 42.9,27.8 43.3,28.2 43.7,27.9 44.2,28.4 44.6,28.8 45.0,28.2 45.5,28.3 45.9,26.5 46.3,25.8 46.7,26.4 47.2,28.2 47.6,29.0 48.0,28.3 48.5,28.0 48.9,28.2 49.3,28.9 49.8,29.7 50.2,29.7 50.6,29.8 51.1,29.9 51.5,29.1 51.9,29.4 52.3,29.6 52.8,29.9 53.2,30.4 53.6,30.5 54.1,30.1 54.5,30.0 54.9,30.1 55.4,30.7 55.8,30.7 56.2,30.2 56.6,30.9 57.1,31.4 57.5,30.8 57.9,30.2 58.4,29.9 58.8,29.6 59.2,28.9 59.7,29.1 60.1,29.0 60.5,28.9 60.9,28.1 61.4,27.4 61.8,26.8 62.2,27.4 62.7,26.6 63.1,26.0 63.5,26.2 64.0,26.2 64.4,25.3 64.8,25.7 65.3,26.0 65.7,26.3 66.1,26.6 66.5,25.8 67.0,24.9 67.4,23.9 67.8,23.0 68.3,21.9 68.7,23.0 69.1,24.1 69.6,24.0 70.0,24.9 70.4,25.5 70.8,24.5 71.3,23.6 71.7,23.1 72.1,22.1 72.6,21.3 73.0,20.2 73.4,19.8 73.9,20.0 74.3,18.8 74.7,17.5 75.1,18.8 75.6,17.6 76.0,16.3 76.4,17.6 76.9,19.0 77.3,20.2 77.7,21.4 78.2,20.3 78.6,21.1 79.0,20.6 79.5,20.3 79.9,19.1 80.3,17.9 80.7,16.6 81.2,17.5 81.6,18.4 82.0,18.7 82.5,19.8 82.9,19.7 83.3,19.3 83.8,20.2 84.2,20.6 84.6,20.6 85.0,21.3 85.5,20.8 85.9,19.6 86.3,19.6 86.8,20.3 87.2,19.8 87.6,18.8 88.1,18.1 88.5,19.2 88.9,18.0 89.3,16.7 89.8,15.3 90.2,13.9 90.6,12.4 91.1,10.8 91.5,12.4 91.9,13.9 92.4,13.8 92.8,12.3 93.2,10.8 93.6,9.1 94.1,7.4 94.5,6.9 94.9,8.8 95.4,7.1 95.8,5.6 96.2,5.3 96.7,5.1 97.1,3.2 97.5,2.0 98.0,3.3 98.4,5.4 98.8,5.8 99.2,5.9 99.7,6.5 100.1,7.5 100.5,6.5 101.0,6.2 101.4,6.3 101.8,6.1 102.3,6.0 102.7,6.8 103.1,7.7 103.5,7.2 104.0,5.4 104.4,6.2 104.8,7.0 105.3,6.9 105.7,6.6 106.1,8.5 106.6,7.3 107.0,7.0 107.4,6.8 107.8,7.7 108.3,7.0 108.7,5.1 109.1,4.4 109.6,4.1 110.0,5.7", "ret_12_1": 109.0, "ret_6_1": 186.0, "ret_3_1": 56.0, "volatility": 56.2, "traded_daily_cr": 49.0, "watch": "Nothing flagged", "from_12m_high": -8.8, "signal_rank": 20, "data_quality": "Green"}, {"rank": 10, "symbol": "LAURUSLABS", "isin": "INE947Q01028", "qty": 7, "last_close": 2010.7, "amount": 14075.0, "spark_12m": "2.0,29.5 2.4,30.2 2.9,30.1 3.3,30.1 3.7,30.4 4.2,32.0 4.6,31.8 5.0,31.8 5.4,31.0 5.9,31.2 6.3,31.2 6.7,31.2 7.2,31.5 7.6,31.2 8.0,30.9 8.5,31.0 8.9,30.9 9.3,30.9 9.7,31.0 10.2,30.3 10.6,29.8 11.0,29.7 11.5,29.5 11.9,29.7 12.3,29.3 12.8,28.8 13.2,28.8 13.6,28.6 14.0,29.0 14.5,28.4 14.9,28.2 15.3,28.3 15.8,28.3 16.2,27.8 16.6,28.2 17.1,28.1 17.5,27.9 17.9,27.8 18.4,27.3 18.8,27.6 19.2,28.1 19.6,28.1 20.1,28.4 20.5,28.3 20.9,28.4 21.4,28.1 21.8,27.7 22.2,27.0 22.7,27.1 23.1,27.3 23.5,27.4 23.9,27.5 24.4,27.2 24.8,27.7 25.2,27.3 25.7,27.4 26.1,27.3 26.5,27.5 27.0,27.7 27.4,27.8 27.8,27.6 28.2,27.4 28.7,26.7 29.1,26.2 29.5,26.1 30.0,25.7 30.4,25.7 30.8,25.8 31.3,25.5 31.7,25.1 32.1,25.1 32.5,25.2 33.0,25.2 33.4,24.9 33.8,24.6 34.3,25.3 34.7,25.7 35.1,26.7 35.6,26.4 36.0,25.6 36.4,25.9 36.9,26.2 37.3,26.9 37.7,28.1 38.1,27.7 38.6,27.4 39.0,27.8 39.4,27.8 39.9,28.5 40.3,28.7 40.7,29.0 41.2,28.4 41.6,28.3 42.0,28.7 42.4,29.0 42.9,28.2 43.3,28.7 43.7,27.5 44.2,27.3 44.6,27.5 45.0,27.5 45.5,27.5 45.9,26.9 46.3,27.3 46.7,27.3 47.2,27.4 47.6,27.1 48.0,25.9 48.5,25.5 48.9,25.9 49.3,26.2 49.8,27.0 50.2,26.7 50.6,27.2 51.1,27.3 51.5,26.9 51.9,26.8 52.3,26.6 52.8,27.7 53.2,28.8 53.6,28.6 54.1,28.2 54.5,29.2 54.9,28.1 55.4,28.8 55.8,28.0 56.2,27.2 56.6,27.6 57.1,28.0 57.5,26.8 57.9,26.7 58.4,26.4 58.8,26.4 59.2,25.8 59.7,25.7 60.1,25.4 60.5,25.6 60.9,24.9 61.4,24.6 61.8,24.4 62.2,24.6 62.7,25.0 63.1,25.4 63.5,24.6 64.0,25.0 64.4,24.7 64.8,25.6 65.3,25.2 65.7,25.3 66.1,23.7 66.5,23.7 67.0,23.4 67.4,22.7 67.8,22.1 68.3,21.2 68.7,21.1 69.1,20.8 69.6,19.9 70.0,19.7 70.4,19.6 70.8,19.2 71.3,18.8 71.7,19.1 72.1,19.2 72.6,18.9 73.0,18.5 73.4,18.3 73.9,18.8 74.3,18.1 74.7,18.3 75.1,18.0 75.6,17.1 76.0,16.7 76.4,17.7 76.9,17.2 77.3,18.2 77.7,18.1 78.2,18.0 78.6,18.1 79.0,18.4 79.5,18.6 79.9,18.6 80.3,17.5 80.7,16.9 81.2,15.8 81.6,16.5 82.0,16.6 82.5,15.3 82.9,14.9 83.3,15.5 83.8,14.6 84.2,14.3 84.6,14.6 85.0,15.9 85.5,16.1 85.9,15.1 86.3,14.4 86.8,13.9 87.2,13.8 87.6,14.0 88.1,13.9 88.5,14.6 88.9,13.9 89.3,13.0 89.8,13.4 90.2,13.6 90.6,12.8 91.1,10.0 91.5,8.9 91.9,8.3 92.4,8.3 92.8,7.4 93.2,7.6 93.6,6.6 94.1,7.0 94.5,7.1 94.9,6.7 95.4,6.5 95.8,6.4 96.2,6.6 96.7,6.6 97.1,8.2 97.5,7.6 98.0,7.5 98.4,7.8 98.8,7.2 99.2,7.8 99.7,7.8 100.1,6.2 100.5,5.7 101.0,4.6 101.4,4.4 101.8,5.0 102.3,6.3 102.7,6.2 103.1,6.1 103.5,6.8 104.0,5.9 104.4,4.2 104.8,4.4 105.3,4.2 105.7,3.6 106.1,4.7 106.6,5.2 107.0,4.1 107.4,4.0 107.8,2.4 108.3,2.7 108.7,2.0 109.1,2.2 109.6,2.7 110.0,2.6", "ret_12_1": 109.0, "ret_6_1": 94.4, "ret_3_1": 27.2, "volatility": 28.1, "traded_daily_cr": 300.0, "watch": "Nothing flagged", "from_12m_high": -1.1, "signal_rank": 21, "data_quality": "Green"}]}, "prices": {"TDPOWERSYS": {"2026-09-28": {"open": 730.05, "close": 722.0, "src": "yahoo"}, "2026-09-29": {"open": 719.0, "close": 777.35, "src": "bhavcopy"}, "2026-09-30": {"open": 783.0, "close": 786.05, "src": "bhavcopy"}, "2026-10-01": {"open": 779.9, "close": 792.15, "src": "bhavcopy"}, "2026-10-05": {"open": 801.0, "close": 812.9, "src": "bhavcopy"}, "2026-10-02": {"open": 792.15, "close": 792.15, "src": "yahoo"}, "2026-10-06": {"open": 810.0, "close": 816.0, "src": "bhavcopy"}, "2026-10-07": {"open": 818.0, "close": 821.1, "src": "bhavcopy"}}, "AEROFLEX": {"2026-09-28": {"open": 524.25, "close": 513.4, "src": "yahoo"}, "2026-09-29": {"open": 511.3, "close": 539.6, "src": "bhavcopy"}, "2026-09-30": {"open": 539.6, "close": 536.6, "src": "bhavcopy"}, "2026-10-01": {"open": 540.0, "close": 521.35, "src": "bhavcopy"},</t>
        </is>
      </c>
    </row>
    <row r="2">
      <c r="A2" t="inlineStr">
        <is>
          <t xml:space="preserve"> "2026-10-05": {"open": 524.0, "close": 544.35, "src": "bhavcopy"}, "2026-10-02": {"open": 521.35, "close": 521.35, "src": "yahoo"}, "2026-10-06": {"open": 549.7, "close": 560.75, "src": "bhavcopy"}, "2026-10-07": {"open": 566.4, "close": 563.85, "src": "bhavcopy"}}, "E2E": {"2026-09-28": {"open": 650.0, "close": 625.9, "src": "yahoo"}, "2026-09-29": {"open": 619.55, "close": 651.8, "src": "bhavcopy"}, "2026-09-30": {"open": 655.05, "close": 650.5, "src": "bhavcopy"}, "2026-10-01": {"open": 647.0, "close": 648.0, "src": "bhavcopy"}, "2026-10-05": {"open": 659.9, "close": 656.1, "src": "bhavcopy"}, "2026-10-06": {"open": 665.0, "close": 688.9, "src": "bhavcopy"}, "2026-10-07": {"open": 678.9, "close": 723.3, "src": "bhavcopy"}}, "LAURUSLABS": {"2026-09-28": {"open": 2000.0, "close": 2010.7, "src": "yahoo"}, "2026-09-29": {"open": 2020.7, "close": 1979.0, "src": "bhavcopy"}, "2026-09-30": {"open": 1993.0, "close": 1980.0, "src": "bhavcopy"}, "2026-10-01": {"open": 1973.6, "close": 1984.0, "src": "bhavcopy"}, "2026-10-05": {"open": 1994.0, "close": 1971.4, "src": "bhavcopy"}, "2026-10-02": {"open": 1984.0, "close": 1984.0, "src": "yahoo"}, "2026-10-06": {"open": 1968.9, "close": 2050.0, "src": "bhavcopy"}, "2026-10-07": {"open": 2052.0, "close": 2052.8, "src": "bhavcopy"}}, "NIFTY50": {"2026-09-28": {"open": 23064.9, "close": 22780.25, "src": "yahoo"}, "2026-09-29": {"open": 22732.45, "close": 22716.2, "src": "bhavcopy"}, "2026-09-30": {"open": 22665.0, "close": 22620.45, "src": "bhavcopy"}, "2026-10-01": {"open": 22543.7, "close": 22421.95, "src": "bhavcopy"}, "2026-10-05": {"open": 22532.4, "close": 22555.75, "src": "bhavcopy"}, "2026-10-06": {"open": 22603.25, "close": 22776.1, "src": "bhavcopy"}, "2026-10-07": {"open": 22690.45, "close": 22603.05, "src": "bhavcopy"}}, "ATHERENERG": {"2026-09-28": {"open": 1495.0, "close": 1454.9, "src": "yahoo"}, "2026-09-29": {"open": 1460.2, "close": 1407.0, "src": "bhavcopy"}, "2026-09-30": {"open": 1416.5, "close": 1425.0, "src": "bhavcopy"}, "2026-10-01": {"open": 1422.0, "close": 1406.1, "src": "bhavcopy"}, "2026-10-05": {"open": 1411.1, "close": 1409.9, "src": "bhavcopy"}, "2026-10-02": {"open": 1406.1, "close": 1406.1, "src": "yahoo"}, "2026-10-06": {"open": 1408.7, "close": 1446.0, "src": "bhavcopy"}, "2026-10-07": {"open": 1436.0, "close": 1455.0, "src": "bhavcopy"}}, "THANGAMAYL": {"2026-09-28": {"open": 5100.0, "close": 5011.5, "src": "yahoo"}, "2026-09-29": {"open": 5010.0, "close": 5204.5, "src": "bhavcopy"}, "2026-09-30": {"open": 5210.5, "close": 5062.0, "src": "bhavcopy"}, "2026-10-01": {"open": 5087.5, "close": 4861.0, "src": "bhavcopy"}, "2026-10-05": {"open": 4870.0, "close": 4747.0, "src": "bhavcopy"}, "2026-10-06": {"open": 4794.0, "close": 4758.5, "src": "bhavcopy"}, "2026-10-07": {"open": 4758.5, "close": 4803.0, "src": "bhavcopy"}}, "RRKABEL": {"2026-09-28": {"open": 2530.4, "close": 2459.8, "src": "yahoo"}, "2026-09-29": {"open": 2459.8, "close": 2523.2, "src": "bhavcopy"}, "2026-09-30": {"open": 2530.0, "close": 2518.6, "src": "bhavcopy"}, "2026-10-01": {"open": 2524.0, "close": 2518.2, "src": "bhavcopy"}, "2026-10-05": {"open": 2541.5, "close": 2648.0, "src": "bhavcopy"}, "2026-10-06": {"open": 2667.0, "close": 2789.7, "src": "bhavcopy"}, "2026-10-02": {"open": 2518.2, "close": 2518.2, "src": "yahoo"}, "2026-10-07": {"open": 2785.0, "close": 2722.5, "src": "bhavcopy"}}, "ACUTAAS": {"2026-09-28": {"open": 3272.5, "close": 3214.4, "src": "yahoo"}, "2026-09-29": {"open": 3290.0, "close": 3304.1, "src": "bhavcopy"}, "2026-09-30": {"open": 3334.1, "close": 3279.4, "src": "bhavcopy"}, "2026-10-01": {"open": 3249.0, "close": 3196.5, "src": "bhavcopy"}, "2026-10-05": {"open": 3204.1, "close": 3122.2, "src": "bhavcopy"}, "2026-10-02": {"open": 3196.5, "close": 3196.5, "src": "yahoo"}, "2026-10-06": {"open": 3140.0, "close": 3156.7, "src": "bhavcopy"}, "2026-10-07": {"open": 3160.0, "close": 3174.2, "src": "bhavcopy"}}, "DIACABS": {"2026-09-28": {"open": 353.0, "close": 339.25, "src": "yahoo"}, "2026-09-29": {"open": 336.9, "close": 352.05, "src": "bhavcopy"}, "2026-09-30": {"open": 349.5, "close": 354.2, "src": "bhavcopy"}, "2026-10-01": {"open": 355.0, "close": 345.0, "src": "bhavcopy"}, "2026-10-05": {"open": 350.0, "close": 350.8, "src": "bhavcopy"}, "2026-10-06": {"open": 350.0, "close": 368.3, "src": "bhavcopy"}, "2026-10-02": {"open": 345.0, "close": 345.0, "src": "yahoo"}, "2026-10-07": {"open": 367.0, "close": 369.15, "src": "bhavcopy"}}, "KIRLOSENG": {"2026-09-28": {"open": 2138.1, "close": 2141.2, "src": "yahoo"}, "2026-09-29": {"open": 2141.2, "close": 2402.0, "src": "bhavcopy"}, "2026-09-30": {"open": 2358.0, "close": 2304.2, "src": "bhavcopy"}, "2026-10-01": {"open": 2310.7, "close": 2242.7, "src": "bhavcopy"}, "2026-10-05": {"open": 2265.0, "close": 2243.7, "src": "bhavcopy"}, "2026-10-06": {"open": 2258.8, "close": 2266.1, "src": "bhavcopy"}, "2026-10-02": {"open": 2242.7, "close": 2242.7, "src": "yahoo"}, "2026-10-07": {"open": 2270.0, "close": 2230.8, "src": "bhavcopy"}}}, "entry_override": {}, "news": {"fetched": "2026-10-07 12:35", "days": 7, "items": [{"symbol": "MARKET", "title": "Stock Market Today: Sensex Falls 429 Points, Nifty Below 22,650 After RBI Rate Hike", "link": "https://news.google.com/rss/articles/CBMiigFBVV95cUxQWXZJcDhpRDNTYkkwc0lBd0FsbFpsVnY3OWJrazA2eVBGa3JaemVpazFQRDIxZDhpWWI4NUE2TFdiSHBSc1dRVjc4eFFWYlpfdE5DaHc1S0wybGdJZjNRcDk1VW9tZ1hZZ0x6N2R1X0hOTjF2M2puaXVsajJaejBsZWVtelpYZHJLM1E?oc=5", "source": "APAC Media", "published": "2026-10-07 11:10", "score": 0.026, "label": "Neutral"}, {"symbol": "MARKET", "title": "RBI MPC 25 bps rate hike impact on stock market: Sensex, Nifty crash - Experts reveal what investors should do now", "link": "https://news.google.com/rss/articles/CBMiiwJBVV95cUxQSW0zczhnVTAxeHd2cU1JQ0JxMk93NUpSdmJYd1hKS0xRYXRIbklpR3VVakJxRjROSUJqTGwyZG5jZVdvc0hpa2ZkcjAtV1BlWGVQRC0yMmM1VnVzSVAxT1c1bWhwZmhIWE5zLW1sbXZFcU5rTVdKUFpIS080d3NVOGJ4cFNpVVAweHFYRk53ejl3Z0gzRUF3RE0wMkNka1RlN0doemkyd1JMaUtYV3R1MjBHTkRBQk5VZTFqUmk4M29BWkNsbWxpWWkzVTBFNVRJTEpPMnhWUzN4NVdkT19MX010azV1N3RlSUVQWkx3aE9WZmpvM2tuZ3M3OUJxUXczc3dDaHljN05ELVXSAZACQVVfeXFMUGFtWVFmWUFoOXV2OGtwb25zd3JtZjFVWGN4Tlp4R1kyTDBZbktKOVBVT280ZG5RZmoxS1RkTUJMNnd2T3Y0cTRSVTgycHRXa1FSY1VYUGhpRVpWbTc3UWpUNS1OS3pYazRIeENYY19hUWRRSGRkRjR5QkpWRVlHc0ZVNXA0YWE5bU5ZNUdhNEh1RndnZjVmTTIySHBpY0NIa1FjVVVlbDRhWS1OcTNtT0h3Slk2N3NXYURUM2VubU8tMmxsTGhwdFVXWW5pLU9XT2NaV1FKQTF4SmFfWlN6UU5QTFZUWDh2N3EzMXpSWHVsamtucF82SjVZMEpvX0lMbk9WbTBDTjBmaFY1LXdoWTI?oc=5", "source": "Livemint", "published": "2026-10-07 11:02", "score": -0.273, "label": "Negative"}, {"symbol": "MARKET", "title": "Sensex Today Ends 429 Points Lower | Nifty Below 22,650 | NALCO Down 5%", "link": "https://news.google.com/rss/articles/CBMiqwJBVV95cUxQbllnc0Z1NEU2Q2pvS2V3bWVsMzFwTDFuYUFjdUJHcDcwQmdMbTNfU3o2aG5kUklUSHcyQmtIVWl0QUU3NE9lejdyTzBIeUZDTHZhdnlmOTQ1bU1ZNUVkVTBnZG51Z2Q1ZG1Na0RwZXNiZmVMdHZ4bnplbEdpY3Q3dFA4RTJPelpzb3B3bGJwQU1yaHgwZDBhTS0zUlUyUGlENGNOblEwaGcyZ3kwNm9tS29ZYnE3bDFOeWpNR2RXWDZfdmJIS3l2Unh2U2piNEVKbUpfUXZfNndYVmpfVXVUMlF4UnFlRzJnenFTX1VvRHZOLWhkTVdVWDUxdFVwRUlBbnNhVDU0M1NMRV9ka3B1bHBUX1dPcjY1UG1GN3gyajRnc3QzaW9aQXFoMA?oc=5", "source": "Equitymaster", "published": "2026-10-07 10:32", "score": 0.226, "label": "Positive"}, {"symbol": "MARKET", "title": "Stock market prediction for tomorrow: Sensex, Nifty outlook for Thursday | Kospi, Taiwan cues to watch | 8 Oct 2026", "link": "https://news.google.com/rss/articles/CBMi8gFBVV95cUxNMlVmVVRiR09jS1JEOVdHWFpMTjRha1VCcjZwVl9xa0tfOW9NQUFWczhoQnFHNThxdFdhbEYzV0U0UDBQcDA4V0ZDOVVYQ3lrUVc0NXNjM05Sc1BGUlJ1ZGVqZnR6ai1pWWtlendJeGxnbXJZY3JzVmpYODRDeTRIMDRLazZISTJXME9mYndpclpFYlJrajJ6czVDcUV6YUtQV0xPU25Qdkk2UGR5T1lnLUVVckdaTVhncTFIY0tVVzVIUERnNkloUElwWWVhSlRjeTBqeTI0dmppa0VmWjBGNWgycll6SzNRRkhISjdUMzNoUdIB9wFBVV95cUxPaHp5T0FoSE9IYzNzMTJZd191SWptN1FjSUk5M01MU0pWZkVyeGdibEU2aEpScE1ZUy01YlRkLTd3WlluMEhXWU02NzdMNVVwbFd5MmtkUlpzUHB3YUFPd0Frb19YbE1oVlA1UkRwTWVPamg1Z1VaelMyT2laT3NqX3BSOElTdUNlU2lyc0xrNURaRXBBXzNpWTlKLV9iX2xtRjlieW92OGxkTXRjS2txWUg2TndLam1JSW9QTkx4UG9wVExBdTY4eEdmWmlfVUh1c0ZJQmVfM2dITzg1b2s5eVh0ZDd1NWJLVFNhRUpsa1lnUG1uMElj?oc=5", "source": "Livemint", "published": "2026-10-07 10:27", "score": 0.402, "label": "Positive"}, {"symbol": "MARKET", "title": "RBI rate hike shakes Indian markets: Sensex, Nifty end lower amid renewed tightening concerns", "link": "https://news.google.com/rss/articles/CBMi3gFBVV95cUxNY2h6RTJPNWUxc0hSVl9wRzQxZjQwaTF1ZnRnejNBQ25BQjlHdER1RERNMGQtbXRKNlJ0ekdsTi1VVmVISjBweVVtRWJpbkgtcGdtQWU0UUo5NVZYdlduYnlBbFlfMFp1TUtlQUI5aWJ2YnBrUEF4WFZvNjVoeFJTZE1nVm0zbDk2eUpMbUJfUmFtcnVFVkZEUUR0Q1dJcGFXQXY1c2FvS09wb2RRU2FXRWJpeTl0RnY4S196dkNVTU1KVElna0ZfcmpmNi16bUNJLTdpdm02cExPQ09wWWfSAesBQVVfeXFMTnhVT1hmTGRZWU5JVndGZUhtbi1MM2hVaEdBWWtUdWlBcU9QYlBzbWRQWEdZSC1pbmhjSFlPUjJDelVYQzJJTkpzNE1sTFpXWHIxZzVaM1lHbW51SW8zZnMyQWRRZWRISXZFaVBKajZNcjJLM29GSHdROHNGc05iMm85SVQtMXpVUjE0TDdqVGZ6UGtxTXBzTlNSOE5ZZWpLWkp5b2paMU9nbnYxYU0wczhLb2Vla1Q4WVFGVGtXSElzVEFyd21mQW5NWFprVndDNm50ZjZ2ZWlRaHZ0Mk5WWUpYYmljOUZ3U0JkZw?oc=5", "source": "The New Indian Express", "published": "2026-10-07 10:24", "score": 0.226, "label": "Positive"}, {"symbol": "MARKET", "title": "Sensex settles 400 pts lower, Nifty ends near 22,600: RBI rate hike among key factors behind market...", "link": "https://news.google.com/rss/articles/CBMi9wFBVV95cUxNUlAwbTFOQzAzVXpaS1JZUkt5VjFFUGRVNmM5MTktZlI3VHYwdTd1eXdwYWR3NTQ1X3M3RkVuMEIySG9YSDBjVnJPRWEtQkg3UDBsSFlvNlg4MjVSTlJPcDdWekRnTDBPLVFtd1B0dEYwNi1DblllaXlLVDVPUE1xbmpYeUotSUJxNXVHU1dLUlVfQjZaOVFtSHg0N1JyYWYwdEZmS0F5Nm51ZkEwQllXLVBrTjA0anA3YmREVVZFQTQ2WEktbmxuOW5fQlVVLVFQdnBsdE5KcjVYUmRzR0czckRCWE5XS2lad250dW9fdnJxem1obUtV0gH8AUFVX3lxTE51TnFNcHNKTmtZdUFvNm1naDhPOFloZjNtQ0JTR3JxTEZMVlFieTBGcWtjMll0SXZseU9nd2lnUHRQbzhGRDk0SEJQS2F4VDRMNzJ1eGpLeHlfYnNzX1hIb1RTVzZmTEFpTC1tSXE2SGF1QUh3cFhNdlVkdmJjcFRldWdvYm5BT3NkUUpuaEFlT002cHBLckpZNnd3M2Iwd2NCTmN6ZFZPM21zSEpOT2lGdUZ5b2F4WktfSDFDS0NBVWJab2ZaTDBDVFBIekh1UHNmVG1lRldJczVEZmt4R0l0SE9CY21RTF94Ry1kQ0xrRWtIanB6UVZqVm90OA?oc=5", "source": "Moneycontrol.com", "published": "2026-10-07 10:09", "score": 0.226, "label": "Positive"}, {"symbol": "MARKET", "title": "RBI MPC 25 bps rate hike impact on stock market: Sensex, Nifty fall - Experts reveal what investors should do now", "link": "https://news.google.com/rss/articles/CBMi-gFBVV95cUxOXzVTVlhRM3h0b1VfdTFSc0JZSmhtMks0TDhheUZ0VFpkRnJqbm4xZmlGVjNDLU40NHdVY3h0YlVMcFV5eHA3aWdJQU9mb25HT096YXEyTHc4ZUN2cWN0NG9fNF9CY3AwVEo1LS1EWWxOTTFFdDVWc1JRV0xBR1A0YUVXby1CZ3J0aFhhNmNOdXV0RVM3U21FaUZ1a0VTTXR0cnJJRTdjTzI3SlM5dlotSnNqZC1GeEtIMldjTXVIQW8za0d1QjcwS0JLblIzNFhpazRMd2xNWmtTanZ5cGlsQ3E1bTRScElHM0tCaHVZaHhZTlpkVmxWS1l3?oc=5", "source": "TradingView", "published": "2026-10-07 08:05", "score": 0.077, "label": "Neutral"}, {"symbol": "MARKET", "title": "Bank stocks rebound as RBI hikes repo rate; Sensex, Nifty trim early losses", "link": "https://news.google.com/rss/articles/CBMivgFBVV95cUxOWnBzZWZjcHJib0NUcFVNWldhaFZxbVV3RVdKa184dkl5QlVKWDd3ZHBvYk9sSXhOX2hwOW80RG5wRy1McFVrRDhaREZDcndUb2dZSUJqMXBmel9pOS1fQzR1U2pna0lNREFLODY1U3dFaklCRzI3ZWtNT2FWQWlaLXBLeGVxZHc0dzhLa0JNZDR3WEJZa0NrX3BRbGhmTGpiNnpORFdFVmtYUllnc3VzMUZBVUg3cGVZVFlJb19B?oc=5", "source": "The Federal", "published": "2026-10-07 07:58", "score": -0.026, "label": "Neutral"}, {"symbol": "MARKET", "title": "Small-cap stock under \u20b950: IT share jumps 14% despite volatility in Sensex, Nifty 50", "link": "https://news.google.com/rss/articles/CBMi-wFBVV95cUxNaG5mTXd0SHZKa3hzM1hwMEMxTnNkZVJoLTd5MFZZcWM5Z1ZwbTZid2RTdE9uMWtVUllGa2tPYXNJMVUyR1Q3VVV3S0xwRWl4REdrWWhvZFBrVWF1NVh0TVM1UjRYQ0tTVFpVRVY0a29RTjI3U3RwV2dRakYtcU5QTlI0WTNvOW1FWUdVVkhWUTNnY3dCV2lhT20zUEI0NXphekphQk5JVGFnLUNVaWo0c2kycWs1NXFFdHlLN3FYYkU0SVVxbWRscG5NUUFERWhqMkhrbThNa0FwNFZEWXVJdWlSTDJyUlE1SXgxYVJkWTRSd0Ria0ZQcnYtSdIBgAJBVV95cUxQY2FyWXB1eGdpNV9sNVByV2c5ald5TDR3WGd0TzAyczRGTTBqYTJQYjZ1dVctaHZjUVNEVUk3d3VLVWRhcWJCT3ZNUzgxaW0zV1VzczFUNEN2bndneFRERV9WdmR4ck5sZ0w0TWFmSllaczJ4c1Zab01wOF8wQm52S3FyRkJWN0F0RWpjSUVRbDhlTF9TMG1Kc0syeWJ4aTBJWm1kd2VHZldITzNCblZwMG9hWmo4SEotbExheE1UY1VCMFVBaEczd0E0UjYzQmhfMTAzZFpJRmtUR3ZvNEQ0RTVLS3h0dk5JZkp4YktzRTg4Q3RvZl8yY2NXN0JHc1h4?oc=5", "source": "Livemint", "published": "2026-10-07 07:57", "score": 0.691, "label": "Positive"}, {"symbol": "MARKET", "title": "Markets fall in early trade after two days of rally; Sensex falls 460 points", "link": "https://news.google.com/rss/articles/CBMi2gFBVV95cUxNTUd0MnhzVVg4aTU2OTFsSk1heV9CRWFxajd6VGdpNk1seWc1d1pGRTdaVFgyeW1KOTJIeGk1MmxIdlVsMFAwU2ZSV1p1REhHanFqbnlkQVEwX3VNaVhVbXI4MXFRaXNZNkdQcmxZV01rWklhSHhHa3ZLbEg5LU5CYXhxemlSdDJmZFRQeXUxbVI4dnlkMk96YlFpcjNNcGZXWmkwVHpyeFVhYzE5LXVodGJVRXpmbHM4YUFTd3l2TFhZX3NpTXNXSUJuYmY5T1E4aGJvRy1DR194UdIB2gFBVV95cUxNTUd0MnhzVVg4aTU2OTFsSk1heV9CRWFxajd6VGdpNk1seWc1d1pGRTdaVFgyeW1KOTJIeGk1MmxIdlVsMFAwU2ZSV1p1REhHanFqbnlkQVEwX3VNaVhVbXI4MXFRaXNZNkdQcmxZV01rWklhSHhHa3ZLbEg5LU5CYXhxemlSdDJmZFRQeXUxbVI4dnlkMk96YlFpcjNNcGZXWmkwVHpyeFVhYzE5LXVodGJVRXpmbHM4YUFTd3l2TFhZX3NpTXNXSUJuYmY5T1E4aGJvRy1DR194UQ?oc=5", "source": "The Hindu", "published": "2026-10-07 06:46", "score": -0.25, "label": "Negative"}, {"symbol": "RRKABEL", "title": "Nuvama initiates coverage on RR Kabel with \u2018Buy\u2019: Sees 20% upside on export surge", "link": "https://news.google.com/rss/articles/CBMixAFBVV95cUxOTllBUndlanc2Y01YeUhxTFJxSHBndmQtQjdBQVkybjdUbG1Pd2FFakpjaVItQ25iT2tSYTBzelhwbmpzdlowV05iOU5sWVNHUTZqRHllNUNwTndoaklVbmJMLW02WWF2VGQ3ZWsyTUtNeXpRekI4amJRVnlXelZwaDgwSGljV1pyQVZ5ZnNPNVNpSFQwWHBaYWpvRzlPZTRqTXVTbUpqM2FRU0dBc1lvejZoODlfRzFCcksycVhRZXJuZjcy0gHLAUFVX3lxTFBBdjRZUHFncWJ4TXFHRmQtZXAzZUxRdlp6cDFrNHBrYkpsN1VTbThEaHFDYXpnb0xfamhiTVBIR1ROcFYtSXJpREJ1Q0JWS2FkeE1xanZoLVFIaS0xXzhUeHN3azRVOXl5WTNERFcyQkd1blVtYkdRZFZacmFrclY3TF9kMGJsNXl1SlVPWU1qUUdLVlNpV0dPUGpGeXU1N3N0NmNoSy1pcHBCV2J5VWRNZzdmeUgtcTMtUVVHWTJfTVBLWXlwd0h6aVpn?oc=5", "source": "The Financial Express", "published": "2026-10-07 06:21", "score": 0.718, "label": "Positive"}, {"symbol": "MARKET", "title": "Stock Markets Today: Sensex, Nifty Decline as Crude Prices Surge", "link": "https://news.google.com/rss/articles/CBMiwAFBVV95cUxNUlR3N3hWTG9Qc2dibHNNaFVsU2Zrb0lKMVBCMEpBbUE1dzhmZHhGT2ZYbUdYemozellmTkdUcUlEZy1RUndNekl4dWxOZ2lsMUJZZzBRWFBCZ2h1T2xGUXhyS2xVZjdQS0lmYnk2SFlYSTR2Zk5QeXpxcC1ENHdWX09tSU4yRDd4c3lYdmZkUHllV1ZBbGYzQVFaLXJGVnJteTd6VWRYNkxYS3NLdmo3U1dpVGdwQ004YzZ2OURRQ1bSAcMBQVVfeXFMTzRncTFVN3huS181Rm1Wb28xbU5CbmVDOExwc1BYcklpczF3eFhJUHZRQWdBUDUyX3VjUzVNOHB6OVdZTk5QS004OFRKTjZ0bHFENF83aTZVMDYyOU90NlBycko1NkY0ZDJZQ19pcFlRakcwRTRvYkVUdjk4NG5wMDl1ZDNpZUtlLTlvYW5HcW5WS2ZwWWpHTXZPblhSUTR0R25fNEJoLVVDTTFKZWVMT3lnc19PNm9KQ2ZmSzk4XzI3VkJv?oc=5", "source": "Rediff", "published": "2026-10-07 05:29", "score": -0.103, "label": "Neutral"}, {"symbol": "MARKET", "title": "Sensex, Nifty snap two-day rally ahead of RBI policy; crude oil spike weighs", "link": "https://news.google.com/rss/articles/CBMivwFBVV95cUxNd2w0UXVpYnZLeTRZeW5QdWdiY2RNY3pzTzFnTVM2QkJnems3Z0NEcXh4Vmczc3pobFJsb2ZhT1RESzV6M01jU0Z6SEsyS3A0OTltWDFvbTNQamxOcVZkdkxRTXNVYW5tM21aYzQ2bXQxWVFlV0hlT09laFpNMzdZLWpjZXRETXlFVWotRGxNRG9YdUhNdkFTaHlPb19uNGRyNl93eE5iYjA1anhtVmRvTUc4azRGMjFnOUpSNERBWdIBzAFBVV95cUxOeG1kSVdsNlZsNnJYUGxJQTNfTlN4ZWhrX0NWMXlmTkQ2d2pudmtWSWVGQldjZ2RrV3hGWnkxRHBSRE54eXZXcDNHOXhlb0Q4djV3SVljQXlOSUdOZ3JRT054WGlkVzNiQ3E0cHRSbFg2RWdtYzc5X1ZPUXFRNnRaakRReFRtUnJMVno2X0stdHhtMEpwWjkyVVZ3ZkFuaGJ2dWJmZERibUkzNjN6OUxfZTd2LUdIYmpBUjhxQ2pTcnFsM29IODZUc1BpLVg?oc=5", "source": "PSU Watch", "published": "2026-10-07 05:20", "score": 0.25, "label": "Positive"}, {"symbol": "MARKET", "title": "Stock Market Open Report Today, October 7, 2026: Sensex, Nifty Decline as RBI Hikes Repo Rate by 25 bps to 5.50%", "link": "https://news.google.com/rss/articles/CBMi0AFBVV95cUxPWHFYaXdTMHI5dDJTa1pXVHhGZENhMS1hRXZudVVqd25Id0RUMmJNVGZtVnl4dXpxdXkzMkRETWFjaXotWGtBenJnQS10LU90X0NyN196U2dHUjlzUThyVnJkbG9sWjBlN2REN0V1MVVmYUNEUERYeFlDZUJjQU5hQWc5aHloLXIzaXB4V3R6QjR3dWNxVWZhR3RnUzBCanFkOWdkdDNEUG1VUU45SnVHdXZabEVRaG9hRC14TXVnOV9TLUxBRV9DNTJKZElUZTlJ?oc=5", "source": "HDFC Sky", "published": "2026-10-07 05:19", "score": 0.026, "label": "Neutral"}, {"symbol": "MARKET", "title": "Stock Markets Today: Sensex, Nifty Decline After Two Days Of Rally", "link": "https://news.google.com/rss/articles/CBMiywFBVV95cUxOQ3RtVXlOVm5oVDN6UmhwMUlBaGZPQTNLUm9rc2FIXzBKOFBOSXBHZzhVSXNlbU9BXzUxcGNYN0RsTHJ4eENyN3VBVnN2SUNhU0lMN1JLZ3cxWFNuRGVFX0RJWWRzNE5tejA1NDlvcnRybzZTcnBKQ2VPeGJrRzE1TDZSZ3BycWFwTG9NUXhnYlFMcmZ2N3h4SUwxNmU4bHhURTdnaF9OcU5CWXB4MUY1Um01NkxYMDRJUUNxaTFwZ0VVUkl1UjNxUVMySdIBywFBVV95cUxOQ3RtVXlOVm5oVDN6UmhwMUlBaGZPQTNLUm9rc2FIXzBKOFBOSXBHZzhVSXNlbU9BXzUxcGNYN0RsTHJ4eENyN3VBVnN2SUNhU0lMN1JLZ3cxWFNuRGVFX0RJWWRzNE5tejA1NDlvcnRybzZTcnBKQ2VPeGJrRzE1TDZSZ3BycWFwTG9NUXhnYlFMcmZ2N3h4SUwxNmU4bHhURTdnaF9OcU5CWXB4MUY1Um01NkxYMDRJUUNxaTFwZ0VVUkl1UjNxUVMySQ?oc=5", "source": "ETV Bharat", "published": "2026-10-07 04:57", "score": 0.477, "label": "Positive"}, {"symbol": "MARKET", "title": "Sensex Today Trades Lower | Nifty Below 22,650 | Asian Paints &amp; Axis Bank Top Losers", "link": "https://news.google.com/rss/articles/CBMi2AFBVV95cUxOY3BCdHJiTGJNdi1WWWtuNEJSc216ejZrNFB6cDVPRWhsc3BaTlF2TmEza1F6SFZfZU1KejVBd2k4YU5ubGpCMXAxUElod2NsSDhsUTExN3pSLTJjd3ZGUHoyMkZYUlcyUlJUV21vam5TTVRPY09EMDQ2clN1TnVtMEo5M08yamRqVFJwcjgtdVFSUnFtT0FOSHRSNXh4SnNNUWFIakZDd3Ruc010N2hULUVzRUhsYS1GN29raFNPZlBhOXZ5c1ZyeWUxZFdROTUya0JXMkd6U0E?oc=5", "source": "Equitymaster", "published": "2026-10-07 04:44", "score": -0.178, "label": "Neutral"}, {"symbol": "MARKET", "title": "Nifty, Sensex open in pressure ahead of RBI policy as investors cautious on growth-inflation dynamics", "link": "https://news.google.com/rss/articles/CBMixwFBVV95cUxOaHdtMmlBYlcxWV9oYlg2enVYa0dGWHN5QmZHTXFObDhzN3hFVFFGMjJaRmxSSW8tVXBwaUcxNk1PWEpiMENhQXZwMFI3TlVZLXZkV3VzcVpNYzU4MTFnTTI4d2ozOXJqdTdQX1pYa21BRHVCay05d1E2UXpPOExzX0FoUnVtU2NYR3JRb20tTF9paGxJRWJwaFY4TXdRV2NqVE1GdmlBNkFSOVNwR29fT1pWbFNLV2pkalFiRzBrQlhPYWZsbC1B?oc=5", "source": "ChiniMandi", "published": "2026-10-07 04:33", "score": 0.296, "label": "Positive"}, {"symbol": "E2E", "title": "E2E Networks Share Price hits fresh 52-week high at Rs 720", "link": "https://news.google.com/rss/articles/CBMiiAFBVV95cUxPNDBzTWZXYUdHWE1DYWFzdmx2QVJOeWZCUFFocF9zWDJiZEJCX01uN011SHNBVTA2SjJ5WGs1NTBnb0VLWHVpSUZQaTFvNTBFNEx3aUs0Rlo5d0VQZFo2U094bHQ3MnFXUklYWm1FdlpwWUpVdkFkVkxXNGFBSl9PYXpMVEJGVk5M?oc=5", "source": "Univest", "published": "2026-10-07 04:06", "score": 0.361, "label": "Positive"}, {"symbol": "MARKET", "title": "Why is stock market down today? Sensex crashes 500 points - Top 3 factors behind market selloff explained", "link": "https://news.google.com/rss/articles/CBMiggJBVV95cUxQcTVBbXFKdXd0b3pQV3dfcmZfZUpnamxSbHpNaEtXTVplR1lMb0FVUlhQOEU4V2p0TW1NTXFmVUExY1c4WThlTzlkVVNXa3lkVTBwTzNseFh2UkM0dzVIS0R2aTBUWmYzZHRhYnoxbS02Ym96UWFqdWpmaGVWbDFyekJ3dzhIRTFCNE5GRGRIUzRwVEdkdERDbVlFMWFvYm1PSkFVTU81RnhaN01XVEpQQ0ZlRFJvVzY4ajZza2Z0TE1qWlpCZTZ2d3RZT0Rha19FYWFESWNfVXNra2lDOEhoQWxBTGNrRUhGQVYxd2xRX0hqMk1uSzRpWGU0TXRrZGl0U1HSAYcCQVVfeXFMTWYxSFBpcEhQVVlUcmtuNDR1LUZ2Q3RDeG5ycUlYbTd1d21wYW5jLXZZenJBc0FEbFA5dE9zSUpQLVJ0M0k0NUd0N1BKdlI5YTJXeWp0Vi0ySWpwNkwtNzdNd014UTBRNVY5ZXdxdG1xSjhmaFVDNURFb0h3NElZalBlZ3ktLWxBTmF3NVlwWGtyalNqeGE1R3FjVGw4QzlUMDlpcWwwYUVrZUY4SDhsUFRaV1p2MzhjbjdjVkZ2WG5pa3B5MnBTWktHVHZaNDZ3OGdSTDg0UmJwcXFzaHdaa2w4OFVTT3RKRHZuUkZLUU00bWNGTE1zUzJKUzNGd3FuTDhOMXBlSlk?oc=5", "source": "Livemint", "published": "2026-10-07 03:58", "score": 0.202, "label": "Positive"}, {"symbol": "LAURUSLABS", "title": "Laurus stock funds renewable investment as earnings stay strong", "link": "https://news.google.com/rss/articles/CBMivwFBVV95cUxPOEZ0d3B1TmtudmI5LTFlS1doNmJkNVB5QV9jM19nSjB0cnJFRWNvR2V5MHBUM3hrbW1Na3V3V3JjQm1SM21tY18tekVSUkZaMDItdjcyTldsX21VMVNZMDdZaTdsWkpyUTlUVjJkbVZkOFJ0RzItN1NHM0Zyd201SWNqWVYwZktRVi1Kd3RzUWFqNHFWOExzSWZjYjVodU1nRzJhV212c3BSRlFJRE1heTM3OEN0X2RWRFlmdEZuOA?oc=5", "source": "AD HOC NEWS", "published": "2026-10-07 03:52", "score": 0.382, "label": "Positive"}, {"symbol": "MARKET", "title": "GIFT Nifty falls 100 pts, signals weak start for Sensex, Nifty ahead of RBI policy; Asian markets decline", "link": "https://news.google.com/rss/articles/CBMi-wFBVV95cUxNd0o4d2tXQ0JpZXNhY3UwQ0VFdnl2UHpjQlpvUk9wSm1Zb19pY1VLQVFZT3lkRjRVamR1cUYxb0xwNEViX21veFFoanYyLXlIUHVoUXRwRDRpckt5SjlOWTU1RjBHSE04cUI2aGN3Z2VvUUFqYmNxLTZxckViWWhvM2s5Ri1iWkMtNUpYREpSVkJvdTJpeGVLX2dWZFFXSzI2MHdjYzRKcHJIbEFLMy10Y2tuZ3hybHZWVzlCSTA4ZkY2aGRHQXUxRUd1eDZQOVc4T1VQQm1ORVgyNFBweWtYQVQwTEpaY2VBTnlTTVdwS3JsZ3VFcXV5aWpSUdIBgAJBVV95cUxQNU5JU2J5VVJXNjg0Vk9fWFNzbXAxaEdHTHZvV19oYTdmcm0yWkQzRnJxSmtzYTVtdk9MbFpDN0dlUzhLX2FhQUhRMXllTVlXVDZhQmdBdEplVTJ6bTdEbTZKMThvNlNlOFpfalFOQXRGWHlzUWphRGVSdk9GZmhpTDJiZ1A4T3UxSkpvWE9JZFF4dXlzNEZha29lXzVsQjJmdF8zeE03MFF0OXFWSkExdlJUNWQtTVdDaC1tSEl6dm9SejhUREJKX3lwVHJaYUhzTlRxbUNnMTd2blAwVW92T1hGMS1xZmxUaGt5YWZxa2NvNkdZZlY5SFRqeHhoM3JB?oc=5", "source": "Moneycontrol.com", "published": "2026-10-07 02:46", "score": 0.303, "label": "Positive"}, {"symbol": "LAURUSLABS", "title": "Trade Spotlight: How should you trade Laurus Labs, BHEL, ACME Solar Holdings, Indian Hotels, Britannia,...", "link": "https://news.google.com/rss/articles/CBMilAJBVV95cUxNT2czdkc5VlREelBxdFBpQUh5VHVVcUFMR05IWXR1Q0hhT09mcGtiYjMycUhqS3Q4Y1RqVnBmX3hYeHJxNGpvWUp2UzJ2YWppaWRiRkU4cFg3QzQ5a0tCNGdla19yZlg0MlpRc2RvWEJJTGNPbldPVGdRUjEyb093VjZ0d0RCZ3R1dlpDdlB4d1psSEQyLW9xa2VWZGZGUkxNWThTV2JSZkw2SU11RkpILS1XY2IyTmMtci1IcklLU1N4elN0eGowT3NaUEtrcEh4UFlnS3BDanoyZnl3M0dhNGU2N2lob3lEVEczcjdwei1NNHdxY2RmalVNSkp0M3NCSVlJOXJjUjVGdFdObC05cENLSjDSAZoCQVVfeXFMT3lZcVJzX0lJaUc5dy1hRjY5cW8yZmxER1FyTkpqaG9IclFLT2g0S29TQXU2ZzREXy1TYmZPODJ6YkdxN2tUbnQ0QWMwekdaUjI1WDR3c0dCZnViRmMxRTh3clpQcnVRb0Rkd09ia3pXai0xV0ZoQkdMZlM5OV9XYVJyQXZLaE5pekFDeGZ5ZUh4blFqZ0l3dHNuV3NSYmxNMS1DYXJDbkd2MTRIS2VNalZPM0dTZXNBa29PMndnSmY2YkVOdmpONWs0MUlSS3ZNTFpvaDNUb3BzOGFfMmQ4eUt4Uk1HNEZtb0dxYk9nME5wYTIwMVRDNWNJT0hfRjBTMU9RblBHS0g5MFRhdkFjbjY1d0JXSGM1a0JB?oc=5", "source": "Moneycontrol.com", "published": "2026-10-07 02:24", "score": 0.0, "label": "Neutral"}, {"symbol": "MARKET", "title": "Stock market outlook today, 7 Oct: Sensex, Nifty prediction - DJIA, S&amp;P, NASDAQ, GIFT Nifty, Nikkei, Kospi, Taiwan cues", "link": "https://news.google.com/rss/articles/CBMihwJBVV95cUxNbGtjekNxdnA5QWRzLW5kQVJBWHR6U0RFQ2JneW9kbmRxM0JCWGw4cHRadzRZM2lldTlhQm5seUxqeUw5a0hzaTBsa0xOUC1hdEZZMm1wQ3ZScFFxYVlKeXdTdjI4bWpNZ2wtZ2pOWHViRG1YWlQ0ZnZhRnd1eThqZlFUblN3MmZYM1JETXdTQURuOGhwLXB2TzBKMkp2d2VET3AzSXRINldlemtxQTlqTmk5NnJqTFRHWG1McDFfZmxDdnFBLVB6eXFFc25VZkljZ2kwbFY1NGtWV3ZPN3E2WlhwVlJMbmUzaldha04zOHFIeUlJWTBJUUUtNGdROTNVbUNtR3dMRdIBjAJBVV95cUxORFBxdEVWTzdMLXE4eERrc2pZSjNxTjQ3cWtHc2NmdXJGNERWdEFOM3doOWk5WFQ3QUxrQW9mOGQxTEx0bXVndThpdzV4MFVVcEtRRkdVdUVYX2lNQzZvTXc3bWNUa3Y4TC1pNWJzYnVKR3FZeEF4VFNFZFlSSThPdnMtY0ViTU95YWdBUWw4N3dTVFY1bTdmc0gwbW1DNlFkUEJqQ3dERE5HQjdjWmJMdEpGa3ppcmJfaTZIWTk3OUI1ZGtVRVEtekZOMDBraHBCM0xsdE9fU2tKazcwZ2NBck9wdXFwU2kwR2pzLWxUYmtNU3pEbmpLbWxWZUxlRGEycVlKZk9JQ1pRQ2Yx?oc=5", "source": "Livemint", "published": "2026-10-07 01:45", "score": 0.842, "label": "Positive"}, {"symbol": "MARKET", "title": "Stock Market Today: Gift Nifty, RBI Policy To Gold Rate \u2014 Five Key Factors For Sensex, Nifty 50 On October 7", "link": "https://news.google.com/rss/articles/CBMi7wFBVV95cUxPa3hucG1MbGJ3QmdDelFwcEtRVDdTVDh1Z0ZSdTljYkJPeTloVUpOOVowMUk1bFRBQWV1VEUzQXpfTWpwZjJWWTM1RW1IMGszamZZYUxKTDVrV3h4M2FIeEJfQVBLX192bV8yckNLdERlYWlFa3lNOXR5aW9QSFNWZjluZGd6Vk1XdmhjNFNjVXRiR19INWVPc3NYWGdBdzRYSlhWemhFV2g4RkZUUXJlckFmVnRwRGJieXJUN0htT2dYdVdlYjFWdmJDbzZvYkcxdlk5YjZGMWxfX2EyVGJoUjJTN0JnS3dUbC0xeHJoTdIB9wFBVV95cUxQZGd2SnU0Ukl1bjBuVlJZSWROVGxUN091Vkh0b3VYWm1JQ2VqVGNmMy1aT1N0Vm1hdTQ2NFNoUnFWOVVfY2NlVG1Ta2V0VktOUXNiQldoeDNhd1JJdWE0eGRYZktGMDdGWFRaeG5pc3RDMWszbEpVMmRoeGMycmtZS3gxbUFMc2J5S2dLbmZfU3pIU3hBZlRlODBSWVhDTU01MDNVOHdYQWN3NE16MDJma0x4WVo3TUdQdi1Odm52a3JmWUNjY1VXOXV2TElkNFR2U3UxQ1VxY2JCUXlKNmVCbTMxTC1WV2tFU3k0Xzl5ZExZR1VkMTNB?oc=5", "source": "NDTV Profit", "published": "2026-10-07 01:28", "score": 0.807, "label": "Positive"}, {"symbol": "RRKABEL", "title": "RR Kabel - Nuvama Wealth Management among 5 stocks showing RSI trending up", "link": "https://news.google.com/rss/articles/CBMi3AFBVV95cUxNemQxbjJMUDRKVHJyblZWNDFsVmt4TVFwZWZ0b2JpY0x6ekZOMW1JbXJyWVhJVlFFMVFSQW5ScEg1NFIyczVEY21Kb2VHME9lMXM2dzh1ZDVZbjRuWkNIS2hfdHRSRllkMFBDZ0VHYjlySEdhWVVtamNTQXllLTd4STFBT0dBOTNsbjJVemFQcVBtaFBhLWI5SjJ3VmJPeDdvNGQyZVlZbzI2RUswOHh1Qm1sdGMyWDM3NUxoRlFyNW4zYnh0LTF1RnlsR3A3TWJHX0JZZHo5dElVd2p2?oc=5", "source": "The Economic Times", "published": "2026-10-06 16:08", "score": 0.494, "label": "Positive"}, {"symbol": "MARKET", "title": "Ahead of Market: 10 things that will decide stock market action on Wednesday", "link": "https://news.google.com/rss/articles/CBMi4wFBVV95cUxNdXRzNlduZ0V3SVZac1NrN1cwLTNJYTlReWVaMXA3OGU2ZlRzVk1lOU5ob29reG5BY1dSZlQwQXJWRVRuWEl0aUFzNDJGYVhNX2Q2QnkwSkFCNU9xUHlaTDFVTnZVN2ozR2lTcHNKeUZVX2ozRkVMeXlZcGdCcEk5cHNoVEw3TkZJZmtfcnA4bFZKM2o1T2VEc084X29ZLU12Wjh2QWRiQmZyZTNDNEtPaDhWZFdMM2pTODktWXNlY2VVODk0bEJZQkZ0Vl9ERGF6S2h4N2hrNXdWUGVINndwdWV5SdIB6AFBVV95cUxQX0RadjRabjcxS0NEVkJ3ZXIySEs4WV9Bd2dURmo1MUYtZVlGdmxxQ01JcHF4VDRWempmZ29teExKODNfWE8tVlBOSEdTYjVhLVctZk82djg5NHMxZExxS3ViTXQ2V2NGR0x0cUx4WjZGTG52WDM2NWlkVkNyT2dlVHNWa0RtMHBqaDF3ZC1hbjRxSXN3b3lDWUE0TGJVUVlxby1GLWF1cExWbkw2ZS1yTEdITnRzY1c0Und6R0YwYVBVSXFIUmJHNnVGcGxubmJEenJpelZ6dkJGRFVtamxsbGlfMU9BSjJR?oc=5", "source": "The Economic Times", "published": "2026-10-06 15:40", "score": 0.0, "label": "Neutral"}, {"symbol": "LAURUSLABS", "title": "Laurus Labs invests \u20b912.09 crore in Kurnool Renewables via rights issue", "link": "https://news.google.com/rss/articles/CBMiwgFBVV95cUxQLXZBYm5NNUVmOVNNRHpFS3dlaGx4STZhQkMtX0FidWlMbTdRYjJNZGJYOFZwVjF1M2ctRDEzLV9LWGkzWDdjTld2dHJ5OXJibzVBVHNXRXV0b1dYNTFmSy1iQWw5LVk1dloxZGk0WHM4SmhaYzFYbjhYc3NiVHFTdWFCZU05eTRBd0J3eEx5SEV6ek1hUGs1MXhvemdRZTVoeFI5aTBQZFNIeGJpN2ZGMmhuMFhWV205OVlXczVDWS1UQQ?oc=5", "source": "scanx.trade", "published": "2026-10-06 12:59", "score": 0.0, "label": "Neutral"}, {"symbol": "RRKABEL", "title": "RR Kabel - Netweb Technologies among 3 stocks showing White Marubozu Pattern", "link": "https://news.google.com/rss/articles/CBMi3wFBVV95cUxNSWFiMHU1Y2VrQUNHTElXaTRQbHpqTHFzWkhBWUU1WUtpTDFncWlrYmNwV0Y0dS1XakllVWJxaFZYczlMTlRvcERLbmV1V28zQnhKanF0a19wUGtfR0pGMVlPNDlpUVc4azRmRTVsMjVlMmdqVHhkdGJHbHJPMklrc3dqLXhBTl9sb1dJYU90UWh5YlA3X3A1REkybmxqQnZxLVJLRkhrN1FDV1FHaHctMndBMXhhaEFrYWh5ZEZOYWI2bkZyQ3N1MkU2cVU0dTdFTVYxQVM3Z1dLTTdNUDFF?oc=5", "source": "The Economic Times", "published": "2026-10-06 12:08", "score": 0.0, "label": "Neutral"}, {"symbol": "MARKET", "title": "Indian stocks rebound strongly as Asia firms; RBI decision holds the key to market momentum", "link": "https://news.google.com/rss/articles/CBMi3AFBVV95cUxQSE5EbFFtT016ODBSVG1IaW1FR0MyOElmblhlUWw5QnppSHRkMEtUcnIwM1hMU2NuU2c1RzRZWS04NlZIa3N0ZDZrakVLX1pnMWI0Nl9iWHJ1M25pckRRODdfcVBOaVktMFlEYW9nRWZ0WEV6V3I4NThjel9KWGpLSWR1b1VPM05mdGF2MVl0MC0zV2RFRURaZUw3OVYyT1piQ1RVWTNBWE5FamZuSk1FN2FxMVdaR0J3RkJqOE9mT2lHUHRIcGlNRkQzbkFneU5KSFYzU3ZlZ05LLVpi0gHqAUFVX3lxTE5VbDhhdGk2bjVBYWRzRlFmc2hVRzVjQ1RZNzRFWVhvTzZvb2xSaXBnZjdoc1JQWVdjbGF0LUFNZWYwWWdoWHhOVzFKd3JGNGJRRkhLOGlpX0dLbjFNcUE2Um9UYkxXaXdTTzNMb3FTTWcyNXhWZ01MRXlXZ2Y0Q0JTQTFSOWVhRU1YdU9QNkRzSHJidjVwczl1b1loejZOekRXZUM0SWJNQWgyN25DZDFid3hreXBFUnhmbEUwNnJGcV9wLUlpbzhWcmJ5TEdPSV80N3hLV1k2STEwU3c0dWRaM1NkRkNXZnRTdw?oc=5", "source": "The New Indian Express", "published": "2026-10-06 11:43", "score": 0.273, "label": "Positive"}, {"symbol": "MARKET", "title": "Sensex, Nifty surge on falling crude, bank stocks rally", "link": "https://news.google.com/rss/articles/CBMi0AFBVV95cUxPRmdFU2M4RThEY05Odm1kOFpLbU1oYWc2WHNaVmZzaU02Y09NOEdySDB5TEZxdndKbEM0RkhCVnlNZFlLYlBpMTgxdThpcmt0Zl95OG4wb3RWTXp3V2htOGhIOXFjanJEczFYam83X2pmNWcxamt4M1VUYTdGUnlCMjItRjVjdjhfWU50bFBCY2NRZjhGNEl4Rm9oSVNsVnNqT0lVZmgyR0JNY3JxeXo1eU5ISXdHcGhadWxwZHBYWThqTnphSTc5ZkZrOGpORFRD0gHTAUFVX3lxTE13TkpUcnEwbldvXzZTekhfc09aU0pYdE9SSWh1RG85S0lSZnpod0FCUFdSMjF5SXdPR2psUGh0RHg4OXRPSUhhWmtWWk80X3h0aFp1cVdYeG1lOG96bGVEbHFOQzZrSXAtZm1SQU5RT1NQaU1WLTF3TzlTYWctSnZYZmRsWkFHX1ZYck9wSExBcWlFMHBLM195VUY0d2t5ZlBBRnY2a1RObVJjOEdKNkwtcU1YZVFvaGhPVlFYWmYwU2kzeU9VcDd3NmRWUVY2SXkyWEU?oc=5", "source": "Rediff", "published": "2026-10-06 10:57", "score": 0.557, "label": "Positive"}, {"symbol": "MARKET", "title": "Why Is the Indian Stock Market Rising Ahead of the RBI MPC?", "link": "https://news.google.com/rss/articles/CBMioAFBVV95cUxOZS1GWEJFV29qTHduMnpnTS10ZnNqaElCQ0NuNFJvQkxiX08wRW9TR3cyV3JNUy0tRC1hdTA0ZjNaTzdlbFg1a1oyUW5HZjJlV200UVZSRldVd014Z05xT05xdFNnam5CUWVSenJyZVFzN0Z4T2F1b0xOS3VwVW5GZHpmdjgyMDQ3T0h1cjZvSmtFWmtsM0l0RFpsM2c0S3Ja?oc=5", "source": "Univest", "published": "2026-10-06 10:54", "score": 0.0, "label": "Neutral"}, {"symbol": "MARKET", "title": "Sensex, Nifty Surge 2nd Day on Easing Oil, Bank Stock Buying", "link": "https://news.google.com/rss/articles/CBMipAFBVV95cUxPWHVNQk5rbFFGZEtlam93TG5zOU1QYUJxc2V5NWpSSVVwc1VSbE9BSkZBQ0hXdF9EbHNYZzhncG0zMGxCenZrWXN1eVBjdkl1aEpwWi1RRXpJYU9zNlI2aDZpYVRrVWZ2RlZ2TEdUU1VGaWw5VW1KZ281elRsVTF0RjhUbGZuUkJ2QmYzUjFXWGpSckY1dzlzLWxxVzVRejc2YkdIZNIBqgFBVV95cUxNRGpoVUxreDZKZV9jZTNBUHhEQlZURmZ2b1VoMnVqbmREdDRRTGRERncwZWtVZDhQLU04STVuZHFfVUg3OEl3RmZHdXA0OUxlNWdEdzBpWnp1NTgyMlVqRWZtV3lYZk1JZHV3YmlOQkZfbDNaNVdncWJlVUM0TzR0dGZ5c1BKelk3ZWJ3OVRSVmYxT2dXUlV1YzYyRERoU2cwLUpzT3lOYk4tQQ?oc=5", "source": "Rediff MoneyWiz", "published": "2026-10-06 10:48", "score": 0.784, "label": "Positive"}, {"symbol": "MARKET", "title": "Sensex Today Rallies 685 Points | Nifty Above 22,750 | 3 Reasons Why Indian Share Markets Are Rising", "link": "https://news.google.com/rss/articles/CBMi7wFBVV95cUxOQTlLZV9obFhRTUxhZHhJYVJ2UDdhTzlhVTVKcnQyNi0tWTVRekZhVXFZUUo4c0NrUHo0Y1hsU2lOdUlYMi01NFNhV25JQVU3YVl0REczWEdLY0VTVXpESDBraEY3OWt4WEQyM2tnUF9nWno4cXA1Q1BkYXFRRU1YV2VGU2pyT05WdUl1bXJ6MFN0MDRQdHNNVEpBNFkya2QwSzZ4NVR6YXROSm54ek9XWWwyUVR2VmNfNDJzaFZmM09Ec2RUTkIxdkQ4OEFHZWdYVDdjWmYySl9TYnJRQkFqU1c4amVSWjg3aGEydUQtcw?oc=5", "source": "Equitymaster", "published": "2026-10-06 10:35", "score": 0.691, "label": "Positive"}, {"symbol": "MARKET", "title": "Sensex, Nifty end higher for 2nd</t>
        </is>
      </c>
    </row>
    <row r="3">
      <c r="A3" t="inlineStr">
        <is>
          <t xml:space="preserve"> straight day: 5 reasons why market rallied today", "link": "https://news.google.com/rss/articles/CBMitgFBVV95cUxOM1M1LWdKOG5CZE1FX1NOWk1PcWRtajNKaXo2djkySS1oTV9QWlE3LVRTaFpWWGdueG9tLXc4a1ZCT0YyM2FtWmUwQ3J6dWlfRjc3S2REc1JLT0F4UnVNaklkZExaYkVyaklvNmJqM1E0aDRtYXZJY1IzUWxTbzdxb3BOZGJ0SHAtTHB2V1Y3X2NiczNud2ZiLTh4RGxfdXJyUF95TWk3MlhnM2xyMnNtT0w4N3M2dw?oc=5", "source": "IndiaIPO", "published": "2026-10-06 10:33", "score": 0.557, "label": "Positive"}, {"symbol": "MARKET", "title": "Stock market prediction for today: Sensex, Nifty outlook for Wednesday | Kospi, Taiwan cues to watch | 7 Oct 2026", "link": "https://news.google.com/rss/articles/CBMiiwJBVV95cUxNdTZOcVZ0NjNRQVZQMTVEaUFiV0s3SDhtb0pYVzRVR3FXVDZCU2hzSWR5bUN6WWFjWlpySl9QQldDRTNNUGo3WGZJV3JpWnNpTlI5RnV6WUpiWG5LWERQVXhqNDdfcVhBMmRrSXBBeHVfQW9IYUZ6RlQ3OXEzTFltalpIS3Z2YUhqR1IxcC00aUxXcmM0TFllZHhXc3BtcjlHbVc1ZTlhX1R0RjR1U3VfaFpBbWQ4dFRzS0pycThzdlhGZXRIU3VsVGJSd0t5MWdzS3VxMk5Mb2l3RUZMUVJmdUJiUkhDaEN1MzdzTTRpTFVwQWFKUW45cFE4YUdyZ1RTVm4wNUpTQ3dpaU3SAZACQVVfeXFMTzBXR0lpZ3lwMlFJSXBjaEFxa1pBdG1xU0tsZllvNnJFNTFYTjlpVVVmOWozUElsZEJzN1pMdHQ4TmJQN0hOOUVQeFdFX0RKOGd3cXRyaXEwemRpYzBXNFd0c3N0di1rSmFvendiVjhnUU8yVnZzY3RPRGpNSGRrT1JlZVR0WndDQTJ2ZGZkamRXcjlNVWJRNkc2V1N1VnhISXdOeGFsZElyU2pBTzZudzNyYm1UMGdFTnc5VlpzRGwwbUxQWXZZZWl4MEdJLVpQSFQtU3ppVE1zdUU5VjVrMEVONEdJRzJLOTlZZENETDVMU29malpZYkx2d05fZUJmRTIzTEpnY1ZTbU9nNlpPaTI?oc=5", "source": "Livemint", "published": "2026-10-06 10:19", "score": 0.402, "label": "Positive"}, {"symbol": "ATHERENERG", "title": "Ather Energy Limited Share Price Today: key price action", "link": "https://news.google.com/rss/articles/CBMigwFBVV95cUxOQXNPV281ZnNwaXYtVTZSNFdEcFlGVFU5YkRvT2JqQVJCRkU3QjZ1UXRLdm5YWGFEOG8yM3VaU196dlQ3MEctM1dWelVXaGtxNFkwNS1YdERRaXFkSERoTVJ1Z2lfb2ZRZXBIcWFlWjlQbVMyWTVkejRXREZOVHp5aUtJZw?oc=5", "source": "Univest", "published": "2026-10-06 10:15", "score": 0.052, "label": "Neutral"}, {"symbol": "MARKET", "title": "Sensex, Nifty Rally Decoded: Three Big Reasons Fueling The Pre-RBI Policy Upswing", "link": "https://news.google.com/rss/articles/CBMiwAFBVV95cUxOWThVcnJlSWpkU0QzNDF0WnY1Q0IybkhlSVRmdGpFMFE1dDFvZ2lxYnpXVnVoclVpbUFneTA5cDJ2Y3k1akphYkhYaEl6MU4tc3paVjZLQ25Xa2oyN3dadFJVemtDYmlHbzA1dVZfaU9iYnFDOHN0QklwRmdmWkpLTDVkcW8zZlpYZDNvVEE5amlIYlR3VnRkR0xFYWtsRW90MGN4dmxxa1p3U09ud1FLcGxsS25DQW1IVkNCbWxiX1jSAcgBQVVfeXFMUGtCLTkyQlZmNFhiNWYxY2dnUnVYOU15WGp3Zlp5RUJNLTNReU5uTWlXNHZ6Qk5XMVZXdzNFQWp6MkhHamFZRWVmay03bTV0RjlTdWIySUloSU16ckdtckt5SEI0Yk9HOG9BWnRoSG5EMTJKeENZaTRpZEZpMzJPZFFoLWtvb0lCVXllcFFaWlZlNTRRUE9obXdFSlNSNjF3QktiTjhJUTFENEk1VExSUUV3RmI2amxuVC02YW43VEd3UnVQemJrZHY?oc=5", "source": "NDTV Profit", "published": "2026-10-06 09:48", "score": 0.691, "label": "Positive"}, {"symbol": "MARKET", "title": "Sensex, Nifty up today: Why is Indian stock market rising ahead of RBI MPC meeting outcome? Explained with 3 reasons", "link": "https://news.google.com/rss/articles/CBMikAJBVV95cUxNMmF0TGdKVDhMZFppQ1ZaWGdBWjRld0x4aTJHRTl5OWMyd1d3ZUZQTF9PeERyT2p1aGtlLVluYmdES0FjaTBIN0NlMk5KSHctMnhnVVVQaEFhVTU0YXBLZHJoMUptY216SHJudW9oU3llX280RWtiVEFGNldkWTlvYmdtaDZSZ2FfZmpvZzRYb0IwQ19kUW5mVVk1TkNSMzE0cm1QcjdOem8tNWlYcDNDWVNyY1FPb0FMTWZ6ekJBejJyWWl2NmhqQVNRQXNpUUpTZDU1VkVNWEZtVFhGSzBTYTZIbEZlUHFJdVpmTmFLZjUzRHh5SHRFUkJGQXRLTTRKY0Q1UGFGR2RldjN5Z2tubNIBlgJBVV95cUxNNjZFZmdwQVhHZElndVhuUG1fdXk2QXFZS25zbFNIZ3JDT1luVElkN2t5bFZ4bTRIQUJRNGtBLUUzWkppODcwQ09JZXdDQjhxcGVKaDBJdlh6cmR3U0Z4c1h1OS1hTG9abW11dC1RWFJVemVWbGtVQVFMa1VUSmV4UzVmM04yOE9TcjFScmtCWmNwVkE0djdhZHNlZWxLMXZNelAxVnJ4bGVRR191V3VrcFUzSmtsTGJ6OUNuTDRSZGExVm02UllqblFXSWpEeDZkdlRHQnVuRkFtVzBPRjBaaVJwUXo4TThwV3pIOXFJM3ZHM1V3N21OY0V4bnMwd3lqbFl6Ym9SS3U0b0tkbHFrTjV5Q0g4QQ?oc=5", "source": "Livemint", "published": "2026-10-06 08:45", "score": 0.402, "label": "Positive"}, {"symbol": "RRKABEL", "title": "Is R R Kabel the Best Stock in Its Sector? A Look at the Numbers", "link": "https://news.google.com/rss/articles/CBMiaEFVX3lxTE5ZZGplYzhKcGQ0TjNqWjd3LXV2ZDhtUkxDa25qeVJNQThoMmRTWUFfeXRpUXlpbDFwVHozZUNad0dGeTJNLUNQV2NscE44NENlTmloQmFNd0hDVXNhNDJGdUJQN0ZaZDlH?oc=5", "source": "Univest", "published": "2026-10-06 08:16", "score": 0.637, "label": "Positive"}, {"symbol": "MARKET", "title": "Stock market outlook today, 6 Oct: Sensex, Nifty prediction - DJIA, S&amp;P, NASDAQ, GIFT Nifty, Nikkei, Taiwan cues", "link": "https://news.google.com/rss/articles/CBMiggJBVV95cUxPaGwzaml3Wkh1SFkybHEzdXMxQ25ieU1zcWFDaVM3VVEyVU9zRHQtdXBrbTFoRUJXS3h1WWEzT1FaYjgyZnJ5b1UxNXI2WEpBaXdzcXlUMjVYMU1pUUJTMjdreVU1UHM2eGNaRUV3Z1JoY0ZVeWxZTUlieE1TVUVMbldObmM3QVR5SjEtaktKWnUta3hqTTdDa243M0RZdUVvSTRfVEJSa0h1dUNhX3l5WGVMd1lCU1I1TzVVVm92aXVzY05hWXFhWFNsWS1tOS1JZVhjeVBycHpmTzBmcnBXOWtNcHFLZ0UtNE5PR0QtWkIxR25nc0RzeGxleGtaMllISGfSAYcCQVVfeXFMUC0ybXJyWTNvWEFGcjFlckxKQ1hXNEVNbUk1X1I0WVVsbEJpcFpvQTBaVUI2NVRrTTBtQVF3R2FTUWsxSTlXek1XWXhyUXZhdndRVUdNaWI3azFSRlpSQ1BuLTlTM29CZmVEX3VRTXFTSzljWXFlRHprR3dfaUR4NFd6VktPQ0U2b1RmVF9HNDRSdUNhUFhfdk1YVkFDU2dVcll0OTA0R3pCV2QtMW1ZdnRYRVhnUFFHOVY3YmtuMl9CMEZuY3lQMzlsdU9HZnRFQTQ1Wmo4YV83VU5OZ3Z3TzBJaXZOXzRtY3hDaW82TFJGa1RLZnZUZlowd2hvU2V4X2gwYUVYeXM?oc=5", "source": "Livemint", "published": "2026-10-06 05:33", "score": 0.842, "label": "Positive"}, {"symbol": "MARKET", "title": "Sensex, Nifty rise in early trade on buying in bank stocks, Reliance Industries", "link": "https://news.google.com/rss/articles/CBMiwwFBVV95cUxNVWowN3l3RDExYjFXZ1k0eXZaQ2g3b1BLOXdpWDFWYmlESVZUVlJEZjM0ckxjb2RubVlNU2wtWHExRS1hNDFzWGc5bE9lMU85Q2VkaFg0SFY0cGNlNjNZLW9sTmFka2NWdUUxZ1lnMkhiSEk0VURLTjNDWnBsREhLcm5OMlBiczZtMVZzOE5hOGQwbXQ1dTI3NUM1MGZRNFpqSGpNeTlUTFBYYWlnR3FnQW1oQnRUQkhMSUotaTAwX0pxM2vSAdABQVVfeXFMTjlOd3pSbEp4aXhFalFFWGtIRmc1b3ozU0FnenlmS0hMNnNYc0h4Y2hjNEoyTzZRR1RaNExVdlkxWUkweEpWZ1lHbWFEZS1YYVM4QmtiQXh3NjhmblpzNFkzUGtvVlRXVmVacVBjUzJkTzY0MDVabmtzeTlVQXZkTjY3amQ2TndoanNWcS1NNzVrY1dkSHFSMXFMX2tYMEhZaE1Jd3h4VW9XX1o4bVNsTmdhTUl5MzYxd0QwUk9McXpJZ2FZUmZlLVRXeTR6ZWYtOA?oc=5", "source": "PSU Watch", "published": "2026-10-06 05:21", "score": 0.402, "label": "Positive"}, {"symbol": "MARKET", "title": "Stock Markets Today: Sensex, Nifty Higher on Bank Stocks, RIL", "link": "https://news.google.com/rss/articles/CBMizwFBVV95cUxNTHZDVW8xOFowalVxbDF1S1l4djA3bTItWEhPTWtGV2JiTDNILXg1RUJpM0psWU5EcmtTV0g1REg5Z2hPcnFVOGJTSm0wTmQxOUpWQTV0clNRemFxN2NZTV9WZ0tRbkFOcGdBSzdjN1puRFNqWDR6S2hCMzIzTk43VFNJbnpMMkozSmpxWW90OTN0bHMtbE5sRVNoU0gxcDg0Smg3NmZONkRGcklEYmlzeDFkMHBXbWllZWdrYmxlNDZEVDRSNEY0VTl3bUNZWHfSAc8BQVVfeXFMTUx2Q1VvMThaMGpVcWwxdUtZeHYwN20yLVhIT01rRldiYkwzSC14NUVCaTNKbFlORHJrU1dINURIOWdoT3JxVThiU0ptME5kMTlKVkE1dHJTUXphcTdjWU1fVmdLUW5BTnBnQUs3YzdabkRTalg0ektoQjMyM05ON1RTSW56TDJKM0pqcVlvdDkzdGxzLWxObEVTaFNIMXA4NEpoNzZmTjZERnJJRGJpc3gxZDBwV21pZWVna2JsZTQ2RFQ0UjRGNFU5d21DWVh3?oc=5", "source": "Rediff", "published": "2026-10-06 05:21", "score": 0.402, "label": "Positive"}, {"symbol": "MARKET", "title": "Explained: How RBI rate hike may impact Sensex, Nifty after 8-week losing streak", "link": "https://news.google.com/rss/articles/CBMi5wFBVV95cUxNZDdBSGtJNndPUFREZ3ZYd2NQMmhmd1VNUWptQkxzLWNJYWhXWFQ0ZkNmMmdWOFFGZGdNZEUxM2hjVl9COHlVRlVaUVYzVEhfMU52N3h3bkw1ZHBLeXVjRHR6blJXbWpIejQzSktIZHVPRWxsX0NIWkNuNDhZYVZ4cjUzZHF2UVZua2sweXFCZGJ3RWxFVS02aXZwQy1YMUphWHRWY3NOb1Z2ei1YY3JhQ2xBUGJJTDFRUlVPN3hYV1l0dERaZ1NES1A4RWlzZGthSW9BWXRVdFdWUjZNM0Zfby11dnlib0HSAewBQVVfeXFMTUZkYXNMV0ZGY01YbnFNS3QxOFVCWFlvNW9iU0lsSkc3LV9qcTF0Rk9kZ192NUozb3RWVkJtMk03U2l4WlZVWVB2enZuYjBWRG9fenJFRU5MSHNrdE1ON2U5djBJMjFtUkx6MmhuX0dpa091UkFLX1oxcW1zbS03UElsVzhvb2RDcjFxYVdMNXNNaEpYMW5RaUlmQk01NGRRWXc3WDNnMndTbUYweHlMLUxwcWItemR4UnpuOWdXcXA1LTZaWURNOF9jZGF4d2duME5IWl8wazJzSF9qNDRHODdnbTRzUmZ2SWI5a3Y?oc=5", "source": "The Economic Times", "published": "2026-10-06 05:12", "score": 0.026, "label": "Neutral"}, {"symbol": "RRKABEL", "title": "RR Kabel Ltd. (RRKABEL) Share Price Rise Streak: Stock gains for second straight session", "link": "https://news.google.com/rss/articles/CBMigAFBVV95cUxNX0ZxTVJ5UmMwMlRnYnNaLUdtc3BpYjBZOEY4MEdlTEt2V2FnNWpEOTJSRzdLZ2NxakhSU1ctRlVpZmNrS2lUbVoxVm9YNG0zOENucmcwWWl6NFJKM1c2d2VuQW03anhnU2ptQ2xjY3RCM3ZlN014VWRwZkFmeXoxaw?oc=5", "source": "Univest", "published": "2026-10-06 05:08", "score": 0.542, "label": "Positive"}, {"symbol": "E2E", "title": "E2E Networks Share Price Rise: Market Cap and Valuation", "link": "https://news.google.com/rss/articles/CBMifkFVX3lxTE9ScUtUMWZiMldaN2ZsUXNxWlN0WGZaU20yengtYV8xZWN2djBYdlZseVVDaldod3YtUUh1RlZZX29ZYUxPMWp5U1VGN3dlVXZVc2N1M2doMFFHTWlzZmFpMWhhRGUwZjdmaWxrVnNycGtBMmpjZDBfNHN3VklZZw?oc=5", "source": "Univest", "published": "2026-10-06 05:00", "score": 0.0, "label": "Neutral"}, {"symbol": "MARKET", "title": "Stock markets trade higher led by bank stocks, Reliance Industries", "link": "https://news.google.com/rss/articles/CBMiuwFBVV95cUxQRmJCSlF1UVlhWFA4QXI4YnA4NlVPMFBTb3loX0hGTEtoNG0td3FsZW9FX2Z2N19qTkRBOFZDOVR5Vzl4MXFTU3A3Y1dxQUVKcVVpNmRKZEpjaGlRdExrdzBiZ1BVTnJDa3hIdkNma1NuTENLZFljSVBWUFotZXJ2STRMTXduT2JFTEdUUkREazc5NHdpZmkzTG55dFJEODFEbG94ZjZpMDRiOXQwUVkzcDl6Q2thS3dTQ0Y00gHIAUFVX3lxTE9BZkNWN1gyVzhJSmlqZ3AyZ3B3amhfLWxLUkE1LUN4alpVYVpKMjUydzRYdlZySGRFelRaWjh4eE5GaXk4c2JfR0NyaURPUzRZLVRJcnUxWGlxRnA0QzVqdks1T1dDcnVxcHJ2SmRrVlluSTZlTW0yTzE4WU5VNUx1UVdPc0pGSWlCQjFrZXZFakI0TmZZczR3VTBnclpFT1NQSGJPendEcXdYU0xRZjhZdmdvWnBCbmo4bnVkbm05d25Wa0tCQ3N2?oc=5", "source": "The New Indian Express", "published": "2026-10-06 04:59", "score": 0.0, "label": "Neutral"}, {"symbol": "MARKET", "title": "Stock Market Open Report Today, October 6, 2026: Sensex, Nifty Edge Higher as Investors Await RBI Rate Decision", "link": "https://news.google.com/rss/articles/CBMixwFBVV95cUxQYXlXS3EwSzRVZ3puMU4xc0w5V0IzRWR0bkQ4UmtNQnVkLUVFSlk2N3Bma1hlMXYtUFAtcFppa1laeWFjT3I2WUpZRlQxUTlRZXVSMTVJX0M5aFIxVlpSUUZnZWpyYTQzTjFXRU5TQk9WdmdfV20xRHNFaTBGWGRKa0liNjhqeGs5SlFFTV8tR3daZHVZZjFaSmNGVExoVjl6eXhtbURYaHpKaE8xV2U4eWl2NkVRbklBZmxJd0lmcGNxaGlfWTln?oc=5", "source": "HDFC Sky", "published": "2026-10-06 04:43", "score": 0.477, "label": "Positive"}, {"symbol": "DIACABS", "title": "Diamond Power Infrastructure Ltd. (DIACABS) Share Price Rise Streak Extends in Second Straight Session", "link": "https://news.google.com/rss/articles/CBMimwFBVV95cUxQZ1BOMU5hNW9FU2hKWE1POGtjZWg2RVZ4QnI1UGw2R2hhaEpVQVhrR1lwWnFSU09Za0UtWThyWHRKbl9KMlR1SFpNemFjcGhGanFUWWVfbGFYWWcxSExGS2VCdUV5QjJMeE1EcTduVUhxQlBseWpTcWhGbk5NVmhWUkdkZ1U2X2tnV2NfQWFWLS1FMVFFaEdNUmxIUQ?oc=5", "source": "Univest", "published": "2026-10-06 04:41", "score": 0.586, "label": "Positive"}, {"symbol": "MARKET", "title": "Sensex Today Trades Higher | Nifty Above 22,550 | Asian Paints &amp; Bharti Airtel Top Gainers", "link": "https://news.google.com/rss/articles/CBMi4AFBVV95cUxOT01heUxPd1lORk1maUJxZVhkcHBtcld3US1iOHoyZm9IcXp6TElLTnNlcUpCWmNhQXhzZEFXNVJaajJGZzYyR0JBRGRTMktuNkI3RzJ3MGNfLXdaLVNOY2ZOWmdRY2h0aWc1bXRubzNhUlZwbzZySFhVbE8yTGktc3lXMVZVTmxTa002YVZWMDJtWTlUVGdyYUpTaXFPVFFZQjdxS0NmVXZfdXlTUGUwcVpwcVVmWE0ybVVjOWNfYktkYXR5cV9meFVKTktweklxNTFMVDU0WmxIX2JVYnhEOA?oc=5", "source": "Equitymaster", "published": "2026-10-06 04:37", "score": 0.542, "label": "Positive"}, {"symbol": "MARKET", "title": "Capital markets related stocks in demand: BSE, MOFSL, Groww jump up to 3%", "link": "https://news.google.com/rss/articles/CBMi0gFBVV95cUxPSWVIdTVWZFNIOXVDU2xZbElLZVBYZzFSa18xYzFQSEkwUl9YVkJPM1ZYRzdkMnlxenFHOVA5QU1LaHFrRUJFUWRjNGJHSnR1UnExcF9NaWdHcjJ3SFlPNnZoUjJ1Ulg0QndSWE1hUjVWRDRXUHhUNVItN2hkWkFNMnJ6RERrMlllSDZ1aTBnb3FvMVZ4cFhiRlp2TlFYdFhIcDJSOWFBS2Y1WlV0Ul9oWHR4Y3BibFl6dzRkREFHNExsNXNPV3VsU3AyV3dPWHl4bXfSAdcBQVVfeXFMTjlrRGZNd0pyTVkzbTd2WVVoUnh5aVhORzh4RXlUTWREZDA2SjU3eE5aU1FLWkpLT1A2RzVKVXVBN2VRTUZfeS1rVzAzY1FtT2NDZWdiUEZTc0ZTa1h1azVkMDNXX045WE5BWHRDYTNrUnpPdXBfRm81UUhXZG1NU253eS1LZjhKY0ZTcVN4b0piSkl4LTJLSFAwODJ6RmxYZXI2WnRGMThIVTV4N203anlzZHotNXlZZW14WlJkTTZFTGt5cXdUY2tIS05vb0w5NnpiS1NsYzA?oc=5", "source": "Business Standard", "published": "2026-10-06 04:36", "score": 0.318, "label": "Positive"}, {"symbol": "E2E", "title": "E2E Networks Share Price Today Near Yearly High at Rs 685", "link": "https://news.google.com/rss/articles/CBMijwFBVV95cUxPdndmMFhWZ3pncW12S25NcDllS2NWRmFQWnRCZ0VVWHJ4b3FveTU2MzNzYkZwa0pXUzdVR1F1X09LanlDNjRGNUM3alRUMkVkUmkzN1g3UWxleVNWUGY3aF9DempIS0xreVh4QlhaNUdWUHczWE1Ub1Vzd0VuVDRlbVdCUUt5dzBhdi1DMDJRWQ?oc=5", "source": "Univest", "published": "2026-10-06 04:35", "score": 0.202, "label": "Positive"}, {"symbol": "MARKET", "title": "Sensex rises over 100 points, Nifty above 22,600 as market extends gains. Why caution is warranted", "link": "https://news.google.com/rss/articles/CBMiigJBVV95cUxNNUNtQk4xTENzdlgyS2dqZ2ZETkJUNzRWMFZyWjVaYXE1anFXZS1uYXhtcXBiWW9LMVJmTXliaHVLTjlKVjdsQVR0YjhmbEF5U3QyTkp3bHVKZ09KclhfVXQ5S01ZdnJGM3pHT3JXalNuV3k4S1ZzM3VFeHFqdGlFb1VCYlA5bFJYTFozazNVUGRlUG41aGlCdkpNRTVPRTFTWXdQMGR1MXN1RG9pSTdwQ1hQZFpHSFZkZlRnUHZUSXhhQkVGZk1OaTRiUG55d3VraVdyWmNTY01EcThnVG8wS1o3S3JTZWQ5TlRXd0RwQzJKcGx2UVh2VmdzVUFtSmk4UmRtSVF4OUl4UdIBgwJBVV95cUxPaV9nWTg0eTI2ZFhDRExUZWRaV2xmOXkwc1ZpU1hKZlNGRUpiN01JZGZ6U0hUMWZjVl9aNGtILVV1QXpNMkZuWFBjRkdyREotN2tYeVFvQWpQT2VOa0FzeEpZMUdRdVNia2tKeXVYajhYa2R3bENyQzg0YXdWemNfVmV6QldJZXpRWDFfbXJwRzhrZ2lxbDB5S3I5S191c2ljeTllTjFmM3ZoaHlVcE5Gam44djBhMXpQMDhXWkx1R3RkWWRoU25lX2NSUnQxUmppbF9FdnBEako1TmI4Q1dxMUEzN0oxNE84cFl2YXVsQWUtSWhsMnNoV0hUbl85TFQ2UDFv?oc=5", "source": "The Economic Times", "published": "2026-10-06 04:08", "score": 0.7, "label": "Positive"}, {"symbol": "MARKET", "title": "Market Update: Sensex Gains 348 Points, Nifty Above 22,650; Banks, Metals Lead Rally", "link": "https://news.google.com/rss/articles/CBMi8wFBVV95cUxNdGN6elhzdDBvY1pMU3pxekQ0a1VaNkpYU05LeTM0R1NWUm5VYURaRTBUd3NyckYxbnNoOVR6cGtFbl9KMC11Tmx6a1B5bTVGUmVkYURaQlRaVDFNZ0ZORG1BMFJhRDY0dC1DQ1BXWDNfbVdnNFhHTEVGd2ZBU3gwMlJLbkl0OXZSeFZfRWRoWnUtQVJQMlhwaUtWNThFaFFlWDI4TG9KOUJaV19TVjRzWjlBTGlzRnFTdkd6ZUNPYW4wd1E5Um1nMms4eVdMRzRWNlQzQWk4VW9tM2laSm44YS01V0RxOXFXNGhOMEN1RmQ5d03SAfgBQVVfeXFMTkpCazY1Qm5YTW45VHh5cEd0NWhwWXBNSnkycmFjQkNQZ3AwcEZCdHZ4ZktOSGpSQl8ySkpZX2xWUld0TTR3Q016VjBZV1ViWFo2cHFsRndlaEpBSlNzeWs4ZnhKdDA0a0ZQRGpvcFM2MTh2UkVOUmtMMnBQUEhDRHhIVnltMHVDWTMta25KR3ExLW1Vdm1QY2Z6c0NpdnBaUGhFYUxFR21GallHaHlRSUNRV3pHLUw5dTZrYW83dFJoYUFVcERLYWs5RmtwMXNiaXhmY0FRWGNFREJVZm00SkY1MmQwaE5vZWZjUlFHZ2Vpc3BmdXk3WFE?oc=5", "source": "News18", "published": "2026-10-06 03:57", "score": 0.807, "label": "Positive"}, {"symbol": "MARKET", "title": "GIFT Nifty up, signals positive start for Sensex, Nifty; Asian gains, softer oil support sentiment", "link": "https://news.google.com/rss/articles/CBMi8AFBVV95cUxQTHpHTDdETHB2NjlFMGszUzl1UjdBQ195QXdIWGRpTnhJRlI3Z0xiR0syRmFuNzJ2VUhzSlZtek0td2RwTnVFekVDUUZqZ1BBUnItSjFqa2lUUUVoNzdCcTZVaE5pLUUyNXA0OUFYNllUZ2Uwa1hYbUhXemRtZjhMekhCVXlPbGtXakJfLXk5VEpuN2dHQURnODg1cnEwdjVfRF8wSmpORFVzSDRuN29weEZObzhCR1JJdzZqdnBNdF9DeUw1OUVvWjY0V1dFVlN2RDdPNTZRNXJTQ2JEQS13TndiMUNOWmZsTUJvZTdUaDPSAfYBQVVfeXFMUGxVT3dZX2RQU203ZXdSNjFZb3h2RHA2dnlOcEJ6OWp3Yl9NQkdLM3lyNUpFa0F5elZxa1otQ29uT0VzdEVRQzFpYzdvMlRFcEZaMkJPZlk5ZjR2LUREMXQ2cDl6STRTWDJ0NUgzLVlvdG9vZV9kSUpjNDl6X2FZOHZ4ajB2aUZmUDRjRGsyeVJZcmc0TmVCUEdqc0VyMHp6SC1QWTcwQXd4dlpfYkNVMGROMHB6cnZIUkFFVE5uNHlfU2Y4RGVJdlpPMmVIVlFIWUFzVGxEd25rT2VlMm1VVVYwNTNaYWFTM1F2TUs5c0JVZEpTNG93?oc=5", "source": "Moneycontrol.com", "published": "2026-10-06 02:41", "score": 0.951, "label": "Positive"}, {"symbol": "MARKET", "title": "Indian shares extend gains ahead of RBI rate decision", "link": "https://news.google.com/rss/articles/CBMirAFBVV95cUxOUFdSdW1FbkhzY3J5Y04zU1VhQnN6MWpGazU1dXBDMU9md1Q3RjlLRUlwNEJHWW9rbzRXdGRqQ1FxQ24waTVZWEM0X0hmY0FySmVxNEpBQVJOamhEc2VNcmFvM3hTcUFVdzhGN1cycmt6Wk15U09iTk1uOFcybFVOcDVJUEVwMlFIMk5mUnlxdUhKR3ltY1czVkRUdU13dmxMUjNjWVVMRFgta2ZG?oc=5", "source": "Reuters", "published": "2026-10-06 01:54", "score": 0.511, "label": "Positive"}, {"symbol": "MARKET", "title": "Sensex Today | Stock Market LIVE Updates: Nifty at 22,450, Sensex up 110 pts; HCL Tech, Asian Paints", "link": "https://news.google.com/rss/articles/CBMiyAFBVV95cUxOT0R5YUpfUTZVQldYYWVSUGg5ai1nME56TTBXNXdyTEZCWHFvNVZ5cWhKNjRZMEJiaHEzSUpWcGpPQ09BejJFNlZhbXNoNU9HQm9BZnQ5OEVWY2dabzhYWU5xcUItMklhNjhSRzJNOWNTdC1YS3JKMHFqZmFSZUZtXzVPWG1YLTh2blB1RDBVdGJtR1NYVzBULUk3ckl0NUpjQmotdE5tazFsTE96VjhTMWs5cFZJRDRicXNZV2RzMG9tMjR1dUdxQg?oc=5", "source": "IndiaIPO", "published": "2026-10-06 01:45", "score": 0.402, "label": "Positive"}, {"symbol": "MARKET", "title": "Stock Market Today: Gift Nifty, Nasdaq To AI Stocks Rally \u2014 Five Key Factors For Sensex, Nifty 50 On October 6", "link": "https://news.google.com/rss/articles/CBMi8gFBVV95cUxORmdPaFREQ0lrNzg0b0NsbVktMmFTMjd5SG1PUGRuSFowajhYSzlxa0VZMnJKTjE4aGNjZDlPNmsxLTROQVA3ZndPLVRiU2xkUjZuNHk3QjNFaUh5R2VMZkR6YUZ4aFZZekoxX3RZV0t4aXI3d3NYSDZkWFp5X0Y3d2hmeG10dXR0TTl2QzNWTmV1VmpiOXIycTVER2ZfUms3ekxrOXhXRjdxNXMtZXpwUURaZUo3Tk5RUlh6V0cyUmhQUWwtWFFJWm9zRGp3NWJXcUZMMTNidjQ1QUN2S18tQ2t3NGhsQm9mNGp0dVExQjFFQdIB-gFBVV95cUxOTC1KMnFWYk40ZkpnbEpQOEduMUxtSmZYd1FJMkxWRTF0dGJFbjRwWmc1SWZQWVZwYlkxd2NGdUU4Zlo2NDR2ckNxZzNYdGdyN3lvemZCVVdMQTBRWHBwd2Q4MWdKTjhMQ1VZUWJFNmh5ZmVnTlBUWDhPekJTS2lrTmFoT0ktZWJPR2pRb1dTOTVTcFdueDZrdkdVZUdqeTktT2EweWMyQjFtd2RGU3dLdEJqTzJ1ZEdvUHBaMmdNTmdkdlpJZjI4cXhOMzdQUFM5WTdfeFUyT0NXZnBHLThYazZ4MEN0X2NwcWJYNkhwWHdENFk3UWJKX2Nn?oc=5", "source": "NDTV Profit", "published": "2026-10-06 01:27", "score": 0.883, "label": "Positive"}, {"symbol": "MARKET", "title": "Five reasons India's stock market is sinking even when its economy is growing", "link": "https://news.google.com/rss/articles/CBMiXkFVX3lxTE1EdEhaMjJGMk1DR0ZaZkZfOVJ6V1pNODA0VlBGQ2p2eEtSNHc3ZzZ6d01sZVAwWE1HUkctaHk1aUNBTUY5ZXMxbVUxYWVFeFZHdU9aQW93UjlKbXhCSUE?oc=5", "source": "BBC", "published": "2026-10-05 23:14", "score": 0.178, "label": "Neutral"}, {"symbol": "DIACABS", "title": "Diamond Power Infrastructure bags \u20b943.26 Cr cable supply order from Adani Power", "link": "https://news.google.com/rss/articles/CBMitgFBVV95cUxQZzVzMk9uc3VSN080aktTMVlwZTAzcUJaak9BQVJaMlJtYVZ4Z25YdGYtSDJzQXlSc1BicEZiay13UHc5dS1kbFZMZG1fQ0E0UlFSV1ZfaGRsRFp5RGZIcXZYalB1OUlJZi1kcUZkLTh2STNFMXRCOEc1YjNJSlg5Z3ZWcUtVYmxCSVZJU1BQQlRIVjNZcEktZGZMUFNoWkNRcXlqTVhXTnpzSkxic2h2bHdaZVF2dw?oc=5", "source": "Alice Blue", "published": "2026-10-05 22:01", "score": 0.735, "label": "Positive"}, {"symbol": "MARKET", "title": "Stock Market Today: Sensex, Nifty Recover; ITC, Bajaj Finance Lead Top Gainers", "link": "https://news.google.com/rss/articles/CBMimgFBVV95cUxQQUduaHBGYXJUR1M3c2o0dkVoQlBma2s1azVacFVaRmxGdWJodldIT2U2M2tydXd5NlJ3X0UyODFSTm9ybS13OWRPUTJvd0ZpaVczeHRsVWlIcmJRc2ZJQjNyVFJKSGJuV3RrRHVYbnUwQVM1QzlTYjl3dG1jWW1WNkVOZFBDaFBnYjVWTURzVWc0YW90UDByZGlR?oc=5", "source": "APAC Media", "published": "2026-10-05 18:14", "score": 0.542, "label": "Positive"}, {"symbol": "RRKABEL", "title": "Power Stocks Rise: What's Driving CESC, TD Power, RR Kabel?", "link": "https://news.google.com/rss/articles/CBMif0FVX3lxTFB4eE1jUG9mbl9oOVNybUE1Tld1ZDFxWDNzMk1nemwtbUUxaTFKZlhENndYYTQ5b296SFJMaktaSW00cTlwQzFybVdpWlB4Q2o0ZktBOFlIZ1ltLWxMdFl2VlpYWnY4UXgzM2NHQzVJbG5wbzU3TTZqQ3FTX2p6LXM?oc=5", "source": "Univest", "published": "2026-10-05 11:48", "score": 0.0, "label": "Neutral"}, {"symbol": "MARKET", "title": "Stock markets rebound; Sensex climbs 473 points", "link": "https://news.google.com/rss/articles/CBMirAFBVV95cUxPdkZiVkZoRXB6N3QxMEdpZDNIR3VHWGhxQXBWYXdUVlJhYnZ5MHpHTXFYcjVyaHlwTVRyeXc0amttYVpUaUI3a1J4a21fTmdpWnYtRzRTa093U2FDWHZKbmlmdVpjZnZWZTJvU3JPdmdhYmRlMWpycFBDcE14c2hxVVlqUlJHNlljMUVpVjV4Q3V5T2FSVDZsU1h6TmJqd1ZlNEtoSVNGbkVJRTFo0gGzAUFVX3lxTE5aM2ZseEFkNEFzaWxIaHFkVk5HVHJXRkJMWHVoeGxkY3NFQldYWnFLS3dmQzBNWGlKMUhSVnpMTm1EeGxXUHAzeHVfRlktOVlGQTB4Y0o1cWxfUUtRWUlZallFOTdicHhONDYxUENROElfY2RsVTR6SW1pX3dsT1dkYVBCckxKRUR0ay1lQVk2cGtRRWI4S3ZjSGxXano2YU16cWlLT3g1Rl9aN2YtdWU1cEtv?oc=5", "source": "The Hindu", "published": "2026-10-05 11:06", "score": 0.382, "label": "Positive"}, {"symbol": "MARKET", "title": "Stock Markets Rebound: Sensex Climbs 473 Pts, Nifty Above 22,500", "link": "https://news.google.com/rss/articles/CBMinwFBVV95cUxORDBzakxjZHFFQmExLWozb3BHUm5IU0hWS0c2M05LTFdWaWlPUXhuT3pNOXNTSy1WUEFkV1VJM1Y5TGxQYWZYUHhiVWhzX1RUV0NiQ2Ffbk1QUl96Z2hLV05NTFIxM0VuOURtcGlFdmp4NmRLbE9ON2g1QlRQZ0cwWFhyZG5OTl80X05ldk1NelN1N1h6dkNydkExMGF4STTSAaQBQVVfeXFMT3hBWDFjS3RRWXdNZVhRTHVXQkNGSkZWaG50eldzSktNemhsdUFramNJR3BndFVoZkhkVTFXbGZaSkFkRzBNOTNzekRpUGVXblB2UklucUM0LUpkZ3dFeE1HTGQ2WGNQRzlyQVFueVZXaVQwYjM3NHByS1U3ek1MQ3lSY0Z0cGZ6YXMyNDVUSE8wbnJ4eTJWTW95ckFTRWRodF9qME8?oc=5", "source": "Rediff MoneyWiz", "published": "2026-10-05 10:38", "score": 0.649, "label": "Positive"}, {"symbol": "MARKET", "title": "Sensex rises 473 points, Nifty snaps 4-day losing streak: 5 reasons why stock market rose today", "link": "https://news.google.com/rss/articles/CBMiyAFBVV95cUxNT3duVE8wRUZLYUs4MXhzYzA1VGI3QUhUOFVaaTgtUDdEQWdvbnhfWEhPNUptV2hPM05oanVtX0pTdEFGZUR3UkpGMHczWG83V0FaSTgzVFlENjA4TGxVWjFWampVbXluZ1d1SS1SMmkxVDJnU3ltd0t1MVNRcjlaVTVhQVVKQnpwVWl2ejFEMWl2ZXQzMDRta1NSMzluUWpaMXR3Qmc0Zk5hOXF2Z25OQUVGTzYtZ0RmOERZUFZ0T2JIMEl6anlqaA?oc=5", "source": "IndiaIPO", "published": "2026-10-05 10:35", "score": 0.026, "label": "Neutral"}, {"symbol": "MARKET", "title": "Sensex Today Ends 473 Points Higher | Nifty Above 22,550 | Raymond Realty Up 6%", "link": "https://news.google.com/rss/articles/CBMi0gFBVV95cUxPVlZYRkp5YTV1WG1STDFTejdFNkZzOTVHU3ZzQ1dDbmcyZnZsV0xmTGx6anZwd0dROER2c25iSE1PODVVcHc1OGxBajJvc1BMR3dKUy1rMkwyWmVTYXp6LWhsVGNLY0hqMkFGWE4tcVVPMHJEX29SZi1TM3FQRXlOUFg3bGlibC1MMmdITnZKNGhTNUhrQXpPaWI5dXZLMTFjcUcxdVJhejA4SXh2ZDBNbUJNbDN0VDhsWThXUV9Ud2tJaG1iQkUtUGNJNTExMjBOUkE?oc=5", "source": "Equitymaster", "published": "2026-10-05 10:29", "score": 0.402, "label": "Positive"}, {"symbol": "MARKET", "title": "Stock market prediction for today: Sensex, Nifty outlook for Tuesday | Kospi, Taiwan cues to watch | 6 Oct 2026", "link": "https://news.google.com/rss/articles/CBMiiAJBVV95cUxNSWY1ZEZmSmY1SW0xX080ckZUeGJBRE5wMGVDczNWaEF3M0M2UnRsWjdqZGY5LXc5aVFSTkRiXzVIRDA2X2VpVEpVclQzLWUtX2JqYTVrbUxGNXNMei0xT2JjSHl0c3NKTFM0akowQnB3UFZwX0lnbHBQVkJDWFB3SW9lVks0QnNoc1BKa2w3YWg0VnMxN0ZCWGstLXVWN2hySWlZc3JFM3lVMFlOWjVjalUtWU5EMm9GUS1jOFJDNl9vX2QybGFFUVhvaTM1VVVTWF9jMUxOSDlTR1d2TEFlamU2VHJWWEk3YkpxeEVnUHdYY081UnVlaU5zdGhsN2tvX2RJc0ItSHTSAY4CQVVfeXFMT1JHb1VNQWdPdkdfSDl5RVJGd3k3LTBtTXptX05kQWU3ZEVvYlFjSTlCRkhyNFZqaGRNTWRXa3V4bjMwNThYc2VMZWZ3Y2x3SDFEbktma1p2eUJESl91U05sSy1wMS0tZnQtMl9zd2RONWN2aFlrc1ZXQmdKTzNxTERpQ25jYnNWV09wUF80U1lWWGJ3Qk9YMVpFZUlfZUlneHQ5cGtUUDZMdkhzNTRnSkdMNVhUck16Wi1QNDZ5OFd3eEFMUGdWNXg4TmJaZGRINFhUa2V4YXR4eU5DVHdVd3o3aW9mdUpnaU9HSWJEdkV4clNDdkdUaC14RHVKNHZMV0JVT004dEtTVS1jQnhB?oc=5", "source": "Livemint", "published": "2026-10-05 10:22", "score": 0.402, "label": "Positive"}, {"symbol": "MARKET", "title": "Taking Stock: Markets snap 4-day losing streak; Nifty ends above 22,500, Sensex up 473 pts", "link": "https://news.google.com/rss/articles/CBMi5AFBVV95cUxNcGdDREhER2NiVVUwbDVNQnAzS2I1Rm1rN0pGRUlxSVM1Y3R0M2ptc0YwTXVXbHkxNFgwTUp5cDhwc2ZpNDYzalRRMDZ4cHFhSHpicHpxdjJaUHpMXzdzc3BtOGhYNmhOcGxWYl9JTl9wVlZudk5BbGs0WHBBSmhpNGxBRFc4cVBZdFE4ajVtbHdtUU1pc2tScXk4d3k5b0RpOU9iRG9jcVVqNVFWLWhJcnJaWjVFTUNpOTdoY01VUkZVM3pfVGFFWGdkaF9mSWw4ckpzLU1vLVhRRDh6akdHWEFxdF8?oc=5", "source": "TradingView", "published": "2026-10-05 10:19", "score": 0.026, "label": "Neutral"}, {"symbol": "MARKET", "title": "Gold, silver or stocks: Where should investors put fresh money after the Sensex, Nifty crash?", "link": "https://news.google.com/rss/articles/CBMi8AFBVV95cUxQTllGdnhlNmU3YmU1cGRMZG42SFpFR3pqVUtxS25DRkZQM0g3NjRNbExtbExTYVFIZUdTVWl1QnBUSjBSQ1FSaGNsbVV5d2t5ckhNUHl0a1RvNC1KYmEtUDZYRGpINVBHRzFLQVZJN0FtbXJCQlMxR19WTnotYUw5X3ZnYzIteHRxLW41UmVfdGkwRllROF9WdkttalF3dFlTTUdaRFlHS1lINEtRZmtWQ0sxQWNyZGhzT1Rvb3JIRGJCR01tclV2YklCM0ppVUVjbWZBOHZJVHFFbG5FZFlCVHpLNFctZHJzNXpCem1yenrSAfYBQVVfeXFMT3pqMXJ4SUJUZE5NTGZHVVUxWVJkSzNtR3dnZjVFS2NqczZINGJyLVNFOFd5WW52dmZqNDhIUC1HU3p3MzJSM1lFZ3hocERXTFphMXpwQWZ5RVRyeTZCOEUwZE5KeGF5QXFNMlYxSVA2ZjNyNTdrcDFQeU5hMVZteEpXa3hHY0JwR2lkcmxPcmk1d0tlM1g5MDk3bnFMblhWSnMwY1h0STIzQ1lKSWNqekFkZjA4OW1UM1AzcVZjS0NWYU9uS3F5d1k0T0d6TjJfOWV2Q3FKaG5Dd1JWNHlBOUo0eFdmMTZvNWFGOXJzS3RzbXVKeGNR?oc=5", "source": "Livemint", "published": "2026-10-05 08:36", "score": 0.052, "label": "Neutral"}, {"symbol": "TDPOWERSYS", "title": "TD Power Systems Ltd. 52 Week High Streak and Valuation", "link": "https://news.google.com/rss/articles/CBMilAFBVV95cUxQZGxUMDA2QWVvRjlORjJPUTVkOVVneVh5UFIzTmM3blBpZUd3VUVjSE9PU19MdVZDbndrQ1VieHhacGpGb2NLVy04Zndqczl3QnJPS2lhREh0aERYZ01kdHBYSm1vMkxvYy00dl9QQnB5VnlMRWcyRkRtYUhPcEljeUwtQXZPQnFpMGU3WEZ1ekt5alAx?oc=5", "source": "Univest", "published": "2026-10-05 07:25", "score": 0.202, "label": "Positive"}, {"symbol": "AEROFLEX", "title": "Top 3 Ranked Performers in Ashish Kacholia\u2019s Portfolio in 2026", "link": "https://news.google.com/rss/articles/CBMiwwFBVV95cUxPQnl4ZlhzRzAxZUFvZUZ4YkdkRExURk5TZ1prblZYY2lxVERneHdHeUE3b0JyOU9qSnIwdmdzQTI2VlpOVERBcC1ZUDIxUFNkcmFjWWVILUV5THlKVU9fQlhnY2NzUGU2dEkzZk40aGNJNUlOek9vOHdlc3JYOGxnUU9TZ3BpNm5xTV9yV0xLSkFLWXQ4Z1pJRklxb2lNTEdJT1lGcjV2d1pOQTRxTXNpNEQtRUNLV0xaS0VNWl9TTFBqVE3SAcoBQVVfeXFMUDcwbVlvWnNlZ3BHMG1ZUDdFVC1wcDNtS1dlNUswODJvWFJVNW5fSkZuOUZ6OHo1TXRKR1RZN1JxTmlEQllXOHlkNVdqNTlfaWZ1X292UmF3QTdkdWFZZzlWbnJaTEUwZEN3aEFsTEc3b091TVVuYmRIaXg5Z1ZIOGNrM0F0SWV2OGdaZmZVSFNRVUVRSGhGdHZYaE9uazFFU2MwMXVCeXBCWUxod0dOUU1UOTc2ZVZ6VDkwa3pJSm82Y3pLbXBESlF6UQ?oc=5", "source": "The Financial Express", "published": "2026-10-05 06:49", "score": 0.202, "label": "Positive"}, {"symbol": "MARKET", "title": "Stock market on the rise: What caused the Nifty, Sensex rebound today? | Business News", "link": "https://news.google.com/rss/articles/CBMixwFBVV95cUxOUURHNnU0ZHl1dUs0X016Y1V2eVFSb0FrWERUWWstcGo3TGRna2RJdnZaeE5CZFN1SS1mNUozTUQwczNrTHpQWnd6NFhiRHpPWTFpU2ZsdXdyc1VNU19OcjJkU2hzcVJMdVdOTzBmUW5XR2NOclhGRGk0bnBnTldEZ3pvMFp0Rmd3SEFFRXNTcWRJTmxhSm93RUoyRVRiTU1TYko3Ulpmc3lMS3owMXo0SWdMT0o4eTNXbW5PZ3htaWV5U25FMWI00gHMAUFVX3lxTFByc08wRlFNaEpnV1lzTS1HS2QtaHFYLTNMNGpXbnRiSFd2MFMxbUFpc01HUDQ4eUgyZnlBZkVsaG1RT2pEZzB4Tzg4YTZxbTU2b25YOU9qZVA5YlBFckxVdHd2QUJhQWxkaHBaUVc3cWZnWENSTTFlanlKSFZKSUdMcWtuYl8tT1dJRGRwYld5U2lxdVhGaGJtUkxnR0ZYYnJud0pCUEo2dVgyWUF0M2M4Q0ZXWHViU1pzb2phZGNRYnVFNllCMDFRMjNXag?oc=5", "source": "Hindustan Times", "published": "2026-10-05 06:46", "score": 0.402, "label": "Positive"}, {"symbol": "MARKET", "title": "Relief rally in stock market? 4 reasons why Nifty and Sensex indices are trading green today", "link": "https://news.google.com/rss/articles/CBMi3AFBVV95cUxQSXNZN2FrVndqQTAwM3ZDQVpDSHlQaWt2WFRRWFZLNUxrdG5vUmhmODh4dFkxakNqLWNkODBuOXZvZkpFMUVuOXExVXdIbEhqbVpKV3NiaG43UkJFWWVzMTMza3kzd3BIZHJ6UUgtdzMxWXNFTEFIQjBQYzY2YktJNTdEbzFfaWw4cUdkZGVXVWluaFRIN29zRnhfay13UjZVbGRkNzVGeDc4bi1kVXdUcFBWNDkxTGNSRnNDdUxKQXk3UnN6MFFvc2kwQWRyX2s0V2podlFQTlNBMTZX0gHiAUFVX3lxTE5nYXlRVjF6SVI2Y0cyM1hlUjgzOFRrcFM0T2xzeDlFalZxck5ldEVpaGlkSl8tRjE0NndpdW54TjdfNzM4MkNnX2szUDRzaDhhTG1waUszd1lhc2FrLXlXZm1lcnZkckp4U1F0ZHdLXzhTQ0xfOUZRVzU3QV9RUWd4SkU2emxyQXFseTJzMURzZmYycFF2WHVkcmx4ZzEzWmpORDVoM3QtNFlrTUVlaUNhbUVHc2Y5MmNQUWxTalg3cVk4a244WllhUnJWd1RFX1Q3YURRczk0QXIwZGpNU0Zmanc?oc=5", "source": "The Week", "published": "2026-10-05 06:17", "score": 0.832, "label": "Positive"}, {"symbol": "MARKET", "title": "Stock markets rebound in early trade; Sensex jumps more than 700 points", "link": "https://news.google.com/rss/articles/CBMiwgFBVV95cUxPdGYtYXJ3ejgweVZJSFZPOGIta2ZwblZxOXktRWg1M0VkMDVvMC1BOUM1MHpkM21IS2wtbTMybk1FYXFjdm9lQmdYRU1QVDBJejQ0LS0wcjEzelJlM3dpNmlKUVpnX1htd3hZaHVweFRkenRHeGZXcDRSZlVYS1AzbG1wcVl0Wk5UT0d0a0tzS0NCTzRZU3NsVXF6QkV5R01HS3JvcjdyY2hDd1c3b2wtemJzQXNHTWdWTkJyT0sxWU1Zd9IByAFBVV95cUxOWlRRY2J5dEpYc2xtQkJ2MEVscGxWeVBIellwS3VZVDNETEg5XzJ1akJRMldJM2ljMk5WbmpvM0dGWTg4cU1tV2pfZHJvNGM5RXZSU0FKYjZGSXREejdoQXQ3bDNoUGl5dUpiOVBpcjRCQ0p2bUVCSndwcDhwOUJFZUpNWVE5R3g4S2VtT1pyaXZRZWVjQVEzNnlQM0ZJeWxzd1JoOHhaSHNGM09qNGRqbnhLcEFxdHl1R0Q1YUEzcEpYLWtCZG9xag?oc=5", "source": "The Hindu", "published": "2026-10-05 05:39", "score": 0.459, "label": "Positive"}, {"symbol": "MARKET", "title": "Stock Market Today: Sensex Today Rebounds, Nifty 50 Above 22,600", "link": "https://news.google.com/rss/articles/CBMif0FVX3lxTE9QV3RBWEo5UERocXBPVkpFMU0zNVJnejlUYU1DblNEV1JNcUtqRGJPOUNVZFd5TGdRb3pFamRucXY0U2tVYUVuOVNrMkZ6Yi1EZVFUQ0s2bUQxRmJlVjlBWUNIVnVqM0MtZm81bDlsbW1GdnMtcm9tdU1RcEdPYUU?oc=5", "source": "Univest", "published": "2026-10-05 05:35", "score": 0.402, "label": "Positive"}, {"symbol": "MARKET", "title": "Stock Markets Today: Sensex, Nifty Jump on Global Cues", "link": "https://news.google.com/rss/articles/CBMi6gFBVV95cUxOcndwYmN2ZDliYlZuZzBNRDcwM2FZdmdDSW5ZX3dIT1FWbTR1UWpsUkV2LW5iNFV1bEJILTZPRmlOdHB6WjRja2JsWFZuTVBnVldpS0RWNEI0Y0xXVEg1TEE1elQ3dTNGbThRTEJrRm54ODZNOVJFaldLdWtZbm5SLUo1WU9QNlNkdV9hWG41LWZSNDZrNWhaLWRhSGtwVnBIRkNxdGFHM01wdG14TWJWbmlNNWwyZUdjRnhzRFpFN1hYMnUyZU1sV015cURxZlY1UGUyVGh5SjBWYThPdEZnVGRhMExKSDI4ZEHSAewBQVVfeXFMT2E3cEVld2s5Q2QxT1VOSFhJUVBtQldHd3l1R0Q3cGxZdXc4ZFljWVFyQlFobkJnZ3JraEdwN19jSWNUWml6WUtubkJmYV9fTTZsNGRqM0taSHBRWDJoX0dyTFg3bjJLOGZmaFo0cDlacmRyZ3RxMFJLNGNHMnZwelZTaXlfRXotUHhmMy1FdWYzeUlheUVBcnRpSFdZMVp0V1dRLTJzTXZDNkg4a3lrYXZJUE5FOWEyT240NUx0cTJjWDJtaFRrQ0I3bTBFTFROcVFKeHgwYjNqa1djcGl2RVZkR3Ntc2p2OHJYbmU?oc=5", "source": "Rediff", "published": "2026-10-05 05:19", "score": 0.67, "label": "Positive"}, {"symbol": "MARKET", "title": "Sensex Jumps 453 Points; Nifty Rebounds Above 22,500", "link": "https://news.google.com/rss/articles/CBMi0wFBVV95cUxPekExNHFieHhZTmJaSU5DYXkwaDRJSXVDb0ttOXJIMFIyWWdmdTBaQUxSVk5oVFBPZk54bV9FZXZvUVROTUVqbDZGMjVnUDQ4SVAzY05sSFZweVRiYlRmUlBWUk9vWDN2Y1FJaUNHT3habm9VakhQUHhnZUJnM1B1SlMtNjlnOEctN0lWUTc2emlSRW43TnFLUGNpaE5fdnhBSTRlRXF2REQxakg5RXhqSFZrRDZyNFhtMlFXd2E1X2MzT2picnFNaFE3Ty1JNy16MjRR?oc=5", "source": "HDFC Sky", "published": "2026-10-05 04:57", "score": 0.691, "label": "Positive"}, {"symbol": "MARKET", "title": "Sensex Today Trades Higher | Nifty Above 22,550 | Bajaj Finance &amp; ITC Top Gainers", "link": "https://news.google.com/rss/articles/CBMi0wFBVV95cUxQVENJOFFndVJaR1h6aTFxRl9WcTFva2k5MjgxOHFJd25PQTZuTC1LaHY2eTNhRld3R1ZJb1VpT2VJLXFLU2FlVGNPdUdBNk9WOV9QcG9TbThBOWFnR1Q2ek5xbUpJZWVLZFdlY0plTVI2WXhYT0lqZTJtWUdBTk5Od3REbk5TYVl5MjhTdVA1TWJCTlplYWVLc2dfV2hvbWptZzlJNEU0dkNhWDRwZ2ttdTNRSUxUbzlvUGExNVNHMmMwVkExYTNtaXc4Q1ZpUU9jUy1j?oc=5", "source": "Equitymaster", "published": "2026-10-05 04:52", "score": 0.542, "label": "Positive"}, {"s</t>
        </is>
      </c>
    </row>
    <row r="4">
      <c r="A4" t="inlineStr">
        <is>
          <t>ymbol": "MARKET", "title": "Stock Markets Rebound: Sensex Jumps 700+ Points, Nifty Up", "link": "https://news.google.com/rss/articles/CBMiqgFBVV95cUxNM2ltWm95UElYQks1ZVF0T21aN09vOUQ2TXA5ckZXNGU4YV85V2Nqb3VmVUsxTldkWTR2WEdvdHk0c01BaDdnbGQtT1d6MEk1b0l1MHhFX3I0cDVLZ0RMMDdDNjE1YnZhbWJkSGhrSGVHR2Z4RTBwZEpwa3VjNnlQZzdlVFpQVmQySlVqV3NHWHg5Rk45RzRZbnY3aFc3OWhHQlM4aGpwZkFrQdIBrwFBVV95cUxNQy14MHNUSTFhOXFUQkdKeWpjLUhTRmhhc2pEaHpUNDlYdG10RjJxSW5UVWU1d1dzMVZVWGdRQVduTmJWc0xkaGlheERUUnJobGQ3d0xqZWlWdmd6bDlGbGVDR2VkRm4wZ3J1QmZWOHFzX0dxMlYtY29RTjV1YmtoT1hhV1dWd0MtcXBoWHpmUFlHT3hNZjJOLU9HczZ6N2hpR2FKOHVqdjFLcG5UUXBZ?oc=5", "source": "Rediff MoneyWiz", "published": "2026-10-05 04:51", "score": 0.691, "label": "Positive"}, {"symbol": "MARKET", "title": "Stock Markets Closing: Sensex Ends 470 Points Higher, Nifty Tops 22,550", "link": "https://news.google.com/rss/articles/CBMiugFBVV95cUxOVVhfRHpsclY5cjFFXzdINEhyVnpwOGwtUDRpcEVfUVpNMTJGLXVzYWhzZHVScFUxaG5MNG9wX1pWQmJOUUFQUjc4dk53OXNTcUJ1OHhjQ0NCY0c2bk5IX3I0bVE2a0hiMGc4bmZPaVg0eDIyaUpvMzJJTEtrVEU5YUVzVndfUTJlYlF5R2JHSWtQVHJ6TmJaWEtRMEM2RXpQRkVOTkJXM1dicm9TZHdtbXhyeXVFS1RDYmfSAb8BQVVfeXFMT0Y5di1BZk5SS3RSR3hPQWs0T19sd2cyMGZienk2ZkxLZFZaeDBNcExZemJaNUF1X2dSeHFaUjJ0ekZUbmdaQUg2eDV6NUpVa0VONWpsei1OSjRGYll1YjlIVmpwbC1WQ1g1TDlxUnNfZjZVZXBSVVZtNy02NU5oNnFsN3FUR0ZGZ1JaeTFsV2FVOFdDUk5UQU4xaTZ6SnVOUy1PUzBGWVB3UmdrSnZnSGo1Yl9sQUM4VktadHZoYWM?oc=5", "source": "ETV Bharat", "published": "2026-10-05 04:19", "score": 0.718, "label": "Positive"}, {"symbol": "MARKET", "title": "Why is stock market up today? Top 3 factors behind the rally in Sensex, Nifty today", "link": "https://news.google.com/rss/articles/CBMi5gFBVV95cUxORXJaWjJRdS14UmxUNlRCN2tyU3AyWVpaRTZWX3VhczU2TW8wRS1tNlpIenNqdU9SYjRnb2o0UjVoS29DSFhFb0t3dWZOYmotMWZHc1p6RXE2b2dnYjI3UUZObEtodlZiYldsejBVa2pGVldrYW40YVYyRXEzYXN0Wm93VGZrZHlKSGE4STRQNHdudGI4d0NsRDdoS2xsa0tlWndyWUt0aFNXVWttQmkzUER1UzFPeV8wTXpDUDZhNk9JaVpzaDlqSEhKNHUzVDA3amRKMTMtdm1tYzk3VXA5LURnbnJ0UdIB6wFBVV95cUxNUWYxa3hpckhZYXBRZ1YxYmVpQ2NPRHFNWUc0dVhkN2wzbmJEckJQVUEtRXotclBYelpsZTVkYW5acFA2QVI4Ym9kdlVaU3hjU0dkN3Y5Zy1uTEI4UmJJM2dPUURhblNSQVpyckFWLWNIVHBsUDlEeXcyZmw3YWQ5ampzRnJ1eHRPX1M5QkNfVk82OF9YaUoxOVJ0empmNXl6WkJuaHJreHBBOEdYZmc0dDVEeVhmTXhJUS1lUTc1ZUxNRE9mQ1ByMms5WFJ6THRKRi1aXzRJd0R2OTViMzhlcmR4WGtXZzllc0I4?oc=5", "source": "Livemint", "published": "2026-10-05 04:03", "score": 0.758, "label": "Positive"}, {"symbol": "MARKET", "title": "Why did market rise today? Sensex jumps 473 points, Nifty closes above 22,550: 6 key factors driving rebou", "link": "https://news.google.com/rss/articles/CBMihwJBVV95cUxQUGRJM2YwcWlGNzgwM0s5dXo4WEljLTVqdlk5OEo0WHY3c2MyeC1IYnhUYlNyN2NETmZ4OEtlVGQ5engySzdHT3Bia1A3dFV4T0RWSjJVSlZTN0dRTnJCN05WT29NOXd4SzFlYWszWlgwN0hLR3pwTVNQOVhkdkw5Q2p0X2ZuUENnSVZaX05ULTBqa1RkTTRXYXc2S3hreHJpa3BNeUZxaHBCRlVyM1d3QlV0RU1FLVNhYnRQWi1ZZHh5Q09zZ1Z6bDJUV1F6UHJxVGg0dGFPTFVTNXpYTzV5SGh1enNTdlBkVmJGTHg1UkxFRzhySnVaNnZjYnJLcmoxRU43MmpiMNIBjAJBVV95cUxNMlBfRlFDRE92MGN3dnV5ZjBYaTVZWGp4WlN2MDc5VUlSVzh2X0RlWHY2eW5xQS1YUXRGT1RrWm5sdUhaSzV2VjdobEtMX1BncTVfWlhvX01IbE8zRGthSHZrTC1KVG45ekh1cWlJR19YS0JLem16NlZZZTJtRTdJbzZ0dVFvVkg3MTI5SURfOXBLajhZdmZlVFg2SmhpdEpSVXZhZ0NmWURYbnViX1l3M0VFbEtOX2lhVkJrblJMNlMwaVRBeFR0Vnl1bm15a1F1dGUtdVpxSnh1NWN3bkZKMnB3UU9ESzU5MEhDSW5OcjVPMXF4MExxYk5iOTBUek5GczBNTjlDZ25NZ3dP?oc=5", "source": "The Economic Times", "published": "2026-10-05 04:02", "score": 0.691, "label": "Positive"}, {"symbol": "MARKET", "title": "Sensex, Nifty opening: Will stock market rise ahead of RBI MPC?", "link": "https://news.google.com/rss/articles/CBMi2AFBVV95cUxNN2tpOWQwRFdubDZXbUdVTnd2YktOYmdLNXZNN2ZHTFBkZFZpTzZXS3FVb3pXM2c4X3RDVllVX1BuS25LQnJsdWc3MVphZHJPUnZ4RjRob0lpR0h5ZW13S0xCMmZQM3pMSlZMWnUwdERtUVRBOF91eWJMN2hxdEdESDNBcjhleVlCSzV3bjF5b3I2MW8tWTFhNnN6X2Q0bER5c200bXBYNFMzdXBHekZVUTJsSi14QnBrSkJmbzRzVkViWTZJZUtYMVJEcmZlN2lpOGpkSG05UGTSAd4BQVVfeXFMUEw4ZUZzMnVuVFA1OXNQeVd6UjdBcHk0aEVvUGxiR0tOU0s0X1BKZlJOQk1lWGVyb1FVM1BaNDZhYmRRMlE3X0JXWlJNY09MOVNWNGl6UDFTU0ZFV3JJdUdwQkl5VG5vSXZTeHJDNTFiaDIzYmM3N1BDQUVBSlllSE1aTjRGXzlRcWsyRTFwSjBzRm5zd09hb1U1eVVtbHhoM3pHbzJkVkZmOGdfS05qTTlwT3d1TDc1clNobFZJVjBkMFg4NFRjcGlrOWF6VkN2M0ozYmJOQjF2bURiMXFB?oc=5", "source": "India Today", "published": "2026-10-05 03:27", "score": 0.402, "label": "Positive"}, {"symbol": "MARKET", "title": "Stock Market Today: Gift Nifty, US Jobs Data To Oil Prices \u2014 Five Key Factors For Sensex, Nifty 50 On October 5", "link": "https://news.google.com/rss/articles/CBMi7AFBVV95cUxNM09pdWRYYmtDa1p4bnc2SDMwdFBhdHM4bXQ2MlZnb2hsOHZfZEpvdU1fWjBsTVI4RlZwV1lMNldqQWtMaGY0R282Rlhwd19Xb2FudjhRUHVIemJkQ2d0QmxnQWd2RDdhYnJVak51b3lHbERSMDQ5TWRNekpqSlZBc0pOTGtoSGl4M3RBRGQzXzdZMWVTQVhTNmVjdUZXMGlFblpQUDdxTWI1emllMnRMOGlIVDk4aXVqMXFUTWVpVm91UHlfUzdQREZWTXljbnVadS1TWWFRcFA3X19PQURRdjR1eTV1YU8wQkpDVNIB9AFBVV95cUxNOVYyWmZoeVpuQWMyd1YtR3FSdjhQaTBsZFhGMHlQYkJDRV90M3lTclBWZ1pDdElKbXBFZThJOTBsZGZqSkRibEJwellNakpFZEZfYWdqSEdWMm5vVVh6VVBjWUFHbmxGS1FXWWpnaWNtbHBKbnhJcnlRUEU2NVFfcFRCam5nOVk5MWUwWkREdTFMa215QkNmUjRqWlU3bEVoWG9uNkhXV1NHQkQ3QzlXc1NvZl9FS0czZWgtTUtxYnR1bjRGT0VDZndJZUZ2TjNpSWZrYjhldkpBaXVLSGVNRV9URlZUUDlOcHhuUUNrNXZrVnpy?oc=5", "source": "NDTV Profit", "published": "2026-10-05 02:24", "score": 0.807, "label": "Positive"}, {"symbol": "MARKET", "title": "Stock market outlook today, 5 Oct: Sensex, Nifty prediction - DJIA, S&amp;P, NASDAQ, GIFT Nifty, Nikkei, Taiwan cues", "link": "https://news.google.com/rss/articles/CBMiggJBVV95cUxNelR4Y3Fnc20xbE9zM0J5Q0hkejJnX0xLOWpJSWFiNGJHUzRLTlRURDZUalpRR0RfUDFWYmZNcmVZeDN2Um1ucTRKUG1RdDdheGN5MlA3VmlxUl9CeHo4UFg4dmdaT21TZy1oNVpHdUxua2NlXzkyRkJUZC1BRlFQZWsxNEExTzdDMGgtTTBCT25UcU10WnJGcFNteHpPUU05X2daV0ptZkNZMXRQWVJ1S2FGc3hha19tdmJqeUdYajJ5TXpDTGw5SGI5cm91bGc0Rzc0QlhPVVk2cWJ6aEo1UmpkNENNQVZXWmRRdXNzWEhpZVdSSzAzaktXNWFmemR5bXfSAYcCQVVfeXFMUHN5NnlqU3RKdFdqbkJxenZDU3ZkWFhDemhuWXNXa0d1eUdFbnV0aC1Wa1VuenctX2loTGtock5yNUl2WjViaG9mVTE0aHI3RFg0Wnk3ZXhRcUhIc2I3N1RrdkFHLTl1RHJfeHYtWjJUcTYzSE1xX1JaWjd6bFpiOUVlQjhxbHY4emxpcDNQRmFONFJfdXF5Z1dYdHR5cTVzT04xcW5OYmM2VFg3YUJVQWNPWnk2Qk9wWGxLUzR0VHJLMHpMNUdBVWx4emxHWGU1WERGczVwOFYxRFo5ZDc2R0ZYbVhvZjhyTVRpT3BKLWhyMnJtd1R4UnhpV2RJbXZTRVdwWFRiLXc?oc=5", "source": "Livemint", "published": "2026-10-05 01:28", "score": 0.842, "label": "Positive"}, {"symbol": "MARKET", "title": "Share Market News: Nifty 50 Outlook &amp; Prediction", "link": "https://news.google.com/rss/articles/CBMimgFBVV95cUxQQ1pWNnU5Rl9feER0WXN1ZFB1MmdLb1pQUFVvTTBFTmFDeXBMd1FWbEdTOUZ4a3hTMHhXSUlSTkpnVFo2N254SHV6YWJoS00tTEVxaWZ5UFNDNTZ5Z0E4V3p4dXVvNVByR3FRY1Vib0hSd2ZOZG9qNUJiLTRhZWhZd3h4VzNUaUFYeEVDVE1FdlBBNENGeHg2aWZn?oc=5", "source": "Liquide Blog", "published": "2026-10-04 12:57", "score": 0.402, "label": "Positive"}, {"symbol": "MARKET", "title": "Sensex, Nifty, Bank Nifty prediction: What will happen in the Indian stock market on Monday? 3 reasons tell the scene", "link": "https://news.google.com/rss/articles/CBMikAJBVV95cUxNd0NvRVRSTDduVC1XRTZSdGF4N25IeTIzSVVRX2FTOVdyakkxTkd4aU9ZWDgzM2tiTDI4dG9meHNRbmJQNEtiOFdrd0R4ZzhGYUlMaC1pbkFkLTM1UXdydnpvYWxaanE5Z2MtRkpvV01ZeV91YkFuYkVPdXVLT1hYdTNvNER4WWtkcmlUVV93dEtUSldpRmFPbUp4YjUway1BcDJuQVJfS21tcWtLSE9vX051N1I4enFFanFrY0hmUFhSeW5ZSE5wVThybElpTFFGT202QllJdnVPUm0xMFV0Nm9HM3BJZDRlSnNjRXdrbi11N3plak83N0ZhN1Fhd01kWloxcW5MekFIZEZNbmRZOdIBlgJBVV95cUxOUm1GN0VHQ201M1JmT3JES3FLOVA3UkM2X1RjOS1zMGs3MlNkcmFjOWNTUTZWUU5MN2FtRFFUVThDTjhOQm5ZNVJSSFFnRWZ1Mk94dUx5NmhDX2VIMjhHZTgweTBCQURQdkNEVHhGMDM1eXBmRDZfcnRzOFFXanNZQ3NSRHB1aVkwM3h6N05TaEZDcTNmZzlURjF6R1BaRlIxTVhzQjJnRmowb3h2UWpWU2laSmgyY2ZUNjNTc1EwVjNvSzlicFRmQ1Nzbk9hTDI2UjN4QXVCQXItYVhrYi1xNjhNeERVb1kyam8xeXFhTHRLZHI3V0RreFdMbXhlRDlyOWNKWnFGanlib1hxYzhiNnZsMVg1Zw?oc=5", "source": "Livemint", "published": "2026-10-04 11:18", "score": 0.66, "label": "Positive"}, {"symbol": "LAURUSLABS", "title": "Laurus Labs - 7 midcap stocks with rising EPS for four straight quarters. Are they in your portfolio?", "link": "https://news.google.com/rss/articles/CBMi_gFBVV95cUxQVEVvQVUzUGVfWnBFVUVHZnlXN2p0RWU5cEtfWHRscHE4S21RZDRERnhVblBZVzZWWkVudWlQc3N5Nkdod1JxMWwwREs5MWdfX0Z2NlRmVUJhWERtdUFXUENZUWlGSU94Zm9nTGNlZXp5LVp3WXpPTFpWalJGOXZuZ2tMV2Vld0E0NzlMTWo5eTNTNV9TNWNtX0FFLXhPdTZXMnBVOEJrWE1EVnlaeWNqZS1BM2ZfaDdMT082NXQ2VWdOZFhiblNYclhLbWM4S05sd010SWpGZzVHbmgxRFhxWGlsY0VzdUNIcmx6UDVDWElOaHctSmx0Slo2dWQ4Zw?oc=5", "source": "The Economic Times", "published": "2026-10-04 09:09", "score": 0.226, "label": "Positive"}, {"symbol": "MARKET", "title": "Stock market prediction for today, 5 Oct Monday: Sensex, Nifty outlook; Dow Jones, Nasdaq, Kospi, Nikkei, Taiwan cues", "link": "https://news.google.com/rss/articles/CBMijwJBVV95cUxQd25zczBMcWMxSmhGWU1pR01iWG5pMlRtTUwwR0ZOWl9ZbTdNQXZ2WEdLTk84SEFyeGl0YkFRazY3STl5Wl9zU1JRd2hMaFZtNzMtempfdk8ySDVQcV9scVFoU09WckgwV0RiMEJLQkxweVVUVUVCWU1zQ3p6Q3ZRTDBhUlFzbjBKajE1Q3BOOURaVExFR29JVzdSWnRJUE95OTgyaG1LVWlIWFJ6MFF4aWJGODQ1M3kyRkdyd2FrYmRrYVJ2VGwwdWxaSEdYOHdWVktIMFBvVjJZN3l6aUhLU1h1aWw3Ulh6aTBSem92SER4WWVEWjQ5T1pJbzE2bzM2NVY3WGc4ZEhkOS1xcUJB0gGUAkFVX3lxTE9iTF9TQkdKRHR6MEdPS1ZCaDJtYXFvTFUwZFJQM3dWdXZ0MkJmeHNneFVpVUEzZkNremlEMWJDUDdxQ3dBTnlwOU1GS1N6YmZsNlNOZUpPdVJrQ2p0eC1xUHJCUkN6dDM3dS0zMDk1c21XeTZXWGtsNUx0Z1hydndCYm9fS3EtMWpuOGFpamdHVUZFTy1ycFhpajkxZzJTTWViOVY2OHlzc0JWYXFmbDJqczdYd0FlaXhpVkc3QWRmTU00alRpSmVDamhHTUhlc25NVFRlejhwOFpSNjc2c2d3X3g2LU5vZExadWdORkxOUGR3c0VaRjNiTzRDNW9UVGpSbnFVaW1BejFpUE1TQW1MWGZzRA?oc=5", "source": "Livemint", "published": "2026-10-04 04:39", "score": 0.402, "label": "Positive"}, {"symbol": "MARKET", "title": "Will Nifty, Sensex plunge for 9th straight week? TCS Q2, RBI MPC among 4 factors to drive Dalal Street fro", "link": "https://news.google.com/rss/articles/CBMigAJBVV95cUxNSlpCZHRtdU1mRHhwdmZTUWZFd3lpN3A2bUxuQUR4eFNZUm9xdkEyRmN5RkRIYjlUVUVyUWVCNDRnSmlpZ2d5bGI2NU5weVBBcUdaazhCcnotZklaUWRKMy1JbzBiR0otSktubEpFcDRGT2ZablZnVXNkbEJLekhMZXpleFN3WF8wMWFNcmEyRVNnQVFTTXR4eGpPOWJsWXFnemhsSE80U2IySWFSdkt3WEZQRFpQcUY5VDRVcW9YbjJXdzA1T2NwWkY2UENKZ3lJX3BaMFkzT1NKMVVaNnYtUXJPTXBHbWZVVWVld2VlV3ZTUm81cnpEeDlNb2p6eVNa0gGGAkFVX3lxTE9CX1NSZFR1dlFHem5UcVVXbmJCOGhweGtqZkZFZ0VoRDF3WVNQcTBLMTBxTzhwTkE0LTR1NGlZQ0VNVERKdk0xNjVPVTAycFpidFBVMGlLdG4taGRnVElxOTV3aVpmYzhHU1M5di1EWlJqUkE1bVJ3MEEzV2xyaFdOTjhWSTRXRWxtR2lWdW1Yb1pXMUVEM2NlSm9JSmhlRl9keVdGaTdFMEtiblNXRDV0azdfMUN6eDZyWXdEX2MwaGx4WmxzdFI0WlU0U1dkNWQ4OEpNQm9nZGx3anFMbXY3V1hPUVdpOW9JMHJZVURSakdPS3RVZGQ3MkwwMUY0MGtwZnowelE?oc=5", "source": "The Economic Times", "published": "2026-10-04 03:44", "score": 0.026, "label": "Neutral"}, {"symbol": "LAURUSLABS", "title": "Laurus Labs to host Q1 FY27 earnings call on July 24", "link": "https://news.google.com/rss/articles/CBMirgFBVV95cUxOMTN1ZnFndVJWS25ybjFfblNPT2JQUThIRUxKR096TWxlUDhlSVQ3U3Y2dmZQZ2wwRkt3Z0owaWRxWXFPNUZVcDNEQTl0UHJkT0dDdFhPd280OG04VFBpMmREUDM3N0xxZE5MNTRYRWlmMzY1X05mdkt5S1AtTEdLb1ZJd0pIZFVGeWZmcWlWaFJ2QmthcjhYRzBKazBpeFBucll4YlFLNl9ENGRCZXc?oc=5", "source": "scanx.trade", "published": "2026-10-04 02:58", "score": 0.0, "label": "Neutral"}, {"symbol": "ATHERENERG", "title": "Tesla Delivery Beat Lifts Ather Energy Stock And EV Shares Back Into View", "link": "https://news.google.com/rss/articles/CBMi3AFBVV95cUxPRUZ0YVJsTnBQVXVOTk43SDByb0RwaDdMR3k2dURLNlhHcVhNME9MQjJBazQwSTJ2SEdRQVFqS0tjOS14OWFTd25xeC15QkZpSXUyUzZ4WTlCVkpTZlBOa1dyamRoeWhLbzJYUC10ai1DUEFZQTFxOUxYWHBlOVJxU3VESXBzeUhjbjVaWDlFRVJId3ZId21YUXA4YzJYSjQ0M2tCYTJLVElwb2ZjYVhTajlURFJsX0NXTzRVQWZxVlR2OWp3bVhnTWhtMjhlb2s1R29nMk5uQjVBZHBK0gHiAUFVX3lxTFBmckdqOEpWNzdMTTdhUVd3OUpYZi1tYUxQOEdJdnlQVlQwNjAxNWVLMGt3cDN6dmtXYmdmTUp5SGxXcVp6ekNYU1c0UmRHc09vSHpSX2djcWp1VmdFOUVQWHF1dGdmQ3l1NzI1MzhwbjJBZmo2SE1hUHpwWDJUNFlOci03dUl6MXAwUklpOGgyaEdpY1N3REh1MDNrUnlvU0xaZnRrRmREeGlsQS1DVHJsZUhiUV95VDdicHNUaGZ5N0dGQlB0ZUZsV1lSUXdkNHdUaGcxTkRtNTNiUDlSWUFYTHc?oc=5", "source": "Simply Wall Street", "published": "2026-10-04 01:36", "score": 0.572, "label": "Positive"}, {"symbol": "LAURUSLABS", "title": "Laurus Labs NCLT hearing for composite scheme set for Sep 10", "link": "https://news.google.com/rss/articles/CBMiuAFBVV95cUxNR2loRVl4VmFmUTQwUnNVdTJoMnFBZGFfU2M1UDRhUVpIUUpneGN3amZOeEtZZlpkVWl4U1hULUVjdEJWYVJlZDJJLWk4UHpFaUpHeF9wRG93Wno2aUN2amJXTGtZd2dfa3hNOTBJbmNYajNqVXNWOUZXV180blQ5SWtBMG5xR2tiWXlrUUdmRWdIX2dncU9ra3ZlTjhNZUpRNjh5aHRWRXJDdHg3ZU5UeVZqZld5WFRh?oc=5", "source": "scanx.trade", "published": "2026-10-04 00:59", "score": 0.0, "label": "Neutral"}, {"symbol": "MARKET", "title": "Stock Market Outlook October 2026: Can Sensex, Nifty Recover? What Analysts Are Saying", "link": "https://news.google.com/rss/articles/CBMi0gFBVV95cUxQamZwTFZweXdGSXUyYlBrUTItN3dlY21KWnMzTTZZR1A3bjNUT0VlLUdEcUI5VXZPMFpJZ2pMWTg4ZTZlU19GUUtnVUxyREh5WWJsZ183VVNyZC1TRng2Q0FOdnBwZVNEY21QYWI1ZHpQbHpLazNnN1pZRy1nMTZIaFdVaXNPczBjZEo3Q2xwVjJBemhtcmlmekhzVGJycUV6WXF1aG1wN0w3YkJaWVhsamVpTzl2X0VlYUJIcTNMZVQ0X1ZBMGt5TFNXZE5EbEdYUVHSAdcBQVVfeXFMTTIwMWlXOUxSdjgwc09kX0NQMm8tMklJLXlfNk9hbnlTR1YyVU5ZMG9IcDdLNVVPZmZiUUF5czVWblAzOXhMOWNvYXFiZmhISnYxb2d6ZFFUenZJZUFXcEhhd1pqWVJRZkZ4d0JNc2hiQW1nMU1ZbXlzQ0ZPNVdLa0s0RUViWVNLSWpMdnlSSHh1bUNMWk1GS2tEdHF3U3FzNHNPMEM2LWU0SWllaGJxSzdneE54UWNNXzhjQ0tONVZEQlBRWUktaFFmemk5NmM4UGNZNlRmYnM?oc=5", "source": "ETV Bharat", "published": "2026-10-03 11:53", "score": 0.402, "label": "Positive"}, {"symbol": "E2E", "title": "1:10 Stock Split Alert! L&amp;T Backed Small Cap Stock Fixes Stock Split Record Date | How To Get Eligible?", "link": "https://news.google.com/rss/articles/CBMiwgFBVV95cUxPWmhhOV9UbzdzUnl1d3d3UWJ0WHdUVTFnVy1CRDlOaEtJRURFeG9MdzYwemoxblZHVFEyU3ZsSUpfd2R1QUVmRFhDakRUbWJvYTg1MVByOEtJZzhuZndaRkdHaU1BdGQ5bWVIMzRudUxYU0lvRk82UkFqd2tId2JMSDNVT1oxUzVPRWRsamprWWo2a0QxRXdGUUxhME03RWNTMmwwSmMxUkNkQS1yRmI0WUJ4X09BZWlTY2JxNG00X0Mydw?oc=5", "source": "Goodreturns", "published": "2026-10-03 11:24", "score": 0.624, "label": "Positive"}, {"symbol": "MARKET", "title": "Indian Stock Market Outlook Next Week, 5 to 9 October 2026: Sensex, Nifty May Remain Volatile Amid FII Selling", "link": "https://news.google.com/rss/articles/CBMi3gFBVV95cUxOUkZfc2syemoxZXByVTI1ek1maFRlU1gzOHNJWjVrT0RfaTVheGs1LWQzcVdkX19WS3lUTWlBN1c0UDQ2eDVGalk0MWl5Z1YwN3FRU3NfblhfbEdCVHBmOXVXaC15dWxkUUNLUlgyMHdjODFkcThoS0EwTWNMMEN6WGdFbnc5ZV83OW85aTRfMnFsZ1hwNXpPVDhFVTV3V1czbU1idW1MdGh4U25YejFZSWEyb0txSU01WEczcXNNLUlEWWV2SFRGMFZ2V1lqcFVpVlRvZVN4WVlkVEpZMEE?oc=5", "source": "Goodreturns", "published": "2026-10-03 11:02", "score": 0.402, "label": "Positive"}, {"symbol": "E2E", "title": "Indian Listed New-Age Tech Company Tracker: Market Cap, Revenue &amp; More", "link": "https://news.google.com/rss/articles/CBMimgFBVV95cUxPVU94dFhyMVNPZFBOeklEbER6NHMwNzZpZDdzamhwdXpTYWZjWkh1cVN6WFhGV2UxZWlyVEZrOUlRak5NSFQ5UWstcjFjMHNzWFNuTzZaRUFVWXVhM0YzU0F6clJYMWp1VlBSOTV2SEdTYlVFbTZkYTJQMzYyNzRZWllNaWhDWFduSmhKcmxicm51d1JuMGVjR3R3?oc=5", "source": "Inc42", "published": "2026-10-03 07:00", "score": 0.0, "label": "Neutral"}, {"symbol": "TDPOWERSYS", "title": "TD Power Systems receives listing approval for equity shares worth Rs. 600 each", "link": "https://news.google.com/rss/articles/CBMitgFBVV95cUxNekxkRmJZOTE5cGJkc1V0WmJnalVfXy1MTHlzdDV0OHFObTY4LTdlWDVPSk9aajJpbDlaRjJIZ3B3S3MtUXhwRFRRVEZhN0ppVlJmMVhsRGh0cDZNbDNVMW0xQzNjZjRHSWpYb3g5Q2FZTVh6QnA5VFlZLWVXdnB3S1Z2OC03dHhoZXJkTWUtcmVrVU5neHJsZ2s3VlF0dG1EWDREaVlJN2ZjS3hwb3ItR3lsLVp0dw?oc=5", "source": "Business Upturn", "published": "2026-10-02 14:25", "score": 0.572, "label": "Positive"}, {"symbol": "MARKET", "title": "Sensex, Nifty Fall For Eighth Straight Week Amid FII Selling", "link": "https://news.google.com/rss/articles/CBMiugFBVV95cUxOckJEMEtFUTYtLXN4WVA3R1IyaUJwZFRpb0dvRzVIbG5VOS1KYjhiM21QUGtxak9ibWhsWFJCSlRFQVRGMTktUW5Hc1NOa0RmWUhVOS1oajU4UFBmOUtmTnZmS0w3MGppamI4N0ZBRFA5NHpKQ0pYaE9PWjdBS0ZiV2xYSl9UcTdBSmhNaWZQWHFVanYzazcxWFk2eWNjQ1dJOUxkOXVuUi1VU3B5NnhUTk1RYmdpVGczQUHSAb8BQVVfeXFMT09KMExneUEyNDdWV3VqTXJPSWJGQVdVWklWcWJlWFh6MTVyLTA3XzRSa09xNkgxSnJySHJ3ZDl6Wng1NjFXU193TmtnUnUxUHk1dlQ1RURDSkcySDNPTmVwdjdsWElPemJUb3NjUWw4U2VyRVhpU3E5ZXQtczNUbzJrWnVRbGFia01OUkZmVDRPWFNhNm9HN1djcXJ3ZWxNRGtOYkNWcmVxa1hGdXFQNkthTEtxbXpVcnk0djlUdWM?oc=5", "source": "Deccan Chronicle", "published": "2026-10-02 12:21", "score": 0.296, "label": "Positive"}, {"symbol": "MARKET", "title": "Stock Market: Sensex, Nifty Extend Losing Streak To 8th Consecutive Week Amid FII Selling, Global Risks", "link": "https://news.google.com/rss/articles/CBMi6AFBVV95cUxOQkJxYjdKY1ZaUEpvOGhTWkNjcWNJQkRtcHBSendLbURRWk13SGZ3dHNmVVN1X3M4dkVTU1MyNkdoZmVGSlRqOXVXbjEzX0FoaUJTQXZXODBQR01tcFAweUJuMmlvOTZoZE1JS294bEJoTExmb0g4Wl85RTZMYnI4bElEZkVxdDhxY3NEZWMwQUlkNmZKeFMtcm1nRW5yZndpRC1vOGtlbjE4UzhId3Q3djlNQ3lRRlk1d013ZHI0UGlaTHFzVDFkd1EwbGdaaTRSUGoyNWw2SnppNndNbjNhQVFOTzgzYXEt0gHuAUFVX3lxTE1UMl8xcEVfMW9lYjl0Q1JvZTExVXZmNm1EUG1vUlpKZlhZS1p6QWp5OF9zeHRNYmw2OE1ta0tUbU9pcmtybFNKbGdPcTZTNDZKYWNKQ0d1elNpcDlzdXVzQ2JrZE9KNlcxWXJaT1VZbVhZV01ybjJURnd1cHZ2SDNDMHJfdU5LVUZlbFJJRGY0Q3o1TGJhQTlYdFl2Y0k1eGJaQ0Y5NHhqMThGWEY2MXZyWXcxNmZxNTJRTWtfUnVOeGxzb2lNRFpTRWNfeGotR1dIeFB3SnBULWVfSVNGMTVMOHVDcjNPbEFreVBvbWc?oc=5", "source": "ETV Bharat", "published": "2026-10-02 09:56", "score": -0.077, "label": "Neutral"}, {"symbol": "TDPOWERSYS", "title": "TD Power Systems (NSE:TDPOWERSYS): What Does the Listing Approval for 12.5 Lakh Preferential Shares Mean?", "link": "https://news.google.com/rss/articles/CBMi4AFBVV95cUxPLUlfUlJUeWVjbE9KbDd4eFp4aFJUNnZ0NnkySW50NndBdGI5U2Fza0NFZnFGNEdJX2hiTjhjeUJKQ2gycmJrNDU1MmViWmtyNXk3dWZ4bGN1TUpodHJpbVlrdXhpMDVZaERHV2V2NVFobVc1akFIVE4zUm5mYklPU05MUEpCOW5RRjdrZFFuUmVLU2hjQjc0bll3dlhkZlVJbWFlWmZpZ3J0QWk1SHZKclowRU9RSEt4YUdCcmJVY1RqMzJFdHAzRU1lVWNIaklZX3BwN2hjVHd1azgwYmVQcg?oc=5", "source": "Kalkine India", "published": "2026-10-02 09:20", "score": 0.421, "label": "Positive"}, {"symbol": "MARKET", "title": "Weekly market wrap: NIFTY50, SENSEX fall up to 3% marking 8th week of loss; Bajaj Auto, Max Health among top losers", "link": "https://news.google.com/rss/articles/CBMigAJBVV95cUxObXdLMUV2eVRrS1hrZl9CS0FjNXZNRUZ1V1dKT0hwZ1d4NVlpZlUxTzJnbk96UUdzM0V3WlM1RW9DZEFsTVVxSG93LW0wQ0tNNTZrZ21CcV95YUIweXdfSkxULUotVnNIbkc5alVPcG9qdUNZcURWZjhuemhJRzgwa0tHZktmR2tsMjNqbExYZ1V1ZWZFcnotU2Z1UkpsaUZLX1VFQnhLMHBURDRwa1dubkZnSTVNWmI4b19EVy1BSDFmSFM3OHpqdlJaYmx0UU5TSXNUZWVqMUFKMXNFV1FkLVc1M181bmptUl9ZaGRzS1ZJQ29Kek53aktubmNoVnpN?oc=5", "source": "Upstox", "published": "2026-10-02 04:58", "score": -0.778, "label": "Negative"}, {"symbol": "MARKET", "title": "Stock market holiday October 2: BSE, NSE closed for Gandhi Jayanti", "link": "https://news.google.com/rss/articles/CBMilgFBVV95cUxNOTdkYUFNemdmRzJSVm1SSTlQa0pYQVJEN3drNWtBeWdDSjF0eHdUTnoxVDZseHR1VWNWakdhUG5pelZaN2czQld0RGtHUG1yNlF6NUp0SllkSEpPaklaTU00MldIRkl4VGo5cDdZaHFyZ0Q1bnR0andtbC1kSDJrb09tM3M1eWhiYVJzRzd6Y09iWlRMeWc?oc=5", "source": "Telangana Today", "published": "2026-10-02 04:41", "score": 0.402, "label": "Positive"}, {"symbol": "MARKET", "title": "Sensex Today | Stock Market Live: Sensex flat, Nifty nears 22,500; auto, media down, IT stocks gain", "link": "https://news.google.com/rss/articles/CBMixgFBVV95cUxPRlN6bkgtTEY3cU9JS3Q1SXIxNkluQkxsRmdZNnRSVzBiRDBMWXppWXplYzdVQ215RkVMMGpXSUtTXzZwbEhEX2M0T2YxbFJNdXBCTTY4SkpsOVlacEdsTjItQWpBSmdvTnBrZHNYcW5UVFBrMTBlYXppQ0szTGdqdGp0c0htQm9fOGRyYW1nU3VTaU5vakhWV1hZY3Q3dkt6eGtoZWRkbWdzXzhUTjk0SE90d3ZUNlUxemh1cDZnMDZocl9zbFE?oc=5", "source": "IndiaIPO", "published": "2026-10-02 04:39", "score": 0.625, "label": "Positive"}, {"symbol": "MARKET", "title": "Gandhi Jayanti: Are NSE, BSE closed for trading on October 2?", "link": "https://news.google.com/rss/articles/CBMi3AFBVV95cUxNc0xST01Fb0RyMzJMb0NaN0VnWUhobDRMRGtwT1F2UlFLMHFjUm1YdmtqS3prVEtYcFQ2MV9hZXBFMXhndVhtZV93ZFZIY2ZIZlFta19ta1E2YWE0bHcxWHJEZERPckdiQWc1THdPREVEaFRRVkZOejhfMFoyaFNfWnhjdzhxQ1VMRlVtcGM4ZGIxY3JTWVFMdVZYa3hsU0VOa3VMSDZqc0kxRVVDTDdOV1JNLXhDNFJ2VUNVbTlwa1BGRmZTdk1oUDAwZDlNaXdwQlZ5OVp4cDhranAy0gHiAUFVX3lxTE1LRWVGcjJOMzVMZGdvdzNKOUdvZUY5SURqN2tfTkcxNVJvaFJBRGU1LTFjTUpKVkp3cWtOV2VqOVRmSmJBUDhZS0R3SFNmTm5mWVdLalVLREVSVDE3RG10RGFkZDFFWFE3bHhNaXNWaVh5b0E3SXM5ckdaenBUTmhTal8wWWV3WUU3VVFGQ2NFUks5WG92WHpFT0UzZVg4ZG1HM2FkUVNfMkg5S0p0Y1VmUjdzb01ocWxFTXFERnFMU1h5M0JxMHFpZDI3N29PUVppajNpZzY1UHlxaWxwX2JDUEE?oc=5", "source": "The Times of India", "published": "2026-10-02 03:57", "score": 0.0, "label": "Neutral"}, {"symbol": "LAURUSLABS", "title": "Top 2 stocks to buy or sell for short-term: Laurus Labs, Canara Bank by Chandan Taparia - Check stop-loss, targets", "link": "https://news.google.com/rss/articles/CBMiiwJBVV95cUxQdlhSVmFPSkpscDh6TDRBWGZxT2E1YmVST3ZXV2JqUFlPSTdCeER3cUVWejRORE9oVE1xVlFsd3ZLcWlPcWY3WXhtd3djLXlxeEtra09Vc01nU1BiaW1wLUpvcjZHNi1UQWRXTGVVQzE0V0VqUGwwUW1hQWphZklnUDF0VEtGOWdnT3diUlEtNEFCR0NlRXE2RFdQdHlLTGZObWhjbW53cnEtMnZmb1k3NEN6by1wckNZbThnbXc5SnVzN1ZPb1hONzhaVVBTTEloX0xpRld4Z2F0Q0NranNua0Q4X004TUY3anNBREROV0VKcnFUZVFxRkpKT29TY09WekhURmNJVUdPaWPSAZACQVVfeXFMTXN2YUZQUU9DSGlHTmJyMUxVYS1uMzNsRTNYVmotSmk1a0l4MC1DWjRTTHVTMHh6R2hSNGxVbDJrNUd6Z3Y2aU9GcXBLMFhBTjhoYzJWWWNZMGo3SV9YdDdYNWtvVGlFNkxlanE1NUI4cjBvMUdrd3A2bndyMXVDdUp2c2lUZUpPeUNMWnBZc0dIYmF0LWg5NjZ4cGlmWlh1amllaDZ4UGNla1JPbGlENUJPTHhsaTh3XzlhSDhPSDh6NDUxLUZHSFd2TnZtd3g5NEp5RWRFcy0wRUNFcHBuVGEyVjZzWUVYZ21IX0p6VkNWZURhQUh1WU9NeGoyZGJNaUNRQ29ERkdUT1B3NllWT3A?oc=5", "source": "Livemint", "published": "2026-10-02 03:53", "score": 0.153, "label": "Neutral"}, {"symbol": "MARKET", "title": "Closing Bell: Sensex, Nifty end lower again, extend losing streak to eighth week in a row", "link": "https://news.google.com/rss/articles/CBMivwFBVV95cUxPb2JPVGdUY1JyMDA3N19WeWRDc2RJNnc1d3BOdDNfNTVUa05IbjdkMGg4NzhsUk5PUWVNMEdwN1pWZnVTQ19VSWVJMl84REV1N2FjdFk0VWFncFpFQzR3MnBHNndMN3dvWmZDclhUOE42NV9ZSkdQT3JOV1pzVERDQy1FR1h2QWFUZGY4RGp2QVg0RE15RmtDZVNBc0xyLWloS3pzXzVXcHFEZzN3VnVhTk5kV1hYQmZ3RlltYkZocw?oc=5", "source": "IndiaIPO", "published": "2026-10-02 03:52", "score": -0.0, "label": "Neutral"}, {"symbol": "MARKET", "title": "Is stock market open or closed today? Check NSE, BSE October 2 schedule", "link": "https://news.google.com/rss/articles/CBMi5gFBVV95cUxNQ1U4TXZLU3NVTnNha3RtZi1kWWVBX3NpRWliSV9UeWxvU3JqUFh0QW8zc2xhV285NzJFMHVDZXlvVHhLY2dScV9kUnRtbnUzeWVQNUVhN214Z0lkOHg1QWEzdm9udWp6dTdPZGxmMzMxVExsMk15dzdFVTZfVTJ4OWxMVzhoeUNGYzVkN016MF9SSlQxZkxqejlLc3QzWXh5d1d1bUNYNElGcVZibWZ4bWhQRXRRc05sUGNqTjVNUDlJeWJoU0J6X0lRQjhwQnFBeWdZRGplRHJHZDU1b2JmOWtqZUdjUdIB6wFBVV95cUxQbG1KLUxFZDY4X19ySk50dEZDZFdnOUxCd2xkRF9kMzQzalRkcGVSLUlCSnJfUWx5QVNRQjBEMXZ6YjdCTGdjdU5YX2ZlRGRHT1lDdUlIcWs5OVBOOTVpeDlkc20tM24wenFwc3ktc2YtQzMwbGNjQU5JdFRHYzVxWGJPaDdtVDBWNnRlSTJrUXNoQXA3dExRTUtfOS1jcFNxT0J2S3RabVcxbzRnVlpmcWtsVm5yN3Q5RVF0d2gyZnN0WWNxMnkyMWxVOFpZclhNQWdFU1MxMUd0cUNpUGFVSm9CZ015alhDbFg4?oc=5", "source": "India Today", "published": "2026-10-02 03:07", "score": 0.0, "label": "Neutral"}, {"symbol": "MARKET", "title": "Stock market holiday today: Are NSE, BSE closed for Gandhi Jayanti? Check 2026 holiday list", "link": "https://news.google.com/rss/articles/CBMi9AFBVV95cUxPdzBtSkdsSVdRTFRYMEtLZjhuRnVja3lZdU1OOU1VRDh2NnlVZi11LVp2OTZyMDllOVlfd3Q0S2lsdnc1blozdFJqLWVmOHUwbGhmN1I1STBycTdfbTVsV1N2ZXBVMzhDYUZMdWFCWm1rYlV5SDJKc3hLZjhTYnU1c09TX0tnLXZwU2RhNnk3OExrbFd2Vm1DRGZvTl9tWTI1S3lOM3FvSlQxV2c0M2hHSkdYU1JYUHZxa2x4Vl9MRXdPNENfMENvdmdTVldxZnZ0ZW45c0N2UXk3eXR6dVdMeEU2S3pKY2hRbE1Za3haNVREQ3BR0gH6AUFVX3lxTE5KcFI5ejFJX3FEMk1mM01QLVZJTnZsUnBna01ybXlNNFVzZlVoeTlYd0d2bXd4UnZpUV9Zc1lCa0l0dmlMMlgzbUJvQlZtNnBJMTdnMGhEc2s2T0xHTldTTlpFLTlpZ0pNRFdwSjNKQ2hiTk5KOWlDX1ZManY1a3ZYdUlJTk94aTNnZ2pTeFVILUFtMkNLakV4by16Y0kwVm5ZX0FwOGJNelNtbGwxeEdKVVF6SURKdXotQ1pxZzB6OEtpRWtjU0MtOXBqN2NMLWRmZXJJWFR1NWpQaUNmTlJnQzI1eFpMVDYxOGo3OVFIM2hwSG4xLVZpUFE?oc=5", "source": "The Economic Times", "published": "2026-10-02 01:57", "score": 0.66, "label": "Positive"}, {"symbol": "MARKET", "title": "Stock market holiday: BSE, NSE closed today for Gandhi Jayanti", "link": "https://news.google.com/rss/articles/CBMixgFBVV95cUxOeW1pUlBTcVhWck1QcC1Zdk1EcWxiSnhORDBwT291RzZCb2JaYlVvT0dxMGVuWWp3b0ctam5raFFWT3ExOWpncmVKVUVHcDVIZVlLOHN2OFJfVF9hWWxzTEtXakhEX1k3cTBUT2l0YmlBcjJkcUhkQUtBLURqR2thRjNrdU5XSzdBTE55M1RlMVBOaXAybnF6SGRrVVAwX3JFQWNvRFBlTWJhemtuak53ZVNyQVJDeHV0ZnB0NFNUTnM3VkxBYUHSAcsBQVVfeXFMTnJ2X3ZPNzAyUlNYdlplOTVNRGVwZmI0LWRmVkhkSmNLVUFCYU1MX05ESUlaWnBadWs5RnNsSVdrZklDbmFzVTFvdDF4dDRpZFhaZ2IwdGZicVROU2ZKb2dQSDlObGNxd0pFeGppUFZFeUIzNUZ6M2U2d0dDbTdqNXpialhFV0syWG02T0RtaWNMZFlkY1FraEJ6dXZ2QzNkaHkzQmFsaFFSejNlRTAySC1XYWtqNVV3SkEwcDVLY0lMZk9sYko5ZG1qV3M?oc=5", "source": "Business Standard", "published": "2026-10-02 01:50", "score": 0.402, "label": "Positive"}, {"symbol": "MARKET", "title": "Stock market holiday today on October 2: BSE, NSE to remain closed for Gandhi Jayanti", "link": "https://news.google.com/rss/articles/CBMi6gFBVV95cUxOSmFaV0tWVjhCSmdEeWtESzMxOFdMblhmWXJ2ZGo1RW1aQ0VualdKUG9VZlQxT1VSN0FiRGZsZS0wTjBkZnFNUzVBeldLOWZVeEhPMjZzWFB2SGZ4eEZ4S2VkTlJCLTlLRGtCcS1mQ1UxZUxtM21PSW5HZEhxNGxPbjZXa3g5WXN4RkhoYkFMWXBqbEcteHJVUmEtc2lRaVVDc2I5Mk9KSWtzbUluNENuamJfWk1vZlZJeUFkMEJxRFlLVEJvYUJNTzBpSnVhUnd6UkNtM0Vhcm5takoyZ0dZM2xXMXBkUFF0WEHSAe8BQVVfeXFMT3FmTE9kMS1wMzlEaFQ3WHQ2ZFdzeTV2MzY2MkJ0YW9nc1lNclJEdTlGUGMzcFE1SHpwNXBNLW9WWWVDSnk0eFZ4OEFtM2RWN3FUWXRIbTlyc2ZzYlN1MHJxa2puRkNRSDRxTS11SkNUWjJacFREeHpKbzliS19nY2dzb3ROTC1meDRuZnQ0ZUY0M0FkdlFVVlZsVGJhZllTaUdJMnVsdVVMejV1WDRiVkd4VE5nQnRnOGFLUUVUTHJvZFNfMUF4QjZVYldMNm9wMllHRzl3dTlzZmw1NndJbFNRb1VPQVlKZ3NUcEJFYmM?oc=5", "source": "Moneycontrol.com", "published": "2026-10-02 00:47", "score": 0.402, "label": "Positive"}, {"symbol": "MARKET", "title": "Indian stock market loses 8th straight week, \u20b99.5 lakh crore wealth wiped out in an hour", "link": "https://news.google.com/rss/articles/CBMitgFBVV95cUxPZGlfdDlHeUNLX1BzVGVSeGJtOEk5RXc5ZG9NUzZiVzh5MnBpRWRpVUw0S3BhQXI4cktqd0VSOEdkUFN6aV9WUE1xZENfaDhjMGhNcHRJbFRCelRhRmlHNFhuS3F2OW13YUEzWUVGRDI5MVpzeDQ1eExBRk5iTkZ0MVZWTjN5dHgyWURWcWdGbTFENlRFMlpNT3BXRUJHQjBDYk0zWmIzNWtmQm1qdjR4ckFBLUkzUdIBuwFBVV95cUxQRko3Vm9WNGlXREFmc0RyYVhkeVk4YmIxX0N6MDNXdE5wZjFFc1lJUURObXNoN3hoNElpanlzWm5yclFkbmF5SU5nT00wYVpWZmMySzQ2VjJkMlhRYXFzQzNQZ3VSMFd0MlFFN1JKZFo1Y2lpQm5uWnp6SV9jcmxLcnBibVRDY0tZRnI4MnhDcUdLYWQwQzRGTTdJNTVpQ29jY19HNDZqUDdlOUZCT0R3V0N4Ym9BbDV0NEo0?oc=5", "source": "WION", "published": "2026-10-01 17:40", "score": 0.421, "label": "Positive"}, {"symbol": "MARKET", "title": "Stock markets fall for fourth day on relentless foreign fund outflows; Sensex drops 570 points", "link": "https://news.google.com/rss/articles/CBMivwFBVV95cUxNb0N2TFlyemRFSmxhRy00QzhkVmlpV0xQOEp1UjEtOUtDeEg3VnhYUXJXcHRZMkk2d1VWZlo3bVgyQVcyMUxjTk04OEtSZ0tjWS02ektxdTM4dlZnWjlST2cyTkdHbFNYZ3NmdGdUVFRFSWN3WDhmMTR4cG5tT2t0amUzaG9kZUdYTm5MNTlLaDZhMXVMNjRMVGtNM0RvZGk3WndHbUxVMGRmazZPcFBiNk1oWEdxSWstNXd4enNyONIBxgFBVV95cUxPV1RiejFBcWVGeEUtdjFqWi1KbmJsVGk1WW1iczJrWnR3TUQ0VVNiM0EtVUNNTEVvUU5GWEFkVnNmeXMwbmpxaFFiaTA5VzZ2eVpXbXRLblVSak9YUXoybFNBUUhLWE1lQVoxMUlkNVBpdkdtQkwwSHBNNDlyZlBGaTRCNXZ0Y2RwMlZaY1FVQWF0bnp2OC1xeFItSVJmZE1heDR0eWN5WXA1Ni1wRzJCNHhFVXQtVWpqekNjMlVXMDNWQVZkb2c?oc=5", "source": "The Hindu", "published": "2026-10-01 11:30", "score": -0.296, "label": "Negative"}, {"symbol": "MARKET", "title": "Indian stock markets log worst weekly losing streak in 25 years, fall another 1%", "link": "https://news.google.com/rss/articles/CBMirgFBVV95cUxNeGQzUFJSLVlXa19FRktDZkR5VTBmNS1yWVM4NnJVUVpzWXFJUHV5N0J6UDZBWWZjVU91YlYwLXB2ZE9JRmNOTmxPdm5BTWZHWDJDOFFOSV9rUmFtZFd2Rl82ZFRSZ01lTTdUVEx4emxUeUY4YVVSN0ZYTHduR0lzWE1ZeHNRZTNnWEVQZFI2Vmg5WnBUQl9QME5KWkpBNWZ6X2ZFd3p4Z1dCSVZjbEHSAbQBQVVfeXFMUEpDS21Hc2NyUnJPYXcyU29CV1V0SnltMlFnY3FQemhvUWh0TnhodnEwOUdWTk9XMmllQTlsZlQxXzJOSk5QRWtkbE82MjFOSUNpa2lLckI3dUo3T2t3TlM5cklvUWxkemZGZzVONzlJV1pFWFg3MUp1RUFTOWdmcDZlaGFObHZhdVptRnVfZW1ZSFNXWlo0WEJDS3ZHNlEwNlJYOEY4TnlCWFBfZEJORVVLaDNt?oc=5", "source": "The Indian Express", "published": "2026-10-01 10:58", "score": -0.844, "label": "Negative"}, {"symbol": "THANGAMAYL", "title": "Thangamayil Jewellery Ltd Dividend History, Yield &amp; Record Date", "link": "https://news.google.com/rss/articles/CBMigAFBVV95cUxPQUxBSWtnLWFqMkRfMks5NTlUcF9sTm1lNEtSdFZDaEstMWw3ejZUX2czMHFwS3k5MEFOWHNBb2w5VElVd011VTdpZ3V4OE94Q3ZGUVhJYTJhXzlKQnRicGVnc25ZNDZDdzhmN09xTzJCNDhLM0JQOHdRZlFKTXlXLQ?oc=5", "source": "INDmoney", "published": "2026-10-01 10:31", "score": 0.572, "label": "Positive"}, {"symbol": "MARKET", "title": "RBI rate hike expected in October? What it means for Sensex, Nifty | Experts decode", "link": "https://news.google.com/rss/articles/CBMi4gFBVV95cUxQUmdTVng0b2RkSU41RDdxaVpxeEN5dlZNQ1lOMzRGNm56WmlEeTR2OWdxZTRON3BLeWVlbUlNU3R3dXNLdTBjaWhrYmNkdkdpdFVHY3RuV0YzVXFtRWVWUzFTMUxKYVhuZ0ZGNExzQUZJWHI1aXVlTFdxY0R4aEhBLTFlaUl2XzBnVkN2TnpuS2pWNXduLWhEQXBEUWFIVTlXUlEzcTIyNVJDS05GRHVTaDVHOVBMeU1GUk1tWjZ2SElHYTE0SGV0SHJVYlI2Z2VPS1lVWnFMOGJadVZYVXdvUkl30gHnAUFVX3lxTE5vTHQzdmZvaEZpVWdVbm1Iel9zdGdTR256RXVDWExRVkdJbjctWWRiZ2xFSUc5bGdhRUxFRndWSElTME5sdFNMcFNNU0g0NTdMWXJYTXF1Y2RDekgyT1EzLU1lZkdKblFzMzFxZF9fakROWXo1WVRHZ2FraVVGM2hrSHJHRVlveUJLTzVnb2ZCSloyQ0czSTMzR19sZm5fU2tnTFgwalRsbHpMVXpESl9ra3daOGVieHgwLU1OYnB1amUxQUF0aUVLMXRCRUVuX0NhNENCTWtMMlRzaVpObGZOalNwTTg0Zw?oc=5", "source": "Livemint", "published": "2026-10-01 10:03", "score": 0.402, "label": "Positive"}, {"symbol": "MARKET", "title": "Sensex, Nifty outlook: Will the October series disappoint or Diwali muhurat will bring cheer in investors portfolio?", "link": "https://news.google.com/rss/articles/CBMi-AFBVV95cUxNUVg1SzlrckdTQVVqNm13Vkhlbm5fZEtOY2FwQU5rTnBUNnZJMUJ2RTFnVmRTR2tiVHdCMUJPM1NXTjRiWTJqNVJ1Z1ItazlaM01iWDZfcXl6V2ItVzRVRExLZUZrRGdmcExGN2VUVktHZlkyaXhJZWkyNzZwSU51N0J4U3Ezd0t5RTNFR05sT3VaX0hTZ09vdVJFUV9LeTQ2eHJ5NWhsVjBJdVptSFhGTnJ0aWtiTjNKMU1oY3ZDTnQxNEhYWjRZSzZGQ1FFNkFITjRUUmM2OHNsamh1SEhZYlhfT3YtZWNrNW9vS2JzWlBENWRic0ZxdNIB_gFBVV95cUxPRXVxWGZIdTZDS2E1eXpzRS1ELXJpbERYTVpneGJ0eGtYWU05dmhCdktKQnhnN0FEVWMyWWp0SDR4ZkRtNWxuc1VtM0JjX2lsNjExLVh6Y2hMeFhvWkFjVmRpcnI2bzEtRGZBQjVnUWtVazVjYi1PSzZ1NkU0RktPeWl2U3hLRGJGRXcwNjdGUFB4aElSTWxFeHpuQ1dUWXdjSW1ZZmtlMUlsdklDdUVfeVVoZ3k2eURRRGhOSGo5M1JLTWJwWTVMY2FXM1NEU3k4NFJISlVQY0FVUzRmTThqeVdaYWVhVXUzY3RZajlpZUNUdVVUM0FVQlVDd2FwZw?oc=5", "source": "Livemint", "published": "2026-10-01 09:32", "score": 0.511, "label": "Positive"}, {"symbol": "MARKET", "title": "Why stock market was down today? Rs 6 lakh crore wiped out; Sensex, Nifty suffer worst losing streak in", "link": "https://news.google.com/rss/articles/CBMikAJBVV95cUxPNWxfbDM3Qjd4Tm13aUg3T2R4ZFhjMElFdHIyQldHcVltX0ZtZXdsakJOT3U3ekFfT3VWZ0RDem5ZR2JIXz</t>
        </is>
      </c>
    </row>
    <row r="5">
      <c r="A5" t="inlineStr">
        <is>
          <t>JsSlBuUDR4SzA4bTJkWVg5WkluaVFVWTBUYzJwbnFnTUhOempLeFluOEdnVUgwcGpvM2N1d0Z1TWVoaEhPR2RSMVluWG9KVUduWHJkMG9tTkoxcHdrcFkzV255N3BZemFHRVJTT3VGXzktYWdGX3YwQ2haMnp4cmdycDZmM2N3dmdqWmtaWkRYam5NVTlLZF9fdlVYMDBGWXZyWVJaWklfMUJ0a0EwY3QtNm5QSkpqOE44dmVWdzJ0MlpIQVA1UERwVl9teHpEY1dvctIBlgJBVV95cUxQckQ3bm4wX25ncVFVQVhkQjAzV2dka25EUGRINzhjSkhNOWptUTVFeUt0MWdCZkVWWHI2VG9mLXNKc2tHeWxtMXN4RlJ2dDYxMFJRQ2RrQzdkdkR1Vy16QVJtZUtJZWpRTVl5SmtOcjhSUmZrOFdFZGd3QUY0TDUzNlN5eDFuaEVKZF96dURyV3JyOVpYQ1V0SERONjBHek9VVHlod3NDZjJPY3VrcFBjc2ozUGgxbXQ2SHhMMGhpZVBjdmRpWVZxclRaQmduLXhuZEhLNzgxVnRYemxkelVXUV9DQVF0QjhUQ1JRS1NCZUlyOUZkTUw2WG5VaXhMZUNRSDNUYlJQY2xYbUJKX0RtdlV0Y0RKUQ?oc=5", "source": "The Times of India", "published": "2026-10-01 09:20", "score": -0.818, "label": "Negative"}, {"symbol": "MARKET", "title": "Stock Market Holiday: Are BSE, NSE open or closed for Gandhi Jayanti tomorrow? Check upcoming market holid", "link": "https://news.google.com/rss/articles/CBMijAJBVV95cUxQcnR0TFpzNlZabjJueFo4OWtfWHptOHpRbFZTZ0JQZVRWc1RFTWdBMngyZnFIREVfekl2UFYtaHJiLXVFSnV1emVXMV9TQmYyN3lHTjNHZkdtZ0F0ZzV2Y3MxRDU4OWF3dWFKUVNJNlpWZFJsUTltWUtqMDJDZjNIdXZPOUNvRHBNVHgwMlpUbHVyRFFmWlFSSEdYUGFheFRvSmJ1VGdXbEZqQ3loaENCNi1nUzBOVWlMTDBoSWxsRzMzRlh2dGRZM0l3REg2U0Q4My1QMkdGbDlKc0haek5oQlBYXzVSWWV4dTlCRW1BbGtFc21keWxkMkNCUHhoeW8wc1NVWUpaeHU3N0430gGSAkFVX3lxTE9hVHRMUHNwVXJJVk5UbXVOdHdfdnJUaGxFQ2xPTFhCa2g5UzJ3eURLazFaVzI0eUIwenJ5UWU2N3dIUmVsY2cxR1FSZFVmWjhhaWJ5Y2VBTWVoOVJpa3VyOWR2ZTVCNWZnWTA1R3VzY0NhMjRWOGxxdlUwS1dGZGtOR0tNU1dmaUxIS3NEeEw4R0haUm5WaXRfUHp5cS1YRDN5QVJsRGZLa3praG04ZFZ1VTZVWmVXVWRjcWs3LUR0bEdCQUVET3I2UFZxQ3JmUEhZcnhhbWRiTWRGeFhoRldzbzZfclUyWTltUXJYVkdibHhZVDVlcG4wMk1WbmxpQlhDTzM1Z1dpNDlNc1NlMGpHWUE?oc=5", "source": "The Economic Times", "published": "2026-10-01 08:50", "score": 0.402, "label": "Positive"}, {"symbol": "MARKET", "title": "Sensex Crashes 1,000 Points: Rs 9 Lakh Crore Wiped Out As Foreign Investors Sell Indian Stocks En-Masse", "link": "https://news.google.com/rss/articles/CBMiuAFBVV95cUxPNXktbmdLdk5ia29mWlp6Q1QzRWdPaVFKVjlKRWR4RjNZaEJBZDg2MVcyRFlCT3JGeUd4c2dsdlMwaHhleVBralN4LWpOUEs2TWFxTWxUUXFudE9YUDB4T28xX294dkswTFJ5MmZZakY2ZDZSZTQ4QkJnVG9vWVJzQU5yTW9YTUY4NmpzLU1GbHF5Z0xRblZwU3N5MTlOa01NSnB6ZXZVOWNzSEd5bU5SQ2MyS2h6bGxm0gHAAUFVX3lxTE5PQVJTcVhrVlBVR1pReEp4d2UtQkRqRHNocXdrbUZDem9oOUpXbEJVYm5uU3Vyd000VU1ONE92Qkctc0t4OTVHZndldGJVOVpTbjFzU29tekxTaFBWaE9JZXpTUWtUajRUR3VyVEFabVhzVmEyYjRGdmlDRXpYOWQ1b2dwbU5Ya01Hc2ppcEpfeFJvTWk0OVN6b0Y5SHdPWnpDOHdYVVBENHNCZlRneGhuQkE0eTFERDlWYmpvVVhGTA?oc=5", "source": "NDTV", "published": "2026-10-01 08:15", "score": -0.34, "label": "Negative"}, {"symbol": "MARKET", "title": "Another stock market crash: Nifty, Sensex tank - FII selling, high bond yields, among 5 reasons behind big plunge", "link": "https://news.google.com/rss/articles/CBMi8gFBVV95cUxQdTNRb3hkb09CSHJoak5QRXhGQmxTZU50RVB6UTZLM2k5UndlM1lHbmliQUgwaXlIelJGZVpUc2F2cUdNUDYtRFd2SngzZFpFZjdsQWN0LWFhVDBuaXlBRDZwb0xGVHpaQUNtSE5NNlVtSzdFa3BrRTdBZkVnVUNKNTluNFBPWnpmNVIzUkQ2RVptelZmZmszS1FtelRDeFNfRTZmaWdMWUZGVnpvSnZlZnhXX05uUTZWZzhfMkVzUE5NUjdaOGNrRmM5eU9sM3BmaENuVkhxd196ODFwdDVRbDNrUF9NU05iNlo2VFUtVkp4Z9IB9wFBVV95cUxNekxXdFZqNlZFVzRMaGRoZEt1UFlranNSS3lDMXBjd1dhUnpyeU1jSGJzOGZVOUh3MXBvZU9aMDN5QTFsNFV1dF9iVXR5Sk1wNTVSVFRzcnF6V19veUY5QjdGNDZGdzZMLTBtNmdWdGc1Z3RJaXgzd3RFd0xyOXF5NmtPNmczVzFwV1d0NEhnRXBUdldoaDBRajA3bjRham9Ldm5nZ01udkd5Snhwd2dvR1BDNThxTktzdDFVbzhxVHFXb1VPemdPRGhMTjVFZl9HRl9TOG9nVE1vUWt3U3JaRG1mQmZlMnNURWhTeHpqNXd1YXBQN21v?oc=5", "source": "Livemint", "published": "2026-10-01 07:51", "score": -0.586, "label": "Negative"}, {"symbol": "MARKET", "title": "Over Rs 10,00,00,00,00,000 Wiped Out! Sensex Crashes 1,000 Points, Nifty 50 Slips Below 22,300", "link": "https://news.google.com/rss/articles/CBMijgJBVV95cUxQTlJJMldmZ1hUOWtaT1NwNnpfRFhYaS00WmRoNGRXUzV3M0wzWkdTUWg5WmNGdDByTGEzZ09YaWNFTk5zbzhmdXNPM2stcGZtNFNHUVItcXpmMU9nTFBaR1hUdkNCT1hzUGt3cnFVZnhtRWxmZkdkN0xBSWE1NmhFLWt1aFc3RWlmckJJR3NuSWRBd3FPeDZqbkF3ejZrRkNCN3ZaaWtIaWJia3F1aFVWZzEteFhsM3loNFlWeTg0aDQtUE1pcGprVjQ0b3JDU2hEN0NMby03Q0g4QjhwV0xsdU9Fc0F5djA2VHVkNFg3dWxLR1Y4RUQzZUNmVTRDWDF0Vmw1NkFxM2lmN0dJckHSAZYCQVVfeXFMTWtxYkJGVWJldWQyTFNqX1IxWWlIY29xRi1oOExXdTdBQVdzNHNQbGs4c1pFem5FeTJhYnBwYWprZTRqT1RmeXJOY0d1UENsTmFydjVwRjZ3ekxJdjhLMUMxTVJEOVFQQ0RzQWxYNk44c3Znelp4Nlc0VUhBUFBTYlFvaDl6dDQtSEtUbk1IVDh0WV91UDR5cThWNFdfREpiNjJpaTBOanhfbkstNHd6dmtnc0JVbEhpNXBOYTI1MXlaSW9tS0J3bkVJdElWUW5UaEtybjBjMjRONDBhNWdYVl9UMGd4RXBMNllRcXFtM3ZGaG95UlZHM1pueElnRkF2VVZWQWZuTHM4NjJ5RWd6d2phdGtTVWc?oc=5", "source": "NDTV Profit", "published": "2026-10-01 07:45", "score": 0.151, "label": "Neutral"}, {"symbol": "MARKET", "title": "Why did market crash today? Sensex drops 571 points, Nifty nears 22,450. 5 key factors behind Rs 5 lakh cr", "link": "https://news.google.com/rss/articles/CBMimgJBVV95cUxOa2FJbGZhc2FObHZPcDQ2eWhNRy1GTThGSkpWOUFGbWt5VDRlRmhiSE9VaHlNN2NkV3kwQXhmT21SdWx3SXZwNlQ1QlRtSmpMOFBOdko5cmsxT3QyaFVFdi1Vbkp6U2lfaEZJb0dPNk12bjFFWXlHaXVmMU9BVlB0dXdEeWlrRjdyLUFNZzNVTUZtMGR1U3lNM20tN3phRmo1aFVobDlmMU1nUUR5djNtSjhLZmFpTzc0OVZVTkVZeXptc2tMb3pqelg2d0IybXlLS3M0Sk5zc19KSEpiVjJrOF9OUU43ZlJtWUEzd2ttNk9VWWFwN19uLUg3eTdVZzJZMDl0dVh4Y3V3bzl0d2VRWGRIVk4zcjJRNHfSAZ8CQVVfeXFMUHptakdTU1k5aVVSSU8wM0p5R3hsbmQySUhlSFB0Tm9rbU53SVJWM1ExMWVJSWZwVDU5amhEUHppN3V0TUV0NEpMTksyRmVuTXVtY2tMNTcxZGRPYkpXYUVWa1NZRDEtdjBicm5paFYtMVBnTHBsSXJQNG10aEVoZ0N3S2l6VEtSR0FRc2piYzcydGZ3Xy1EeS1zU3NXdW8zajRBV2hpYzRab2w3V1QwUDdkcGZ2Sm1uVjM5bHQ3UHRCZEpHTk5wMURyMURZb0VJVDhySkJNV3JQbGRrNml1cEtaNUpNTEZfWFRHVVFNM2hOZXpDOHQtdVVBdmV6c2JaYzl3WlRTX3pleGRmcmgtLUNaU28tS3FEcHZJQXY5Tmc?oc=5", "source": "The Economic Times", "published": "2026-10-01 07:34", "score": -0.273, "label": "Negative"}, {"symbol": "TDPOWERSYS", "title": "TD Power Systems Share Price update: fundamentals in focus", "link": "https://news.google.com/rss/articles/CBMigwFBVV95cUxQQXA2UFZabEp4aDZnajF0NXBnMjJfSlIzWVZsc3BLbWtZZ1pmR0h5OVBUZjY0NGc2dkZlejJHZ2JHUlZsSkhBZldvdlJIc1pXeWZldnVZeV9ndzdMNTZ4ODUyczE3ZmFyd1p0XzBKbk5weGJBTU80MmxOMExfQVJYNGtlaw?oc=5", "source": "Univest", "published": "2026-10-01 07:00", "score": 0.0, "label": "Neutral"}, {"symbol": "ATHERENERG", "title": "Ather Energy Share Price Falls 2.09%: Valuation View", "link": "https://news.google.com/rss/articles/CBMieEFVX3lxTFBJQ0hiQ1ZuU2pKT2tSbTdaelNCNXduZWdNdE82cUh5NWNMZGUteVV1NEVBSVktM1dXRVpKc3Nzbk9RU2VxR3VVVDR3RGpKMm83MEZwZWdONmkyZmJNbzREd3F2Tk1JU1diVVdCWlhGWkxnUW04NDBKSg?oc=5", "source": "Univest", "published": "2026-10-01 07:00", "score": -0.128, "label": "Neutral"}, {"symbol": "ACUTAAS", "title": "ACUTAAS: Slightly Higher Fair Value Rests On Growth Holding Up", "link": "https://news.google.com/rss/articles/CBMigANBVV95cUxOTXhUOXBubWk0Tmp4eFVkZFVzVVBKeTE4VjdRdDdyNWRZa1NOUW5EdlBFbkFqR2p6N2x3Rm5HTjZ2NTdDREtIQVFCMFhINDhxbmJvVHd0WlpuSG9uUndEd2I4a3hTcVRTeGNuZjRkcjREUzlnb3htd1pDc0VoelRISHdzdjJhTXd0aTJaM3poWThWc1hHMmhkdHdhMUtWQ1l1YTM4S0pPdlZHMWtWS3dFRWU4N0s4QjJkNnVtY3VfZVhPTXdRdkU3bzdDZW1BcFVFbUNtTDR1bHhVYkpMSFlwTGJLdFN6M0VrMlVxcEs1YW9BbTA1b2xSRHJDMXppS09vdEZjMVgxSk9LQUJfME1aaFhBRnFhUFhseGpTQzh2c0k4YTBmeDY3LVVBMkpEdXZVZVVwaGtjaXJfOEtDMDdXMHhvVDJXWlFKYlFjRFVlWGo3Y1lHajJUOHQxSl90MXJtOTVEb2YyTUkwX1ZvUERRNzVPclpsV2xfZU5HZWRJM1g?oc=5", "source": "Simply Wall Street", "published": "2026-10-01 07:00", "score": 0.687, "label": "Positive"}, {"symbol": "E2E", "title": "Larsen &amp; Toubro (NSEI:LT) Stock Forecast &amp; Analyst Predictions", "link": "https://news.google.com/rss/articles/CBMihwFBVV95cUxQbmZGX3Fjei1iMFA4RGU4cDl2LU9UTUQyWW9DdUp5T1VjMDhVaVM5NFNZTThGaEVwelRJaFdqRDdxZURYdkZldDBJQXV0al9WOGhoTVZ2SXNlU0ExVjI0Zy01ZG5WczhUdjdmT0U0akJBTHo2aVdITVp4VkpCVGJPLTgyVjFDeTQ?oc=5", "source": "Simply Wall Street", "published": "2026-10-01 07:00", "score": 0.0, "label": "Neutral"}, {"symbol": "LAURUSLABS", "title": "LAURUSLABS Outlook for the Week", "link": "https://news.google.com/rss/articles/CBMibkFVX3lxTFBvVWltYXREcXkwczVqbHJWVTFqX2hQakxXQWRVQ3VUbExmNy1mdnRUU3VjajY1LVpPN0dTd3dtdGxReF9oSW1EZXJJZUE2N1ZhMVdQOUNoSmdPaHNTRFI1ZnlGYlpjbEprdmt5aUlB?oc=5", "source": "Equitypandit", "published": "2026-10-01 07:00", "score": 0.0, "label": "Neutral"}, {"symbol": "LAURUSLABS", "title": "LAURUS LABS LIMITED Option Chain - Live LAURUS LABS LIMITED Option Chain Data, OI &amp; Price", "link": "https://news.google.com/rss/articles/CBMiYkFVX3lxTE5YUzBvWXl5aUlkLV9pdHlkVk1Pako1N3lrd1dTQWxzVm4tMXRUQjFBX09UQWRaUDBnZnRQZlhZQVNkVWxyTFg3S1lGXzVaZEU4a2ZWY051X0lCU3MwS1dNeE5R?oc=5", "source": "Upstox", "published": "2026-10-01 07:00", "score": -0.645, "label": "Negative"}, {"symbol": "MARKET", "title": "Equity markets fall for 8 consecutive weeks for first time in 25 years; key factors behind decline", "link": "https://news.google.com/rss/articles/CBMi6wFBVV95cUxQdGxSSk9pVFhWaWd6YUhVVmxDalItUnRlLUtvNllsdG5JcHBhNHlORUpRaWkwQTJlbVFKTzdmWHFTZ0R6N2FnWDZzWW1QYnc2WU03OC1NTGZCM1pSN1lkQWhsYnhONi1iOHRqQnBVdkhfWF96VUg1ODAySlpVSFVZbWRQQ1pRYVVMczd6UTBtREhucE84Ukw4YTlRTFR3ZERYT3p5bXRuUlM1YUdsOF9xUzNiMFZUODcycU4xRjNscXB3eTNTWFhPTkl0clowbXZZSG5QTXNYMFFYUjRRYnZWazZvS08yMzBXT3FF0gHwAUFVX3lxTE1UTFNBOW1QODFDSklvWTdzWDQ2OFEyWVd5dml0cXA3ZnpQbWNiX0FVejFYNmJGUVMxUDlzSF9LVGVMLUhIbk1ubm1YTkp2bkQwN0ZrMVpkMmtVMU0zWkhJWWpFVVZHV3E4cjBaUmdzZGI5b0ROc19wZlNqcTNfaTJOTVI5amJkOVQwbXZ0ZUo2dWpqRFFrRWhpT0VWRmliQkVxVlNYRl9VRmhobEZlOWdpYVVMN2dZMDhtWk9ZMllYX1I0akJOYVNyU1RnN3NrNDlTUl8zM1VfWHVXdWlWYkEtUklQMXhfMV9wM3NqSXJYRA?oc=5", "source": "Moneycontrol.com", "published": "2026-10-01 04:19", "score": -0.612, "label": "Negative"}, {"symbol": "MARKET", "title": "Sensex tumbles 1,000 points, Nifty cracks 22,300 in afternoon selloff | Business News", "link": "https://news.google.com/rss/articles/CBMizAFBVV95cUxPSDltclgtZ3dzVVRrVmJNWG5LRnBBVFBwZUpNTDA0VHB6dmNmLThGeHh6bEMydzNZaldNU1g3TEswd2JKem5HalZqZkQ5M19DS2txOGQ3ZlRxZ2lYWkttTzQtbmZMV0ZnR0EzVnZvcVBMcTNqOUV4NFctQ3dPMl9iMDFEb3NqY0UwLXZTNloyLXIxR28yRks3TVVzZ2RtRXZnN09WODZCUXBBMkctQThwTjloektUTVJENm5oU295ZnFvU1dQYzc2NUNGZVHSAdIBQVVfeXFMT3diSHJBcGRFb3VUSW9uQ01WUnRHZUY4QkVrTFNnWUswVFN1dXdDQTgzZ1NMdEhYSlVZM0FYaG9VeXRPTk9CYnYwNGhtLTdES05qR2lhbFRqTFNpZFQ5TUpuYjNILWhnbkxGdGVaVU4yaGdjcFVwenp0ZHhHUWxjNUJyVTV0VFpscmZ4VnpGbmxWTURWMnVnd3I3dVk4YURQRkF1YUFNa2t1eWZFTDRJUld4LUtmTVVfLUJMVWo0ell4c3AyN2V1aVhMR3YtdE93X2h3?oc=5", "source": "Hindustan Times", "published": "2026-10-01 03:46", "score": -0.128, "label": "Neutral"}, {"symbol": "MARKET", "title": "Stock market outlook today, 1 Oct: Sensex, Nifty prediction - DJIA, S&amp;P, NASDAQ, GIFT Nifty, Kospi, Nikkei, Taiwan cues", "link": "https://news.google.com/rss/articles/CBMihgJBVV95cUxQQXozTEF5ci05ekVqMzNQRWZocFNrLUJJU2VBSllHLWxHWnlPMzZOaHFheE1ab09fdDJXVEJTTWNVNDN6ZzdOZmpvMkhNQWtLdzdZSjdjMVZOTG15Z1F4bENWY1p4SGtVdEJVWWI0N0tpbVo0bjVqMFlpMWM4SGVVSS1OclFtbVZWWkx5R01ZaFlkbVJPd2xYV2ZsRkNBYTJYMWxVcE4tUFJnMzF3U3o1cGJpWVBzSkRzckRyc3k5WERDYmI5TFNOeWJ6Q2s5aFZ5dHpLaVR1eUdMdnFRVlQxMDJ5REdLdVdFemU4Qmt5SE4xc0FUbjJWYXNlUm5FNDVJa3h3TDNR0gGLAkFVX3lxTE8zRHB2em93TnNhcG9TYUU0YXJ4UVM1N3gyeEZNeW5EMkJIcWVyUEc1eG00X3VKNk5vRm1LMjdNaU1KTXlQaFFKdEp4Zkh4eEhUZXVwcnhDY1p3X1JkS2E1T21rT3FfNUV5LVkyQzlfTHNLekhBRm4yUldodnljcG5UYjdNT1ZrSTBTRXRhaVdFWXBPajd5MUwtaEp0cFBCT2tMM1RYOE1NamxwUnRvOHJqV0ZOblNsYUNINU9ORGp3eHU2TkNCRGhaMGxZQkV4cGpmTW5lZXBFU1FxTHd6bF9ocDc0M2VkRzhoUjh4bHFUM2IxZ3dTalZzczhoRzVUVTZIMno4RWwwR0t5aw?oc=5", "source": "Livemint", "published": "2026-10-01 01:20", "score": 0.842, "label": "Positive"}], "errors": []}, "created": "2026-09-28T13:27:26", "last_updated": "2026-10-07T12:35:35", "research": {"method": "notes", "generated": "2026-09-28 13:27", "title": "Stock by stock", "stocks": {"TDPOWERSYS": {"symbol": "TDPOWERSYS", "name": "TD Power Systems", "view": "Bullish", "view_score": 1.5, "tone": "bull", "summary": "The stock is 10% below its high, a shallow pullback within a strong uptrend.", "why": "Guidance raised, shallow pullback. Check for a fundraise.", "points": [{"text": "The stock is 10% below its high, a shallow pullback within a strong uptrend.", "kind": "context", "source": "", "url": ""}, {"text": "Q1 FY27 revenue rose about 72% YoY.", "kind": "catalyst", "source": "5paisa", "url": "https://www.google.com/search?q=TD%20Power%20Systems%20site%3A5paisa.com"}, {"text": "It raised its FY27 revenue guidance to \u20b92,600 crore.", "kind": "catalyst", "source": "fyers", "url": "https://www.google.com/search?q=TD%20Power%20Systems%20site%3Afyers.in"}, {"text": "A board meeting on 14 Aug was set to consider raising funds, so check whether a dilutive QIP is pending.", "kind": "risk", "source": "5paisa", "url": "https://www.google.com/search?q=TD%20Power%20Systems%20site%3A5paisa.com"}, {"text": "Valuation is stretched (P/E around 70).", "kind": "risk", "source": "5paisa", "url": "https://www.google.com/search?q=TD%20Power%20Systems%20site%3A5paisa.com"}], "short_view": "Bullish"}, "AEROFLEX": {"symbol": "AEROFLEX", "name": "Aeroflex Industries", "view": "Bullish, high risk", "view_score": 1.25, "tone": "bull", "summary": "Q1 FY27 revenue grew 72.4% and PAT rose 162%.", "why": "Strong growth, expensive, volatile, thin liquidity", "points": [{"text": "Q1 FY27 revenue grew 72.4% and PAT rose 162%.", "kind": "catalyst", "source": "sahi", "url": "https://www.google.com/search?q=Aeroflex%20Industries%20site%3Asahi.com"}, {"text": "Liquid-cooling skid capacity was raised 50%, with further expansion planned.", "kind": "catalyst", "source": "sahi", "url": "https://www.google.com/search?q=Aeroflex%20Industries%20site%3Asahi.com"}, {"text": "P/E is about 102, volatility is the highest of the ten (67%), and liquidity is thin (\u20b953 cr/day).", "kind": "risk", "source": "share", "url": "https://www.google.com/search?q=Aeroflex%20Industries%20share"}, {"text": "That makes it the most fragile in a falling market.", "kind": "risk", "source": "share", "url": "https://www.google.com/search?q=Aeroflex%20Industries%20share"}], "short_view": "Bullish, risky"}, "ATHERENERG": {"symbol": "ATHERENERG", "name": "Ather Energy", "view": "Bullish, mid-pullback", "view_score": 1.25, "tone": "bull", "summary": "Q1 revenue grew 89% and the loss narrowed 71%.", "why": "Strong catalysts and brokers, but still pulling back", "points": [{"text": "Q1 revenue grew 89% and the loss narrowed 71%.", "kind": "catalyst", "source": "indmoney", "url": "https://www.google.com/search?q=Ather%20Energy%20site%3Aindmoney.com"}, {"text": "It was also added to the MSCI India Domestic Small Cap Index.", "kind": "catalyst", "source": "indmoney", "url": "https://www.google.com/search?q=Ather%20Energy%20site%3Aindmoney.com"}, {"text": "Hero MotoCorp is lifting its stake to about 32.8%.", "kind": "catalyst", "source": "freepressjournal", "url": "https://www.google.com/search?q=Ather%20Energy%20site%3Afreepressjournal.in"}, {"text": "A global broker raised its target to \u20b91,926.", "kind": "catalyst", "source": "hdfcsky", "url": "https://www.google.com/search?q=Ather%20Energy%20site%3Ahdfcsky.com"}, {"text": "The stock has slid about 16% from its early-September high, so the story is intact but the price is digesting a big run.", "kind": "context", "source": "", "url": ""}, {"text": "High oil prices are a tailwind for the EV theme.", "kind": "catalyst", "source": "", "url": ""}], "short_view": "Bullish"}, "RRKABEL": {"symbol": "RRKABEL", "name": "RR Kabel", "view": "Moderately bullish", "view_score": 1.0, "tone": "mod-bull", "summary": "Q1 PAT jumped 129% and EBITDA doubled.", "why": "Strong Q1, moderate volatility", "points": [{"text": "Q1 PAT jumped 129% and EBITDA doubled.", "kind": "catalyst", "source": "5paisa", "url": "https://www.google.com/search?q=RR%20Kabel%20site%3A5paisa.com"}, {"text": "CLSA initiated at Outperform with a \u20b92,850 target.", "kind": "catalyst", "source": "fyers", "url": "https://www.google.com/search?q=RR%20Kabel%20site%3Afyers.in"}, {"text": "The stock is 16% off its high, so it is consolidating.", "kind": "context", "source": "", "url": ""}, {"text": "Volatility is moderate (44%), which is better than most here.", "kind": "catalyst", "source": "", "url": ""}], "short_view": "Moderately bullish"}, "E2E": {"symbol": "E2E", "name": "E2E Networks", "view": "Speculative, neutral to bullish", "view_score": 0.5, "tone": "spec", "summary": "Q1 revenue was \u20b9156.76 crore vs \u20b936.11 crore a year earlier, with a profit of \u20b943.88 crore, on GPU cluster expansion.", "why": "Big revenue jump, P/E near 400", "points": [{"text": "Q1 revenue was \u20b9156.76 crore vs \u20b936.11 crore a year earlier, with a profit of \u20b943.88 crore, on GPU cluster expansion.", "kind": "catalyst", "source": "angelone", "url": "https://www.google.com/search?q=E2E%20Networks%20site%3Aangelone.in"}, {"text": "P/E is about 398 and the stock fell 11.8% in the month to 18 Sep.", "kind": "risk", "source": "anandrathi", "url": "https://www.google.com/search?q=E2E%20Networks%20site%3Aanandrathi.com"}, {"text": "It has bounced since.", "kind": "context", "source": "anandrathi", "url": "https://www.google.com/search?q=E2E%20Networks%20site%3Aanandrathi.com"}, {"text": "It is an AI-theme stock with thin liquidity and gap risk in both directions.", "kind": "risk", "source": "", "url": ""}], "short_view": "Speculative"}, "ACUTAAS": {"symbol": "ACUTAAS", "name": "Acutaas Chemicals", "view": "Neutral", "view_score": 0.0, "tone": "neutral", "summary": "It received PLI approval for an electrolyte additives plan and commissioned a high-potency API pilot plant.", "why": "No catalyst, sideways trend", "points": [{"text": "It received PLI approval for an electrolyte additives plan and commissioned a high-potency API pilot plant.", "kind": "catalyst", "source": "fyers", "url": "https://www.google.com/search?q=Acutaas%20Chemicals%20site%3Afyers.in"}, {"text": "Quarterly revenue and profit were lower sequentially (\u20b9327 cr and \u20b976 cr in Jun vs \u20b9436 cr and \u20b9137 cr in Mar).", "kind": "risk", "source": "anandrathi", "url": "https://www.google.com/search?q=Acutaas%20Chemicals%20site%3Aanandrathi.com"}, {"text": "The 6-1 return is negative.", "kind": "risk", "source": "anandrathi", "url": "https://www.google.com/search?q=Acutaas%20Chemicals%20site%3Aanandrathi.com"}, {"text": "The price has moved sideways since June.", "kind": "risk", "source": "", "url": ""}, {"text": "There is no clear trigger for a 21-day move.", "kind": "risk", "source": "", "url": ""}], "short_view": "Neutral"}, "DIACABS": {"symbol": "DIACABS", "name": "Diamond Power Infra", "view": "Neutral to bearish short term", "view_score": -1.0, "tone": "mod-bear", "summary": "It hit a 52-week high of about \u20b9395 on 17 Sep, up 202% in six months, with a P/E near 128.", "why": "Extended, weak balance sheet", "points": [{"text": "It hit a 52-week high of about \u20b9395 on 17 Sep, up 202% in six months, with a P/E near 128.", "kind": "risk", "source": "anandrathi", "url": "https://www.google.com/search?q=Diamond%20Power%20Infra%20site%3Aanandrathi.com"}, {"text": "Book value per share was negative in the July data.", "kind": "risk", "source": "bajajfinserv", "url": "https://www.google.com/search?q=Diamond%20Power%20Infra%20site%3Abajajfinserv.in"}, {"text": "It is now 14% off that high.", "kind": "risk", "source": "", "url": ""}, {"text": "The T&amp;D order-book story is real, but the valuation and balance sheet make it a momentum-only trade.", "kind": "context", "source": "", "url": ""}], "short_view": "Neutral to bearish"}, "KIRLOSENG": {"symbol": "KIRLOSENG", "name": "Kirloskar Oil Engines", "view": "Neutral to bearish", "view_score": -1.0, "tone": "mod-bear", "summary": "June-quarter revenue was \u20b91,482 cr vs \u20b91,284 cr a year ago, but EBITDA slipped to \u20b9176 cr from \u20b9184 cr, so margins are compressing.", "why": "Margins and momentum fading", "points": [{"text": "June-quarter revenue was \u20b91,482 cr vs \u20b91,284 cr a year ago, but EBITDA slipped to \u20b9176 cr from \u20b9184 cr, so margins are compressing.", "kind": "risk", "source": "anandrathi", "url": "https://www.google.com/search?q=Kirloskar%20Oil%20Engines%20site%3Aanandrathi.com"}, {"text": "The 6-1 return is \u221211% and the stock is 16.5% below its high.", "kind": "risk", "source": "", "url": ""}, {"text": "Momentum is fading.", "kind": "risk", "source": "", "url": ""}], "short_view": "Neutral to bearish"}, "THANGAMAYL": {"symbol": "THANGAMAYL", "name": "Thangamayil Jewellery", "view": "Bearish", "view_score": -2.0, "tone": "bear", "summary": "It hit a high of \u20b97,429 and traded near \u20b95,085 on 22 Sep.", "why": "Downtrend, avoid", "points": [{"text": "It hit a high of \u20b97,429 and traded near \u20b95,085 on 22 Sep.", "kind": "context", "source": "anandrathi", "url": "https://www.google.com/search?q=Thangamayil%20Jewellery%20site%3Aanandrathi.com"}, {"text": "It is now about 31% below the peak.", "kind": "risk", "source": "anandrathi", "url": "https://www.google.com/search?q=Thangamayil%20Jewellery%20site%3Aanandrathi.com"}, {"text": "Q1 EBITDA (\u20b9145 cr) fell from \u20b9214 cr in the March quarter.", "kind": "risk", "source": "anandrathi", "url": "https://www.google.com/search?q=Thangamayil%20Jewellery%20site%3Aanandrathi.com"}, {"text": "It has the weakest chart in the batch: a clear downtrend, a negative 6-1 return, and a gold-price-sensitive business.", "kind": "risk", "source": "", "url": ""}], "short_view": "Bearish"}, "LAURUSLABS": {"symbol": "LAURUSLABS", "name": "Laurus Labs", "view": "Strongest, bullish", "view_score": 2.0, "tone": "strong-bull", "summary": "Its close is only 1.1% below its 12-month high, and its volatility is the lowest of the ten (28%).", "why": "Relative strength near highs, lowest volatility, defensive sector", "points": [{"text": "Its close is only 1.1% below its 12-month high, and its volatility is the lowest of the ten (28%).", "kind": "catalyst", "source": "", "url": ""}, {"text": "FY26 profit after tax was \u20b9740 crore vs \u20b9380 crore the year before.", "kind": "catalyst", "source": "torusdigital", "url": "https://www.google.com/search?q=Laurus%20Labs%20site%3Atorusdigital.com"}, {"text": "It is up about 94% in six months and holding near highs while the index falls.", "kind": "catalyst", "source": "anandrathi", "url": "https://www.google.com/search?q=Laurus%20Labs%20site%3Aanandrathi.com"}, {"text": "Pharma is also defensive in a risk-off tape.", "kind": "catalyst", "source": "anandrathi", "url": "https://www.google.com/search?q=Laurus%20Labs%20site%3Aanandrathi.com"}, {"text": "P/E is high, so it can still pull back.", "kind": "risk", "source": "anandrathi", "url": "https://www.google.com/search?q=Laurus%20Labs%20site%3Aanandrathi.com"}], "short_view": "Bullish"}}, "shortlist": ["LAURUSLABS", "TDPOWERSYS", "ATHERENERG", "RRKABEL", "AEROFLEX", "E2E", "ACUTAAS", "DIACABS", "KIRLOSENG", "THANGAMAYL"], "missing": []}, "research_notes": "Stock by stock\n\n1. TD Power Systems (TDPOWERSYS): bullish\n\nThe stock is 10% below its high, a shallow pullback within a strong uptrend.\nQ1 FY27 revenue rose about 72% YoY.\n5paisa\nIt raised its FY27 revenue guidance to \u20b92,600 crore.\nfyers\nA board meeting on 14 Aug was set to consider raising funds, so check whether a dilutive QIP is pending. Valuation is stretched (P/E around 70).\n5paisa\n\n2. Aeroflex Industries (AEROFLEX): bullish, high risk\n\nQ1 FY27 revenue grew 72.4% and PAT rose 162%. Liquid-cooling skid capacity was raised 50%, with further expansion planned.\nsahi\nP/E is about 102, volatility is the highest of the ten (67%), and liquidity is thin (\u20b953 cr/day). That makes it the most fragile in a falling market.\nshare\n\n3. Ather Energy (ATHERENERG): bullish, mid-pullback\n\nQ1 revenue grew 89% and the loss narrowed 71%. It was also added to the MSCI India Domestic Small Cap Index.\nindmoney\nHero MotoCorp is lifting its stake to about 32.8%.\nfreepressjournal\nA global broker raised its target to \u20b91,926.\nhdfcsky\nThe stock has slid about 16% from its early-September high, so the story is intact but the price is digesting a big run. High oil prices are a tailwind for the EV theme.\n\n4. RR Kabel (RRKABEL): moderately bullish\n\nQ1 PAT jumped 129% and EBITDA doubled.\n5paisa\nCLSA initiated at Outperform with a \u20b92,850 target.\nfyers\nThe stock is 16% off its high, so it is consolidating. Volatility is moderate (44%), which is better than most here.\n\n5. E2E Networks (E2E): speculative, neutral to bullish\n\nQ1 revenue was \u20b9156.76 crore vs \u20b936.11 crore a year earlier, with a profit of \u20b943.88 crore, on GPU cluster expansion.\nangelone\nP/E is about 398 and the stock fell 11.8% in the month to 18 Sep. It has bounced since.\nanandrathi\nIt is an AI-theme stock with thin liquidity and gap risk in both directions.\n\n6. Acutaas Chemicals (ACUTAAS): neutral\n\nIt received PLI approval for an electrolyte additives plan and commissioned a high-potency API pilot plant.\nfyers\nQuarterly revenue and profit were lower sequentially (\u20b9327 cr and \u20b976 cr in Jun vs \u20b9436 cr and \u20b9137 cr in Mar). The 6-1 return is negative.\nanandrathi\nThe price has moved sideways since June. There is no clear trigger for a 21-day move.\n\n7. Diamond Power Infra (DIACABS): neutral to bearish short term\n\nIt hit a 52-week high of about \u20b9395 on 17 Sep, up 202% in six months, with a P/E near 128.\nanandrathi\nBook value per share was negative in the July data.\nbajajfinserv\nIt is now 14% off that high. The T&amp;D order-book story is real, but the valuation and balance sheet make it a momentum-only trade.\n\n8. Kirloskar Oil Engines (KIRLOSENG): neutral to bearish\n\nJune-quarter revenue was \u20b91,482 cr vs \u20b91,284 cr a year ago, but EBITDA slipped to \u20b9176 cr from \u20b9184 cr, so margins are compressing.\nanandrathi\nThe 6-1 return is \u221211% and the stock is 16.5% below its high. Momentum is fading.\n\n9. Thangamayil Jewellery (THANGAMAYL): bearish\n\nIt hit a high of \u20b97,429 and traded near \u20b95,085 on 22 Sep. It is now about 31% below the peak.\nanandrathi\nQ1 EBITDA (\u20b9145 cr) fell from \u20b9214 cr in the March quarter.\nanandrathi\nIt has the weakest chart in the batch: a clear downtrend, a negative 6-1 return, and a gold-price-sensitive business.\n\n10. Laurus Labs (LAURUSLABS): strongest, bullish\n\nIts close is only 1.1% below its 12-month high, and its volatility is the lowest of the ten (28%).\nFY26 profit after tax was \u20b9740 crore vs \u20b9380 crore the year before.\ntorusdigital\nIt is up about 94% in six months and holding near highs while the index falls. Pharma is also defensive in a risk-off tape. P/E is high, so it can still pull back.\nanandrathi\nSwing-trade shortlist (21-session hold)\nRank\tStock\tView\tWhy\n1\tLAURUSLABS\tBullish\tRelative strength near highs, lowest volatility, defensive sector\n2\tTDPOWERSYS\tBullish\tGuidance raised, shallow pullback. Check for a fundraise.\n3\tATHERENERG\tBullish\tStrong catalysts and brokers, but still pulling back\n4\tRRKABEL\tModerately bullish\tStrong Q1, moderate volatility\n5\tAEROFLEX\tBullish, risky\tStrong growth, expensive, volatile, thin liquidity\n6\tE2E\tSpeculative\tBig revenue jump, P/E near 400\n7\tACUTAAS\tNeutral\tNo catalyst, sideways trend\n8\tDIACABS\tNeutral to bearish\tExtended, weak balance sheet\n9\tKIRLOSENG\tNeutral to bearish\tMargins and momentum fading\n10\tTHANGAMAYL\tBearish\tDowntrend, avoid\n", "fundamentals": {"TDPOWERSYS": {"name": "TD POWER SYSTEMS LTD.", "pe": 85.44379, "fwd_pe": 48.537815, "sector": "Industrials", "industry": "Specialty Industrial Machinery", "mcap_cr": 22649.634816, "pb": 21.047108, "rev_growth": 0.721, "earn_growth": 0.72}, "AEROFLEX": {"name": "AEROFLEX INDUSTRIES LTD", "pe": 102.0676, "fwd_pe": 51.85859, "sector": "Industrials", "industry": "Metal Fabrication", "mcap_cr": 6793.8619392, "pb": 15.18935, "rev_growth": 0.724, "earn_growth": 1.582}, "ATHERENERG": {"name": "ATHER ENERGY LIMITED", "pe": null, "fwd_pe": 516.02814, "sector": "Consumer Cyclical", "industry": "Auto Manufacturers", "mcap_cr": 57631.3819136, "pb": 21.641281, "rev_growth": 0.888, "earn_growth": null}, "THANGAMAYL": {"name": "THANGAMAYIL JEWELLERY LTD", "pe": 39.837044, "fwd_pe": 27.495428, "sector": "Consumer Cyclical", "industry": "Luxury Goods", "mcap_cr": 15576.7537664, "pb": 11.000529, "rev_growth": 0.712, "earn_growth": 0.861}, "RRKABEL": {"name": "R R KABEL LIMITED", "pe": 45.891792, "fwd_pe": 31.331299, "sector": "Industrials", "industry": "Electrical Equipment &amp; Parts", "mcap_cr": 27821.6933376, "pb": 10.807082, "rev_growth": 0.539, "earn_growth": 1.285}, "ACUTAAS": {"name": "ACUTAAS CHEMICALS LIMITED", "pe": 68.217316, "fwd_pe": 43.793648, "sector": "Basic Materials", "industry": "Specialty Chemicals", "mcap_cr": 26316.652544, "pb": 15.918781, "rev_growth": 0.591, "earn_growth": 0.671}, "DIACABS": {"name": "DIAMOND POWER INFRA LTD", "pe": 89.51187, "fwd_pe": null, "sector": "Industrials", "industry": "Specialty Industrial Machinery", "mcap_cr": 20289.560576, "pb": -29.587477, "rev_growth": 1.272, "earn_growth": 2.083}, "KIRLOSENG": {"name": "KIRLOSKAR OIL ENG LTD", "pe": 57.251335, "fwd_pe": 37.53199, "sector": "Industrials", "industry": "Specialty Industrial Machinery", "mcap_cr": 31168.6397952, "pb": 8.596884, "rev_growth": 0.134, "earn_growth": -0.199}, "E2E": {"name": "E2E NETWORKS LIMITED", "pe": 237.98479, "fwd_pe": null, "sector": "Technology", "industry": "Software - Infrastructure", "mcap_cr": 12859.6099072, "pb": 7.4469357, "rev_growth": 3.341, "earn_growth": null}, "LAURUSLABS": {"name": "LAURUS LABS LIMITED", "pe": 99.195854, "fwd_pe": 69.47338, "sector": "Healthcare", "industry": "Drug Manufacturers - Specialty &amp; Generic", "mcap_cr": 108640.567296, "pb": 20.480774, "rev_growth": 0.291, "earn_growth": 1.252}}, "telegram_sent": "2026-10-06", "corp_actions": [], "pending_alerts": []}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2026-10-07T12:35:42Z</dcterms:created>
  <dcterms:modified xmlns:dcterms="http://purl.org/dc/terms/" xmlns:xsi="http://www.w3.org/2001/XMLSchema-instance" xsi:type="dcterms:W3CDTF">2026-10-07T12:35:42Z</dcterms:modified>
</cp:coreProperties>
</file>