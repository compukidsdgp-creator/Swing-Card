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ily Closes" sheetId="2" state="visible" r:id="rId2"/>
    <sheet xmlns:r="http://schemas.openxmlformats.org/officeDocument/2006/relationships" name="Returns %" sheetId="3" state="visible" r:id="rId3"/>
    <sheet xmlns:r="http://schemas.openxmlformats.org/officeDocument/2006/relationships" name="P&amp;L" sheetId="4" state="visible" r:id="rId4"/>
    <sheet xmlns:r="http://schemas.openxmlformats.org/officeDocument/2006/relationships" name="Portfolio Path" sheetId="5" state="visible" r:id="rId5"/>
    <sheet xmlns:r="http://schemas.openxmlformats.org/officeDocument/2006/relationships" name="Batch Info" sheetId="6" state="visible" r:id="rId6"/>
    <sheet xmlns:r="http://schemas.openxmlformats.org/officeDocument/2006/relationships" name="Research" sheetId="7" state="visible" r:id="rId7"/>
    <sheet xmlns:r="http://schemas.openxmlformats.org/officeDocument/2006/relationships" name="News &amp; Sentiment" sheetId="8" state="visible" r:id="rId8"/>
    <sheet xmlns:r="http://schemas.openxmlformats.org/officeDocument/2006/relationships" name="_state" sheetId="9" state="hidden" r:id="rId9"/>
  </sheets>
  <definedNames/>
  <calcPr calcId="124519" fullCalcOnLoad="1"/>
</workbook>
</file>

<file path=xl/styles.xml><?xml version="1.0" encoding="utf-8"?>
<styleSheet xmlns="http://schemas.openxmlformats.org/spreadsheetml/2006/main">
  <numFmts count="5">
    <numFmt numFmtId="164" formatCode="+0.00%;[Red]-0.00%;0.00%"/>
    <numFmt numFmtId="165" formatCode="₹#,##,##0;[Red]-₹#,##,##0"/>
    <numFmt numFmtId="166" formatCode="0.0%"/>
    <numFmt numFmtId="167" formatCode="+0.00;-0.00;0.00"/>
    <numFmt numFmtId="168" formatCode="+0.00;-0.00"/>
  </numFmts>
  <fonts count="25">
    <font>
      <name val="Calibri"/>
      <family val="2"/>
      <color theme="1"/>
      <sz val="11"/>
      <scheme val="minor"/>
    </font>
    <font>
      <name val="Calibri"/>
      <b val="1"/>
      <color rgb="00FFFFFF"/>
      <sz val="18"/>
    </font>
    <font>
      <name val="Calibri"/>
      <color rgb="00C9D3E6"/>
      <sz val="10"/>
    </font>
    <font>
      <name val="Calibri"/>
      <i val="1"/>
      <color rgb="006B7280"/>
      <sz val="9"/>
    </font>
    <font>
      <name val="Calibri"/>
      <b val="1"/>
      <color rgb="00FFFFFF"/>
      <sz val="10"/>
    </font>
    <font>
      <name val="Calibri"/>
      <b val="1"/>
      <color rgb="00FFFFFF"/>
      <sz val="9"/>
    </font>
    <font>
      <name val="Calibri"/>
      <color rgb="00475569"/>
      <sz val="9"/>
    </font>
    <font>
      <name val="Calibri"/>
      <color rgb="00171A1F"/>
      <sz val="10"/>
    </font>
    <font>
      <name val="Calibri"/>
      <b val="1"/>
      <color rgb="00171A1F"/>
      <sz val="10"/>
    </font>
    <font>
      <name val="Calibri"/>
      <color rgb="006B7280"/>
      <sz val="9"/>
    </font>
    <font>
      <name val="Calibri"/>
      <b val="1"/>
      <color rgb="0064748B"/>
      <sz val="9"/>
    </font>
    <font>
      <name val="Calibri"/>
      <b val="1"/>
      <color rgb="000B1F3A"/>
      <sz val="16"/>
    </font>
    <font>
      <name val="Calibri"/>
      <i val="1"/>
      <color rgb="0094A3B8"/>
      <sz val="8"/>
    </font>
    <font>
      <name val="Calibri"/>
      <b val="1"/>
      <color rgb="000B1F3A"/>
      <sz val="11"/>
    </font>
    <font>
      <name val="Calibri"/>
      <b val="1"/>
      <color rgb="00ffffff"/>
      <sz val="10"/>
    </font>
    <font>
      <name val="Calibri"/>
      <b val="1"/>
      <color rgb="000f5132"/>
      <sz val="10"/>
    </font>
    <font>
      <name val="Calibri"/>
      <b val="1"/>
      <color rgb="007a4a00"/>
      <sz val="10"/>
    </font>
    <font>
      <name val="Calibri"/>
      <b val="1"/>
      <color rgb="00374151"/>
      <sz val="10"/>
    </font>
    <font>
      <name val="Calibri"/>
      <b val="1"/>
      <color rgb="009b1c1c"/>
      <sz val="10"/>
    </font>
    <font>
      <name val="Calibri"/>
      <b val="1"/>
      <color rgb="000B1F3A"/>
      <sz val="12"/>
    </font>
    <font>
      <name val="Calibri"/>
      <b val="1"/>
      <color rgb="001F9D63"/>
      <sz val="10"/>
    </font>
    <font>
      <name val="Calibri"/>
      <color rgb="002F4BD8"/>
      <sz val="10"/>
      <u val="single"/>
    </font>
    <font>
      <name val="Calibri"/>
      <b val="1"/>
      <color rgb="00D64545"/>
      <sz val="10"/>
    </font>
    <font>
      <name val="Calibri"/>
      <b val="1"/>
      <color rgb="0064748B"/>
      <sz val="10"/>
    </font>
    <font>
      <name val="Calibri"/>
      <color rgb="002F4BD8"/>
      <u val="single"/>
    </font>
  </fonts>
  <fills count="19">
    <fill>
      <patternFill/>
    </fill>
    <fill>
      <patternFill patternType="gray125"/>
    </fill>
    <fill>
      <patternFill patternType="solid">
        <fgColor rgb="000B1F3A"/>
      </patternFill>
    </fill>
    <fill>
      <patternFill patternType="solid">
        <fgColor rgb="001E3A66"/>
      </patternFill>
    </fill>
    <fill>
      <patternFill patternType="solid">
        <fgColor rgb="000E7C86"/>
      </patternFill>
    </fill>
    <fill>
      <patternFill patternType="solid">
        <fgColor rgb="00334E7E"/>
      </patternFill>
    </fill>
    <fill>
      <patternFill patternType="solid">
        <fgColor rgb="00C9860A"/>
      </patternFill>
    </fill>
    <fill>
      <patternFill patternType="solid">
        <fgColor rgb="00D9DEE7"/>
      </patternFill>
    </fill>
    <fill>
      <patternFill patternType="solid">
        <fgColor rgb="00FFF4D6"/>
      </patternFill>
    </fill>
    <fill>
      <patternFill patternType="solid">
        <fgColor rgb="00FAFAFB"/>
      </patternFill>
    </fill>
    <fill>
      <patternFill patternType="solid">
        <fgColor rgb="00F3F5F8"/>
      </patternFill>
    </fill>
    <fill>
      <patternFill patternType="solid">
        <fgColor rgb="002F4BD8"/>
      </patternFill>
    </fill>
    <fill>
      <patternFill patternType="solid">
        <fgColor rgb="000f7a4a"/>
      </patternFill>
    </fill>
    <fill>
      <patternFill patternType="solid">
        <fgColor rgb="001f9d63"/>
      </patternFill>
    </fill>
    <fill>
      <patternFill patternType="solid">
        <fgColor rgb="00d7f2e3"/>
      </patternFill>
    </fill>
    <fill>
      <patternFill patternType="solid">
        <fgColor rgb="00fdecc8"/>
      </patternFill>
    </fill>
    <fill>
      <patternFill patternType="solid">
        <fgColor rgb="00e5e7eb"/>
      </patternFill>
    </fill>
    <fill>
      <patternFill patternType="solid">
        <fgColor rgb="00fde2e2"/>
      </patternFill>
    </fill>
    <fill>
      <patternFill patternType="solid">
        <fgColor rgb="00d64545"/>
      </patternFill>
    </fill>
  </fills>
  <borders count="11">
    <border>
      <left/>
      <right/>
      <top/>
      <bottom/>
      <diagonal/>
    </border>
    <border>
      <left style="thin">
        <color rgb="00D9DEE7"/>
      </left>
      <right style="thin">
        <color rgb="00D9DEE7"/>
      </right>
      <top style="thin">
        <color rgb="00D9DEE7"/>
      </top>
      <bottom style="thin">
        <color rgb="00D9DEE7"/>
      </bottom>
    </border>
    <border>
      <left style="thin">
        <color rgb="00D9DEE7"/>
      </left>
      <right/>
      <top/>
      <bottom/>
      <diagonal/>
    </border>
    <border>
      <left style="thin">
        <color rgb="00D9DEE7"/>
      </left>
      <right style="thin">
        <color rgb="00D9DEE7"/>
      </right>
      <top/>
      <bottom/>
      <diagonal/>
    </border>
    <border>
      <left style="thin">
        <color rgb="00D9DEE7"/>
      </left>
      <right style="thin">
        <color rgb="00D9DEE7"/>
      </right>
      <top/>
      <bottom style="thin">
        <color rgb="00D9DEE7"/>
      </bottom>
      <diagonal/>
    </border>
    <border>
      <left style="thin">
        <color rgb="00FFFFFF"/>
      </left>
      <right style="thin">
        <color rgb="00FFFFFF"/>
      </right>
    </border>
    <border>
      <top style="thick">
        <color rgb="002F4BD8"/>
      </top>
    </border>
    <border>
      <left/>
      <right/>
      <top style="thin">
        <color rgb="00D9DEE7"/>
      </top>
      <bottom/>
      <diagonal/>
    </border>
    <border>
      <left/>
      <right style="thin">
        <color rgb="00D9DEE7"/>
      </right>
      <top style="thin">
        <color rgb="00D9DEE7"/>
      </top>
      <bottom/>
      <diagonal/>
    </border>
    <border>
      <left/>
      <right/>
      <top style="thin">
        <color rgb="00D9DEE7"/>
      </top>
      <bottom style="thin">
        <color rgb="00D9DEE7"/>
      </bottom>
      <diagonal/>
    </border>
    <border>
      <left/>
      <right style="thin">
        <color rgb="00D9DEE7"/>
      </right>
      <top style="thin">
        <color rgb="00D9DEE7"/>
      </top>
      <bottom style="thin">
        <color rgb="00D9DEE7"/>
      </bottom>
      <diagonal/>
    </border>
  </borders>
  <cellStyleXfs count="1">
    <xf numFmtId="0" fontId="0" fillId="0" borderId="0"/>
  </cellStyleXfs>
  <cellXfs count="84">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8" fillId="0" borderId="0" pivotButton="0" quotePrefix="0" xfId="0"/>
    <xf numFmtId="0" fontId="0" fillId="11" borderId="5" pivotButton="0" quotePrefix="0" xfId="0"/>
    <xf numFmtId="0" fontId="0" fillId="7" borderId="5" pivotButton="0" quotePrefix="0" xfId="0"/>
    <xf numFmtId="0" fontId="10" fillId="10" borderId="6" applyAlignment="1" pivotButton="0" quotePrefix="0" xfId="0">
      <alignment horizontal="left" vertical="center" indent="1"/>
    </xf>
    <xf numFmtId="0" fontId="0" fillId="10" borderId="6" applyAlignment="1" pivotButton="0" quotePrefix="0" xfId="0">
      <alignment horizontal="left" vertical="center" indent="1"/>
    </xf>
    <xf numFmtId="0" fontId="11" fillId="10" borderId="0" applyAlignment="1" pivotButton="0" quotePrefix="0" xfId="0">
      <alignment horizontal="left" vertical="center" indent="1"/>
    </xf>
    <xf numFmtId="0" fontId="0" fillId="10" borderId="0" applyAlignment="1" pivotButton="0" quotePrefix="0" xfId="0">
      <alignment horizontal="left" vertical="center" indent="1"/>
    </xf>
    <xf numFmtId="165" fontId="11" fillId="10" borderId="0" applyAlignment="1" pivotButton="0" quotePrefix="0" xfId="0">
      <alignment horizontal="left" vertical="center" indent="1"/>
    </xf>
    <xf numFmtId="0" fontId="12" fillId="10" borderId="0" applyAlignment="1" pivotButton="0" quotePrefix="0" xfId="0">
      <alignment horizontal="left" vertical="center" indent="1"/>
    </xf>
    <xf numFmtId="164" fontId="11" fillId="10" borderId="0" applyAlignment="1" pivotButton="0" quotePrefix="0" xfId="0">
      <alignment horizontal="left" vertical="center" indent="1"/>
    </xf>
    <xf numFmtId="0" fontId="13" fillId="0" borderId="0" pivotButton="0" quotePrefix="0" xfId="0"/>
    <xf numFmtId="0" fontId="4" fillId="3" borderId="1" applyAlignment="1" pivotButton="0" quotePrefix="0" xfId="0">
      <alignment horizontal="center" vertical="center" wrapText="1"/>
    </xf>
    <xf numFmtId="0" fontId="8" fillId="0" borderId="1" applyAlignment="1" pivotButton="0" quotePrefix="0" xfId="0">
      <alignment horizontal="left" vertical="center"/>
    </xf>
    <xf numFmtId="1" fontId="7" fillId="0" borderId="1" applyAlignment="1" pivotButton="0" quotePrefix="0" xfId="0">
      <alignment horizontal="right" vertical="center"/>
    </xf>
    <xf numFmtId="4" fontId="7" fillId="0" borderId="1" applyAlignment="1" pivotButton="0" quotePrefix="0" xfId="0">
      <alignment horizontal="right"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6" fontId="7" fillId="0" borderId="1" applyAlignment="1" pivotButton="0" quotePrefix="0" xfId="0">
      <alignment horizontal="right" vertical="center"/>
    </xf>
    <xf numFmtId="0" fontId="8" fillId="10" borderId="1" applyAlignment="1" pivotButton="0" quotePrefix="0" xfId="0">
      <alignment horizontal="left" vertical="center"/>
    </xf>
    <xf numFmtId="1" fontId="7" fillId="10" borderId="1" applyAlignment="1" pivotButton="0" quotePrefix="0" xfId="0">
      <alignment horizontal="right" vertical="center"/>
    </xf>
    <xf numFmtId="4" fontId="7" fillId="10" borderId="1" applyAlignment="1" pivotButton="0" quotePrefix="0" xfId="0">
      <alignment horizontal="right" vertical="center"/>
    </xf>
    <xf numFmtId="164" fontId="7" fillId="10" borderId="1" applyAlignment="1" pivotButton="0" quotePrefix="0" xfId="0">
      <alignment horizontal="right" vertical="center"/>
    </xf>
    <xf numFmtId="165" fontId="7" fillId="10" borderId="1" applyAlignment="1" pivotButton="0" quotePrefix="0" xfId="0">
      <alignment horizontal="right" vertical="center"/>
    </xf>
    <xf numFmtId="166" fontId="7" fillId="10" borderId="1" applyAlignment="1" pivotButton="0" quotePrefix="0" xfId="0">
      <alignment horizontal="right" vertical="center"/>
    </xf>
    <xf numFmtId="0" fontId="3" fillId="0" borderId="0" pivotButton="0" quotePrefix="0" xfId="0"/>
    <xf numFmtId="0" fontId="4"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0" borderId="4" pivotButton="0" quotePrefix="0" xfId="0"/>
    <xf numFmtId="0" fontId="5"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left" vertical="center"/>
    </xf>
    <xf numFmtId="4" fontId="8" fillId="0" borderId="1" applyAlignment="1" pivotButton="0" quotePrefix="0" xfId="0">
      <alignment horizontal="right" vertical="center"/>
    </xf>
    <xf numFmtId="4" fontId="7" fillId="8" borderId="1" applyAlignment="1" pivotButton="0" quotePrefix="0" xfId="0">
      <alignment horizontal="right" vertical="center"/>
    </xf>
    <xf numFmtId="4" fontId="7" fillId="9" borderId="1" applyAlignment="1" pivotButton="0" quotePrefix="0" xfId="0">
      <alignment horizontal="right" vertical="center"/>
    </xf>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7" fillId="10" borderId="1" applyAlignment="1" pivotButton="0" quotePrefix="0" xfId="0">
      <alignment horizontal="center" vertical="center" wrapText="1"/>
    </xf>
    <xf numFmtId="0" fontId="9" fillId="10" borderId="1" applyAlignment="1" pivotButton="0" quotePrefix="0" xfId="0">
      <alignment horizontal="left" vertical="center"/>
    </xf>
    <xf numFmtId="4" fontId="8" fillId="10" borderId="1" applyAlignment="1" pivotButton="0" quotePrefix="0" xfId="0">
      <alignment horizontal="right" vertical="center"/>
    </xf>
    <xf numFmtId="0" fontId="7" fillId="7" borderId="1" applyAlignment="1" pivotButton="0" quotePrefix="0" xfId="0">
      <alignment horizontal="right" vertical="center"/>
    </xf>
    <xf numFmtId="0" fontId="8" fillId="7" borderId="1" applyAlignment="1" pivotButton="0" quotePrefix="0" xfId="0">
      <alignment horizontal="left" vertical="center"/>
    </xf>
    <xf numFmtId="1" fontId="8" fillId="7" borderId="1" applyAlignment="1" pivotButton="0" quotePrefix="0" xfId="0">
      <alignment horizontal="right" vertical="center"/>
    </xf>
    <xf numFmtId="165" fontId="8" fillId="7" borderId="1" applyAlignment="1" pivotButton="0" quotePrefix="0" xfId="0">
      <alignment horizontal="right" vertical="center"/>
    </xf>
    <xf numFmtId="164" fontId="8" fillId="7" borderId="1" applyAlignment="1" pivotButton="0" quotePrefix="0" xfId="0">
      <alignment horizontal="right" vertical="center"/>
    </xf>
    <xf numFmtId="0" fontId="3" fillId="0" borderId="0" applyAlignment="1" pivotButton="0" quotePrefix="0" xfId="0">
      <alignment horizontal="center" vertical="center" wrapText="1"/>
    </xf>
    <xf numFmtId="0" fontId="7" fillId="0" borderId="1" applyAlignment="1" pivotButton="0" quotePrefix="0" xfId="0">
      <alignment horizontal="right" vertical="center"/>
    </xf>
    <xf numFmtId="0" fontId="7" fillId="0" borderId="1" applyAlignment="1" pivotButton="0" quotePrefix="0" xfId="0">
      <alignment horizontal="left" vertical="center"/>
    </xf>
    <xf numFmtId="1" fontId="7" fillId="0" borderId="1" applyAlignment="1" pivotButton="0" quotePrefix="0" xfId="0">
      <alignment horizontal="center" vertical="center" wrapText="1"/>
    </xf>
    <xf numFmtId="1" fontId="7"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8" borderId="1" applyAlignment="1" pivotButton="0" quotePrefix="0" xfId="0">
      <alignment horizontal="left" vertical="center"/>
    </xf>
    <xf numFmtId="165" fontId="7" fillId="8" borderId="1" applyAlignment="1" pivotButton="0" quotePrefix="0" xfId="0">
      <alignment horizontal="right" vertical="center"/>
    </xf>
    <xf numFmtId="164" fontId="7" fillId="8" borderId="1" applyAlignment="1" pivotButton="0" quotePrefix="0" xfId="0">
      <alignment horizontal="right" vertical="center"/>
    </xf>
    <xf numFmtId="1" fontId="7"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9" borderId="1" applyAlignment="1" pivotButton="0" quotePrefix="0" xfId="0">
      <alignment horizontal="left" vertical="center"/>
    </xf>
    <xf numFmtId="165" fontId="7" fillId="9" borderId="1" applyAlignment="1" pivotButton="0" quotePrefix="0" xfId="0">
      <alignment horizontal="right" vertical="center"/>
    </xf>
    <xf numFmtId="164" fontId="7" fillId="9" borderId="1" applyAlignment="1" pivotButton="0" quotePrefix="0" xfId="0">
      <alignment horizontal="right" vertical="center"/>
    </xf>
    <xf numFmtId="0" fontId="0" fillId="0" borderId="9" pivotButton="0" quotePrefix="0" xfId="0"/>
    <xf numFmtId="0" fontId="0" fillId="0" borderId="10" pivotButton="0" quotePrefix="0" xfId="0"/>
    <xf numFmtId="165" fontId="7" fillId="0" borderId="1" applyAlignment="1" pivotButton="0" quotePrefix="0" xfId="0">
      <alignment horizontal="left" vertical="center"/>
    </xf>
    <xf numFmtId="0" fontId="0" fillId="0" borderId="0" applyAlignment="1" pivotButton="0" quotePrefix="0" xfId="0">
      <alignment vertical="top" wrapText="1"/>
    </xf>
    <xf numFmtId="0" fontId="14" fillId="12" borderId="1" applyAlignment="1" pivotButton="0" quotePrefix="0" xfId="0">
      <alignment horizontal="left" vertical="center"/>
    </xf>
    <xf numFmtId="167" fontId="7" fillId="0" borderId="1" applyAlignment="1" pivotButton="0" quotePrefix="0" xfId="0">
      <alignment horizontal="right" vertical="center"/>
    </xf>
    <xf numFmtId="0" fontId="7" fillId="0" borderId="1" applyAlignment="1" pivotButton="0" quotePrefix="0" xfId="0">
      <alignment vertical="center" wrapText="1"/>
    </xf>
    <xf numFmtId="0" fontId="14" fillId="13" borderId="1" applyAlignment="1" pivotButton="0" quotePrefix="0" xfId="0">
      <alignment horizontal="left" vertical="center"/>
    </xf>
    <xf numFmtId="0" fontId="15" fillId="14" borderId="1" applyAlignment="1" pivotButton="0" quotePrefix="0" xfId="0">
      <alignment horizontal="left" vertical="center"/>
    </xf>
    <xf numFmtId="0" fontId="16" fillId="15" borderId="1" applyAlignment="1" pivotButton="0" quotePrefix="0" xfId="0">
      <alignment horizontal="left" vertical="center"/>
    </xf>
    <xf numFmtId="0" fontId="17" fillId="16" borderId="1" applyAlignment="1" pivotButton="0" quotePrefix="0" xfId="0">
      <alignment horizontal="left" vertical="center"/>
    </xf>
    <xf numFmtId="0" fontId="18" fillId="17" borderId="1" applyAlignment="1" pivotButton="0" quotePrefix="0" xfId="0">
      <alignment horizontal="left" vertical="center"/>
    </xf>
    <xf numFmtId="0" fontId="14" fillId="18" borderId="1" applyAlignment="1" pivotButton="0" quotePrefix="0" xfId="0">
      <alignment horizontal="left" vertical="center"/>
    </xf>
    <xf numFmtId="0" fontId="19" fillId="0" borderId="0" pivotButton="0" quotePrefix="0" xfId="0"/>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22" fillId="0" borderId="1" applyAlignment="1" pivotButton="0" quotePrefix="0" xfId="0">
      <alignment horizontal="left" vertical="center"/>
    </xf>
    <xf numFmtId="0" fontId="23" fillId="0" borderId="1" applyAlignment="1" pivotButton="0" quotePrefix="0" xfId="0">
      <alignment horizontal="left" vertical="center"/>
    </xf>
    <xf numFmtId="168" fontId="7" fillId="0" borderId="1" applyAlignment="1" pivotButton="0" quotePrefix="0" xfId="0">
      <alignment horizontal="right" vertical="center"/>
    </xf>
    <xf numFmtId="0" fontId="24" fillId="0" borderId="1" applyAlignment="1" pivotButton="0" quotePrefix="0" xfId="0">
      <alignment horizontal="left" vertical="center"/>
    </xf>
  </cellXfs>
  <cellStyles count="1">
    <cellStyle name="Normal" xfId="0" builtinId="0" hidden="0"/>
  </cellStyles>
  <dxfs count="6">
    <dxf>
      <font>
        <name val="Calibri"/>
        <b val="1"/>
        <color rgb="001F9D63"/>
        <sz val="16"/>
      </font>
    </dxf>
    <dxf>
      <font>
        <name val="Calibri"/>
        <b val="1"/>
        <color rgb="00D64545"/>
        <sz val="16"/>
      </font>
    </dxf>
    <dxf>
      <font>
        <name val="Calibri"/>
        <b val="1"/>
        <color rgb="001F9D63"/>
      </font>
    </dxf>
    <dxf>
      <font>
        <name val="Calibri"/>
        <b val="1"/>
        <color rgb="00D64545"/>
      </font>
    </dxf>
    <dxf>
      <font>
        <name val="Calibri"/>
        <color rgb="001F9D63"/>
      </font>
    </dxf>
    <dxf>
      <font>
        <name val="Calibri"/>
        <color rgb="00D6454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Return by stock</a:t>
            </a:r>
          </a:p>
        </rich>
      </tx>
    </title>
    <plotArea>
      <barChart>
        <barDir val="bar"/>
        <grouping val="clustered"/>
        <ser>
          <idx val="0"/>
          <order val="0"/>
          <tx>
            <strRef>
              <f>'Dashboard'!F20</f>
            </strRef>
          </tx>
          <spPr>
            <a:solidFill xmlns:a="http://schemas.openxmlformats.org/drawingml/2006/main">
              <a:srgbClr val="2F4BD8"/>
            </a:solidFill>
            <a:ln xmlns:a="http://schemas.openxmlformats.org/drawingml/2006/main">
              <a:prstDash val="solid"/>
            </a:ln>
          </spPr>
          <cat>
            <numRef>
              <f>'Dashboard'!$B$21:$B$30</f>
            </numRef>
          </cat>
          <val>
            <numRef>
              <f>'Dashboard'!$F$21:$F$30</f>
            </numRef>
          </val>
        </ser>
        <dLbls>
          <numFmt formatCode="+0.0%;-0.0%"/>
          <showLegendKey val="0"/>
          <showVal val="1"/>
          <showCatName val="0"/>
          <showSerName val="0"/>
        </dLbls>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Portfolio value (₹)</a:t>
            </a:r>
          </a:p>
        </rich>
      </tx>
    </title>
    <plotArea>
      <lineChart>
        <grouping val="standard"/>
        <ser>
          <idx val="0"/>
          <order val="0"/>
          <tx>
            <strRef>
              <f>'Portfolio Path'!D4</f>
            </strRef>
          </tx>
          <spPr>
            <a:ln xmlns:a="http://schemas.openxmlformats.org/drawingml/2006/main" w="28000">
              <a:solidFill>
                <a:srgbClr val="0E7C86"/>
              </a:solidFill>
              <a:prstDash val="solid"/>
            </a:ln>
          </spPr>
          <marker>
            <symbol val="none"/>
            <spPr>
              <a:ln xmlns:a="http://schemas.openxmlformats.org/drawingml/2006/main">
                <a:prstDash val="solid"/>
              </a:ln>
            </spPr>
          </marker>
          <cat>
            <numRef>
              <f>'Portfolio Path'!$A$5:$A$20</f>
            </numRef>
          </cat>
          <val>
            <numRef>
              <f>'Portfolio Path'!$D$5:$D$20</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Portfolio return vs Nifty 50 (%)</a:t>
            </a:r>
          </a:p>
        </rich>
      </tx>
    </title>
    <plotArea>
      <lineChart>
        <grouping val="standard"/>
        <ser>
          <idx val="0"/>
          <order val="0"/>
          <tx>
            <strRef>
              <f>'Portfolio Path'!F4</f>
            </strRef>
          </tx>
          <spPr>
            <a:ln xmlns:a="http://schemas.openxmlformats.org/drawingml/2006/main" w="28000">
              <a:solidFill>
                <a:srgbClr val="2F4BD8"/>
              </a:solidFill>
              <a:prstDash val="solid"/>
            </a:ln>
          </spPr>
          <marker>
            <symbol val="none"/>
            <spPr>
              <a:ln xmlns:a="http://schemas.openxmlformats.org/drawingml/2006/main">
                <a:prstDash val="solid"/>
              </a:ln>
            </spPr>
          </marker>
          <cat>
            <numRef>
              <f>'Portfolio Path'!$A$5:$A$26</f>
            </numRef>
          </cat>
          <val>
            <numRef>
              <f>'Portfolio Path'!$F$5:$F$26</f>
            </numRef>
          </val>
          <smooth val="0"/>
        </ser>
        <ser>
          <idx val="1"/>
          <order val="1"/>
          <tx>
            <strRef>
              <f>'Portfolio Path'!I4</f>
            </strRef>
          </tx>
          <spPr>
            <a:ln xmlns:a="http://schemas.openxmlformats.org/drawingml/2006/main">
              <a:solidFill>
                <a:srgbClr val="9AA2AD"/>
              </a:solidFill>
              <a:prstDash val="dash"/>
            </a:ln>
          </spPr>
          <marker>
            <symbol val="none"/>
            <spPr>
              <a:ln xmlns:a="http://schemas.openxmlformats.org/drawingml/2006/main">
                <a:prstDash val="solid"/>
              </a:ln>
            </spPr>
          </marker>
          <cat>
            <numRef>
              <f>'Portfolio Path'!$A$5:$A$26</f>
            </numRef>
          </cat>
          <val>
            <numRef>
              <f>'Portfolio Path'!$I$5:$I$26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Return</a:t>
                </a:r>
              </a:p>
            </rich>
          </tx>
        </title>
        <numFmt formatCode="0.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32</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32</row>
      <rowOff>0</rowOff>
    </from>
    <ext cx="50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10</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hyperlink" Target="https://www.google.com/search?q=Laurus%20Labs%20site%3Atorusdigital.com" TargetMode="External" Id="rId1"/><Relationship Type="http://schemas.openxmlformats.org/officeDocument/2006/relationships/hyperlink" Target="https://www.google.com/search?q=Laurus%20Labs%20site%3Aanandrathi.com" TargetMode="External" Id="rId2"/><Relationship Type="http://schemas.openxmlformats.org/officeDocument/2006/relationships/hyperlink" Target="https://www.google.com/search?q=Laurus%20Labs%20site%3Aanandrathi.com" TargetMode="External" Id="rId3"/><Relationship Type="http://schemas.openxmlformats.org/officeDocument/2006/relationships/hyperlink" Target="https://www.google.com/search?q=Laurus%20Labs%20site%3Aanandrathi.com" TargetMode="External" Id="rId4"/><Relationship Type="http://schemas.openxmlformats.org/officeDocument/2006/relationships/hyperlink" Target="https://www.google.com/search?q=TD%20Power%20Systems%20site%3A5paisa.com" TargetMode="External" Id="rId5"/><Relationship Type="http://schemas.openxmlformats.org/officeDocument/2006/relationships/hyperlink" Target="https://www.google.com/search?q=TD%20Power%20Systems%20site%3Afyers.in" TargetMode="External" Id="rId6"/><Relationship Type="http://schemas.openxmlformats.org/officeDocument/2006/relationships/hyperlink" Target="https://www.google.com/search?q=TD%20Power%20Systems%20site%3A5paisa.com" TargetMode="External" Id="rId7"/><Relationship Type="http://schemas.openxmlformats.org/officeDocument/2006/relationships/hyperlink" Target="https://www.google.com/search?q=TD%20Power%20Systems%20site%3A5paisa.com" TargetMode="External" Id="rId8"/><Relationship Type="http://schemas.openxmlformats.org/officeDocument/2006/relationships/hyperlink" Target="https://www.google.com/search?q=Ather%20Energy%20site%3Aindmoney.com" TargetMode="External" Id="rId9"/><Relationship Type="http://schemas.openxmlformats.org/officeDocument/2006/relationships/hyperlink" Target="https://www.google.com/search?q=Ather%20Energy%20site%3Aindmoney.com" TargetMode="External" Id="rId10"/><Relationship Type="http://schemas.openxmlformats.org/officeDocument/2006/relationships/hyperlink" Target="https://www.google.com/search?q=Ather%20Energy%20site%3Afreepressjournal.in" TargetMode="External" Id="rId11"/><Relationship Type="http://schemas.openxmlformats.org/officeDocument/2006/relationships/hyperlink" Target="https://www.google.com/search?q=Ather%20Energy%20site%3Ahdfcsky.com" TargetMode="External" Id="rId12"/><Relationship Type="http://schemas.openxmlformats.org/officeDocument/2006/relationships/hyperlink" Target="https://www.google.com/search?q=RR%20Kabel%20site%3A5paisa.com" TargetMode="External" Id="rId13"/><Relationship Type="http://schemas.openxmlformats.org/officeDocument/2006/relationships/hyperlink" Target="https://www.google.com/search?q=RR%20Kabel%20site%3Afyers.in" TargetMode="External" Id="rId14"/><Relationship Type="http://schemas.openxmlformats.org/officeDocument/2006/relationships/hyperlink" Target="https://www.google.com/search?q=Aeroflex%20Industries%20site%3Asahi.com" TargetMode="External" Id="rId15"/><Relationship Type="http://schemas.openxmlformats.org/officeDocument/2006/relationships/hyperlink" Target="https://www.google.com/search?q=Aeroflex%20Industries%20site%3Asahi.com" TargetMode="External" Id="rId16"/><Relationship Type="http://schemas.openxmlformats.org/officeDocument/2006/relationships/hyperlink" Target="https://www.google.com/search?q=Aeroflex%20Industries%20share" TargetMode="External" Id="rId17"/><Relationship Type="http://schemas.openxmlformats.org/officeDocument/2006/relationships/hyperlink" Target="https://www.google.com/search?q=Aeroflex%20Industries%20share" TargetMode="External" Id="rId18"/><Relationship Type="http://schemas.openxmlformats.org/officeDocument/2006/relationships/hyperlink" Target="https://www.google.com/search?q=E2E%20Networks%20site%3Aangelone.in" TargetMode="External" Id="rId19"/><Relationship Type="http://schemas.openxmlformats.org/officeDocument/2006/relationships/hyperlink" Target="https://www.google.com/search?q=E2E%20Networks%20site%3Aanandrathi.com" TargetMode="External" Id="rId20"/><Relationship Type="http://schemas.openxmlformats.org/officeDocument/2006/relationships/hyperlink" Target="https://www.google.com/search?q=E2E%20Networks%20site%3Aanandrathi.com" TargetMode="External" Id="rId21"/><Relationship Type="http://schemas.openxmlformats.org/officeDocument/2006/relationships/hyperlink" Target="https://www.google.com/search?q=Acutaas%20Chemicals%20site%3Afyers.in" TargetMode="External" Id="rId22"/><Relationship Type="http://schemas.openxmlformats.org/officeDocument/2006/relationships/hyperlink" Target="https://www.google.com/search?q=Acutaas%20Chemicals%20site%3Aanandrathi.com" TargetMode="External" Id="rId23"/><Relationship Type="http://schemas.openxmlformats.org/officeDocument/2006/relationships/hyperlink" Target="https://www.google.com/search?q=Acutaas%20Chemicals%20site%3Aanandrathi.com" TargetMode="External" Id="rId24"/><Relationship Type="http://schemas.openxmlformats.org/officeDocument/2006/relationships/hyperlink" Target="https://www.google.com/search?q=Diamond%20Power%20Infra%20site%3Aanandrathi.com" TargetMode="External" Id="rId25"/><Relationship Type="http://schemas.openxmlformats.org/officeDocument/2006/relationships/hyperlink" Target="https://www.google.com/search?q=Diamond%20Power%20Infra%20site%3Abajajfinserv.in" TargetMode="External" Id="rId26"/><Relationship Type="http://schemas.openxmlformats.org/officeDocument/2006/relationships/hyperlink" Target="https://www.google.com/search?q=Kirloskar%20Oil%20Engines%20site%3Aanandrathi.com" TargetMode="External" Id="rId27"/><Relationship Type="http://schemas.openxmlformats.org/officeDocument/2006/relationships/hyperlink" Target="https://www.google.com/search?q=Thangamayil%20Jewellery%20site%3Aanandrathi.com" TargetMode="External" Id="rId28"/><Relationship Type="http://schemas.openxmlformats.org/officeDocument/2006/relationships/hyperlink" Target="https://www.google.com/search?q=Thangamayil%20Jewellery%20site%3Aanandrathi.com" TargetMode="External" Id="rId29"/><Relationship Type="http://schemas.openxmlformats.org/officeDocument/2006/relationships/hyperlink" Target="https://www.google.com/search?q=Thangamayil%20Jewellery%20site%3Aanandrathi.com" TargetMode="External" Id="rId30"/></Relationships>
</file>

<file path=xl/worksheets/_rels/sheet8.xml.rels><Relationships xmlns="http://schemas.openxmlformats.org/package/2006/relationships"><Relationship Type="http://schemas.openxmlformats.org/officeDocument/2006/relationships/hyperlink" Target="https://news.google.com/rss/articles/CBMitAFBVV95cUxPZkVNZVpJS2N6Nm0tZFRqQVVJTDhKYTBGTTc1TlM0QVBhUU5XcmtlS0tadkljUWpPMEtnSGp4cUJDMFlNYlFuTWh5QnR3eWMzd1I3dk1pMF9Belc2emlGUmFFZTNWZE5Bd2FFVXZyeFVXcnZrLTFkMjRZUWNWblN6dmtYNnNYZUppV29NdXZwcm5qcjZQZlB5aGZKeEdjcGpJa2pWdGs4T1V0MThwM3JBMEg5Y2o?oc=5" TargetMode="External" Id="rId1"/><Relationship Type="http://schemas.openxmlformats.org/officeDocument/2006/relationships/hyperlink" Target="https://news.google.com/rss/articles/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oc=5" TargetMode="External" Id="rId2"/><Relationship Type="http://schemas.openxmlformats.org/officeDocument/2006/relationships/hyperlink" Target="https://news.google.com/rss/articles/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oc=5" TargetMode="External" Id="rId3"/><Relationship Type="http://schemas.openxmlformats.org/officeDocument/2006/relationships/hyperlink" Target="https://news.google.com/rss/articles/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oc=5" TargetMode="External" Id="rId4"/><Relationship Type="http://schemas.openxmlformats.org/officeDocument/2006/relationships/hyperlink" Target="https://news.google.com/rss/articles/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oc=5" TargetMode="External" Id="rId5"/><Relationship Type="http://schemas.openxmlformats.org/officeDocument/2006/relationships/hyperlink" Target="https://news.google.com/rss/articles/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oc=5" TargetMode="External" Id="rId6"/><Relationship Type="http://schemas.openxmlformats.org/officeDocument/2006/relationships/hyperlink" Target="https://news.google.com/rss/articles/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oc=5" TargetMode="External" Id="rId7"/><Relationship Type="http://schemas.openxmlformats.org/officeDocument/2006/relationships/hyperlink" Target="https://news.google.com/rss/articles/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oc=5" TargetMode="External" Id="rId8"/><Relationship Type="http://schemas.openxmlformats.org/officeDocument/2006/relationships/hyperlink" Target="https://news.google.com/rss/articles/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oc=5" TargetMode="External" Id="rId9"/><Relationship Type="http://schemas.openxmlformats.org/officeDocument/2006/relationships/hyperlink" Target="https://news.google.com/rss/articles/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oc=5" TargetMode="External" Id="rId10"/><Relationship Type="http://schemas.openxmlformats.org/officeDocument/2006/relationships/hyperlink" Target="https://news.google.com/rss/articles/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oc=5" TargetMode="External" Id="rId11"/><Relationship Type="http://schemas.openxmlformats.org/officeDocument/2006/relationships/hyperlink" Target="https://news.google.com/rss/articles/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oc=5" TargetMode="External" Id="rId12"/><Relationship Type="http://schemas.openxmlformats.org/officeDocument/2006/relationships/hyperlink" Target="https://news.google.com/rss/articles/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oc=5" TargetMode="External" Id="rId13"/><Relationship Type="http://schemas.openxmlformats.org/officeDocument/2006/relationships/hyperlink" Target="https://news.google.com/rss/articles/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oc=5" TargetMode="External" Id="rId14"/><Relationship Type="http://schemas.openxmlformats.org/officeDocument/2006/relationships/hyperlink" Target="https://news.google.com/rss/articles/CBMirwFBVV95cUxPWkFoVnJudVByWHVCbS1fRk5TaDEzV2cwbklGU3hEbFJGM3M0cWhudmtIeVA4YWlfekNicFhyaTdDNHpQbWZiblRiX0RkanFJaVRlZno2QlhOUVNRYWk0RG5DY1I3NDZ5ZHBuQVlrT0t2NEhRcHVuaWUzM0ZubmpmWkxuSWExekZCR0w5RTN3QTZULU5zX1JwQVJvdmxhYmZGN1VLOU8yR1NhSGZKT21r?oc=5" TargetMode="External" Id="rId15"/><Relationship Type="http://schemas.openxmlformats.org/officeDocument/2006/relationships/hyperlink" Target="https://news.google.com/rss/articles/CBMirgFBVV95cUxNZldZTERhLUR5bzRZZV91dTQ0Q2pjSG93XzBscTRReTlRbHhjc242V21USVo3cm9XMndwY2ZJWWRlNGRZLWtQMGF3STF5UGppX2JpOWtDVEJPLW5RUnczSGJsTERCUEc5elN2MmZ3LUhhZDRsZlZEN2pQUHU5LWw3ZG1IaTdzQjFUbU4wcWVEUWRLaWtFUVhJYXBZWGgyRHh5bnIydm1fUFMxdVd0c2c?oc=5" TargetMode="External" Id="rId16"/><Relationship Type="http://schemas.openxmlformats.org/officeDocument/2006/relationships/hyperlink" Target="https://news.google.com/rss/articles/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oc=5" TargetMode="External" Id="rId17"/><Relationship Type="http://schemas.openxmlformats.org/officeDocument/2006/relationships/hyperlink" Target="https://news.google.com/rss/articles/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oc=5" TargetMode="External" Id="rId18"/><Relationship Type="http://schemas.openxmlformats.org/officeDocument/2006/relationships/hyperlink" Target="https://news.google.com/rss/articles/CBMiwwFBVV95cUxQaXNlZmlYVkVyMERnTGRiNjdSVUhUcDQ0QWRQbUlNTExWajBiNUtERGRsblZibkpXRFpyOC1GTVdyTEg1MTZVX2laS21MYUswS29Ub2pPRGR3aXFJVDR5dURYM1dMeDJHU1pNN0FTTkJ1aGh2TGJGVkVSX2tkcXczaDZtRm1xQ25EYkJIdnBxU1RFS3BkYzAtX1N4MmZEeGtYbmpRNjV5OGctUHlmLXhjTzRaUGVlVjNYS2VDOW5PMHBzb2c?oc=5" TargetMode="External" Id="rId19"/><Relationship Type="http://schemas.openxmlformats.org/officeDocument/2006/relationships/hyperlink" Target="https://news.google.com/rss/articles/CBMi-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oc=5" TargetMode="External" Id="rId20"/><Relationship Type="http://schemas.openxmlformats.org/officeDocument/2006/relationships/hyperlink" Target="https://news.google.com/rss/articles/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oc=5" TargetMode="External" Id="rId21"/><Relationship Type="http://schemas.openxmlformats.org/officeDocument/2006/relationships/hyperlink" Target="https://news.google.com/rss/articles/CBMisgFBVV95cUxOQjVNam4yMXFWbnEzQ0ttOXpNWmtJR2xuMTlBemFzbGViRkUwOVByYzNCUGJVcGxJd3p5eDNWNkh1WG9CeGxfSWN3a09YbnUyRTBxazY2TGpBajZLUnBRZ2V3dHlzWlRHbTh5XzRfdVBTZklpbW1MNlhkWTBwd2ZjLUE3RXNqYlVHWE9hdHZFbG5ZNU94ajM2LUZIMVBoSnV2bHgzRG9wOHBtUzhGRnhwVGtR?oc=5" TargetMode="External" Id="rId22"/><Relationship Type="http://schemas.openxmlformats.org/officeDocument/2006/relationships/hyperlink" Target="https://news.google.com/rss/articles/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oc=5" TargetMode="External" Id="rId23"/><Relationship Type="http://schemas.openxmlformats.org/officeDocument/2006/relationships/hyperlink" Target="https://news.google.com/rss/articles/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oc=5" TargetMode="External" Id="rId24"/><Relationship Type="http://schemas.openxmlformats.org/officeDocument/2006/relationships/hyperlink" Target="https://news.google.com/rss/articles/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oc=5" TargetMode="External" Id="rId25"/><Relationship Type="http://schemas.openxmlformats.org/officeDocument/2006/relationships/hyperlink" Target="https://news.google.com/rss/articles/CBMipAFBVV95cUxNSE5KRlBpQjMyNDFfR1Q4QzNyREFGeFROLUFhZWhSaHk3MWdlWXBkWi1KMGRaV1ZTeDZzeHBvazZRdEhiWjhXZWo3VTQ2Vzk1WVZtQ1IwaEN3bVJOWDlKajJVTnJqdWJqY0l5b0dRQXM0REV4d3dJYlNtS0s5NFVqVWZuRzFWZHhoZV8ySFpUc2ozLURwM25iTU1FaHBnWFdFTUtweQ?oc=5" TargetMode="External" Id="rId26"/><Relationship Type="http://schemas.openxmlformats.org/officeDocument/2006/relationships/hyperlink" Target="https://news.google.com/rss/articles/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oc=5" TargetMode="External" Id="rId27"/><Relationship Type="http://schemas.openxmlformats.org/officeDocument/2006/relationships/hyperlink" Target="https://news.google.com/rss/articles/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oc=5" TargetMode="External" Id="rId28"/><Relationship Type="http://schemas.openxmlformats.org/officeDocument/2006/relationships/hyperlink" Target="https://news.google.com/rss/articles/CBMi-wFBVV95cUxQX0lKZC1TejBUdWYyZ0FtTGhDSUNJNW0wZlo3MHRRUjQxZWw1V2x1MnphWHJDOUM2QmQ3MDZCOWVEXy1GQll5LXBJdG5oNG1JMHhrTDBYckhKTVdGQndrTjJzcXBsOVNyX0RjeVVETV9hcG9td0s0OFItWjBvRkx6blBrNzJMZW9VeS1ialRKTnVZNlZlWnhZUHZHVjZ4X21UbnRhd01idUFvSE41RnVWLUpFaGpGYlA0dDIwODFmb20yOURFdE1JTnBEbnM4bWVqZkJDQm1LZkNYcVZZOEZOb2lVMkxjdUFtNTNCVWlWaWtSc0otd2h0X295MNIBgAJBVV95cUxPZ250RldmdlZGREtwUU1tRkVzcTczSmFlbko3Y0d2S1hlSWtOcXg1ajZzaWdHMEV6ZmFiUWpMZDB6cGhyWlpMbUpiSzJBa3dTTUhjMnBDYkZwOGhKNzgyb2haSDN1R3hfVUEzTU5iaWF4UUliSDVTSkt3bzMzdExsdmdaRTZDZzRLdHlhRlFwMXRWdWhKQTFCZ3RIMkpXMWllMHBrNnFjbDF1czRQdmQzQ1VnZmluQ3BDSzQwb2ozcHRVQW5qM0ZzMmd3UWRVN3BKWEZXMjQ0T3BjaFJaenl4R0FuLVVjam0tNTVwRGNaYzNfQkFpak5fek13TDVTS3c4?oc=5" TargetMode="External" Id="rId29"/><Relationship Type="http://schemas.openxmlformats.org/officeDocument/2006/relationships/hyperlink" Target="https://news.google.com/rss/articles/CBMirwFBVV95cUxOc3lEbGJVcHoyZ2FUYzBfSjVVMHV3WnBUWlVkN2Y4QXN1Mng0aDZ4Vzd1QzVzdzZUUFkybGdBOHNmVmlBUGJDRVg1TEszV19HSGNrZXQtaU45OGc3LXpleV9JMGN6eVNaUHRHSk5Lb0xKS3lDNVRSLU5PaHZMQm5IYmhibExvQWFlM19LODhFSDNnVmFHcTZLa2ZPR3pDYkRPWjBpNnBFVkl6d0xQWnpv?oc=5" TargetMode="External" Id="rId30"/><Relationship Type="http://schemas.openxmlformats.org/officeDocument/2006/relationships/hyperlink" Target="https://news.google.com/rss/articles/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oc=5" TargetMode="External" Id="rId31"/><Relationship Type="http://schemas.openxmlformats.org/officeDocument/2006/relationships/hyperlink" Target="https://news.google.com/rss/articles/CBMihAFBVV95cUxOYnZPOHBWT0JBbGkzbzZ2dl9xOGNDZ0dKSFR4V1YtbENNSm1IaUQwb0xmRkZnd0xFNFZ3bGdoQXNUTERBblFjZ0NfMTg3aS00YVlHY3I0cnFiN2dpem5aS3cxMVRIYzVDV1VxQTFSWGZXWFZFS3VZQ3dFeGpLZE40elB0Qko?oc=5" TargetMode="External" Id="rId32"/><Relationship Type="http://schemas.openxmlformats.org/officeDocument/2006/relationships/hyperlink" Target="https://news.google.com/rss/articles/CBMipgFBVV95cUxQcjFXN1VpVVY5MDI3Y3pkNFNtcC1oQU5pS1AxS0NvR3Nkc0k2WDhPdENsSkZtM0RNOGU3RUlyZjI0UVZjQlBfZHlGUWUyNUFjS29YdUNIWVY1RmJDQ0VZNk53blJkX3pWUzRESDhEbVdEZDRLZkpXdklqVWxkcnBKcHdhUmZGZDVZaDJRYkhGWTBvcHFnSVJoRmVTSDNWUzRwMExKZXlR?oc=5" TargetMode="External" Id="rId33"/><Relationship Type="http://schemas.openxmlformats.org/officeDocument/2006/relationships/hyperlink" Target="https://news.google.com/rss/articles/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oc=5" TargetMode="External" Id="rId34"/><Relationship Type="http://schemas.openxmlformats.org/officeDocument/2006/relationships/hyperlink" Target="https://news.google.com/rss/articles/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oc=5" TargetMode="External" Id="rId35"/><Relationship Type="http://schemas.openxmlformats.org/officeDocument/2006/relationships/hyperlink" Target="https://news.google.com/rss/articles/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oc=5" TargetMode="External" Id="rId36"/><Relationship Type="http://schemas.openxmlformats.org/officeDocument/2006/relationships/hyperlink" Target="https://news.google.com/rss/articles/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oc=5" TargetMode="External" Id="rId37"/><Relationship Type="http://schemas.openxmlformats.org/officeDocument/2006/relationships/hyperlink" Target="https://news.google.com/rss/articles/CBMi-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oc=5" TargetMode="External" Id="rId38"/><Relationship Type="http://schemas.openxmlformats.org/officeDocument/2006/relationships/hyperlink" Target="https://news.google.com/rss/articles/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oc=5" TargetMode="External" Id="rId39"/><Relationship Type="http://schemas.openxmlformats.org/officeDocument/2006/relationships/hyperlink" Target="https://news.google.com/rss/articles/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oc=5" TargetMode="External" Id="rId40"/><Relationship Type="http://schemas.openxmlformats.org/officeDocument/2006/relationships/hyperlink" Target="https://news.google.com/rss/articles/CBMimgFBVV95cUxPYWl3bzY2TEl0WEJaRWtLS0ZfV1l4NU5pdzJFbTl0NDgwZ2VEWHBBYzdBUGFXYnFYRGdRZm1UMHhPZjA0Y1VHSXowUkROclY5cDNwZ2VYMURJN0kxV0ZzSHpFcEI0TWtLMlpKd2ZwVlRMQm02S1hiRVFnVjQzaFNFenRXZC1KVm9KbTdrd29MWUh2blh6Z3dvU1Nn?oc=5" TargetMode="External" Id="rId41"/><Relationship Type="http://schemas.openxmlformats.org/officeDocument/2006/relationships/hyperlink" Target="https://news.google.com/rss/articles/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oc=5" TargetMode="External" Id="rId42"/><Relationship Type="http://schemas.openxmlformats.org/officeDocument/2006/relationships/hyperlink" Target="https://news.google.com/rss/articles/CBMiV0FVX3lxTE5nUk04OXo3UnhBVG15ZUJWaVhiSnJNUktNeS1pSThMN2F5YjUyTUIyZFBOU0EzQzVpWUh1WnluaEFlZWwwOXkzRkNXbVp5T1B6d21seURtVQ?oc=5" TargetMode="External" Id="rId43"/><Relationship Type="http://schemas.openxmlformats.org/officeDocument/2006/relationships/hyperlink" Target="https://news.google.com/rss/articles/CBMitwFBVV95cUxNMDVaazJFSUV2alBkdW9fZ0hROEdaZkdfdVFBdWF3cEFIZ2dBdGgwdzU1VFF6MkFKd0xHTUhUWkxGelZEZnlfajJZM1lSMGR6blR6M3pVTjcwaXNuTnRUQUotcDZzQWFMOXptTGtENHZVTFBUTlg0TzVDaXNfS1dFakpMeWM5SHlYaWVRMS1JazBoeVVYempvNndFVmJpV2FnZ3JuNm02cGNmdV9mX0E3ZjhoeERqMTg?oc=5" TargetMode="External" Id="rId44"/><Relationship Type="http://schemas.openxmlformats.org/officeDocument/2006/relationships/hyperlink" Target="https://news.google.com/rss/articles/CBMiswFBVV95cUxPcmtYR3dlcWdXU1lkZlc2XzJzQUU2N3IwWEZEejd1c3c2Y1dEU2M5Y3hOZWh3aHF0ZUpGY2tvU1lYVEZXbFNRUkl6ampycXh3Y1JZRmh3eDkzTUtqTnhWRnF4VlhZU1FycDdXaVNvWGMxT3ppM2lmVUZiSnYzSGk3QWRLZUdLcnlPYXdZTDZPSVkxOHZLLTFvbXZMR0lsQmNTcXpSWVFmWHc3eTVSNXVsM1ZQbw?oc=5" TargetMode="External" Id="rId45"/><Relationship Type="http://schemas.openxmlformats.org/officeDocument/2006/relationships/hyperlink" Target="https://news.google.com/rss/articles/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oc=5" TargetMode="External" Id="rId46"/><Relationship Type="http://schemas.openxmlformats.org/officeDocument/2006/relationships/hyperlink" Target="https://news.google.com/rss/articles/CBMimgFBVV95cUxPVU94dFhyMVNPZFBOeklEbER6NHMwNzZpZDdzamhwdXpTYWZjWkh1cVN6WFhGV2UxZWlyVEZrOUlRak5NSFQ5UWstcjFjMHNzWFNuTzZaRUFVWXVhM0YzU0F6clJYMWp1VlBSOTV2SEdTYlVFbTZkYTJQMzYyNzRZWllNaWhDWFduSmhKcmxicm51d1JuMGVjR3R3?oc=5" TargetMode="External" Id="rId47"/><Relationship Type="http://schemas.openxmlformats.org/officeDocument/2006/relationships/hyperlink" Target="https://news.google.com/rss/articles/CBMikwFBVV95cUxQTGY5bk82SXRsTUdRWldyX0FMNE9heHk4NHRjTFBMOVJzcWZYamVaRHpGaVZNZ0s3WV8tMmZUTzVLZlhXZnBsemtZMm1aeXFGZUM2RmM1eEdRdjk3MFNlX0ZIMV9aRktwdHh5cF9CTE1lR0IxMkhUME5femU4Rm45UlBDOVlVdUZsMjZNOGt6YjVmRE0?oc=5" TargetMode="External" Id="rId48"/><Relationship Type="http://schemas.openxmlformats.org/officeDocument/2006/relationships/hyperlink" Target="https://news.google.com/rss/articles/CBMinwFBVV95cUxOMm9fNy1HYkR2VTIteDVSZEx5Q1pXTkthZzNYbmdzNTRuZXNDUTVSb2RReTNRVUhtR2diczktRVZWZGF6VEVqd1hNUUdPZFNaczRuZVlzRmVUbHVNYlo3dlMzalhURU9vSzI0aW9vWmJ1ekdYWWR2VVlZem4xcDNUaFdNdDdpaFdrT0tBWWNXa1JZMWdwdUZ2UU1lUXFhb28?oc=5" TargetMode="External" Id="rId49"/><Relationship Type="http://schemas.openxmlformats.org/officeDocument/2006/relationships/hyperlink" Target="https://news.google.com/rss/articles/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oc=5" TargetMode="External" Id="rId50"/><Relationship Type="http://schemas.openxmlformats.org/officeDocument/2006/relationships/hyperlink" Target="https://news.google.com/rss/articles/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oc=5" TargetMode="External" Id="rId51"/><Relationship Type="http://schemas.openxmlformats.org/officeDocument/2006/relationships/hyperlink" Target="https://news.google.com/rss/articles/CBMiXkFVX3lxTFBxLUpXOHh3Z1BMOHZRamlZR1BuVGdaOVZLUmJSdkNiQ2dBLVZIWnhMbi1WMUpzUktaQm5pazNKdGFKMjZHNUdGRHcwWWd3U1Rac1c5M1RjOF9qQjVxY1E?oc=5" TargetMode="External" Id="rId52"/><Relationship Type="http://schemas.openxmlformats.org/officeDocument/2006/relationships/hyperlink" Target="https://news.google.com/rss/articles/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oc=5" TargetMode="External" Id="rId53"/><Relationship Type="http://schemas.openxmlformats.org/officeDocument/2006/relationships/hyperlink" Target="https://news.google.com/rss/articles/CBMiwgFBVV95cUxPbkszOTlkTE9MazlfWEZIb0hrTW4wTnZtYVhxazlvUmt1QjRuTVh2NzFQZTdnWURJU0hDRFl2cXJUSmt1X09jcC1sZFRLd1pTUXF3dUJsRUFORGplOHpTVGpaOWg3VnNVcmdYLXBrZTJKOTRBNjNta0xkR093V21VaEZLV0ZCaE5ZcGt3Y3ZVMkJieHNsTXQ3RUIzZTJIdjZZRjZiRmlacDRMRldjYnYtblZrTEJWei1WWHhGM3lqNnYtUQ?oc=5" TargetMode="External" Id="rId54"/><Relationship Type="http://schemas.openxmlformats.org/officeDocument/2006/relationships/hyperlink" Target="https://news.google.com/rss/articles/CBMiuwFBVV95cUxQdTEzZ0Z4M25ZaXRoLWgwb01DNW8xZjRTcmRHdFliV2tuWExXR2g4dzdqR191RHVqdXJIa092VTB1NXN5ZmRsRG91MHM2d2hQd1Y4dE1XbVZ5ekd3MjdWbmJVai1kUU5wT0k2RzJ3b1hvdkRlZjZxT0lYbkhTS00yZTV2M1pDY2VrMk56NGNnWkZyWUdvRTM1d3pHS3llRklaSVlKQWRTQWxwdzNhWTlEVjFXRXMzbllWelRV0gG-AUFVX3lxTE9Oc2hhNFpzVFhfRmVJbVhGdHFiQVhIY2R0dllKOUFIZ1pScWQzS3dpWFgxblhxUXpJcEVwZ3hrTnZCYVJSTmY4cTg2X2hZTHZQYjVWSzM5Y293UVZOSm9hZTI2dV9XQUFtTXdBOG1acTZURlY4VXRHV0M4TndfUV9SSG8wcElMdjRLUjJOdHZBbFB1ZHlXNDZVZzU0bnlURFlNV21NdUhUcVF1VXMxTzUxM1h3RHBlektZZ2tGdHc?oc=5" TargetMode="External" Id="rId55"/><Relationship Type="http://schemas.openxmlformats.org/officeDocument/2006/relationships/hyperlink" Target="https://news.google.com/rss/articles/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oc=5" TargetMode="External" Id="rId56"/><Relationship Type="http://schemas.openxmlformats.org/officeDocument/2006/relationships/hyperlink" Target="https://news.google.com/rss/articles/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oc=5" TargetMode="External" Id="rId57"/><Relationship Type="http://schemas.openxmlformats.org/officeDocument/2006/relationships/hyperlink" Target="https://news.google.com/rss/articles/CBMixgFBVV95cUxQb0MyR2JybndJRkFyVzhpUGVpT2xnSW5XUjNYNmZveDVDZi1jOXpYbGZZbjU5OW1HRGhmd2xMRXo4cmdUeEN2M1BUMkVWSkk3RUhoTFdVUkJUVzBTVEZIdmFQcTFfazNOR0I4VDAzU2NtTDhwRDk5ZmdtcHR1RDBvTTRUTDhKbDFXVy00QV9ZMFl6c2lkbW9aQjdyWDdCUjRZME9YVVhoaFh6OF9Dd01NNWZwSFV3NllnbFFLSGFxV0hCeWVQOWc?oc=5" TargetMode="External" Id="rId58"/><Relationship Type="http://schemas.openxmlformats.org/officeDocument/2006/relationships/hyperlink" Target="https://news.google.com/rss/articles/CBMi5gFBVV95cUxNVWxzdFhYaDZqdFlWSHp0ZGlKT3RDeEp4SnFBeTJVRmdKdjJoa2lHQ090ZHpGNGRVWmVYRWJfZmo3ZXNwbDh0Sk5kLWVWV0oxMW80TlJYNWtOUFlJNGVUcUdaMmFMUkgtN1ZHeFptNHBKM0sxVVlDV3g0MWFSWG1wQ2hfcHd3UElMNVpLVkJ3bklRczNwX2FZNFhIUEtvRXNvYnhtOTN6a0U3MEI5UlEzR1RfLWIteTJjdjg4VGpqZDhhQmtjclkyV3lheE8zZnFRTkRFMXhMQ3RhZnZWdUtFSG5PTE13QQ?oc=5" TargetMode="External" Id="rId59"/><Relationship Type="http://schemas.openxmlformats.org/officeDocument/2006/relationships/hyperlink" Target="https://news.google.com/rss/articles/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oc=5" TargetMode="External" Id="rId60"/><Relationship Type="http://schemas.openxmlformats.org/officeDocument/2006/relationships/hyperlink" Target="https://news.google.com/rss/articles/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oc=5" TargetMode="External" Id="rId61"/><Relationship Type="http://schemas.openxmlformats.org/officeDocument/2006/relationships/hyperlink" Target="https://news.google.com/rss/articles/CBMiigFBVV95cUxOclhWUENnVDN5SVU4SmFQRnNGQkw0VDVDLUJZVW1FT2JpM1lOMjNqcl9XX2FkVjZpb0NpOTFXb1A1ZHllUTN2VWZfZUFHcktNWklfcldqaFhmM1pMVVVySjJ1cmlZR0s0VlVFVHExT3lmd2Q1ZVIwUm1wcFhhUTZ0d3JQMjFEY2hacWc?oc=5" TargetMode="External" Id="rId62"/><Relationship Type="http://schemas.openxmlformats.org/officeDocument/2006/relationships/hyperlink" Target="https://news.google.com/rss/articles/CBMigAFBVV95cUxPVVBvVThBTkRaeHZtZ3NqcTRlTGFJNFlNY0NzaTZfTWdCY1NxeHZUeFNkT3huUTJDYUFqV3FYbW5BNWFLWUVqT2FmMUFpX1lDZ1FRQWFpVWZlUmZyaTZYZ2hRNXZwN0JkLWJlektScVAzRmJ0VUpQczNmd1lUa3NpNw?oc=5" TargetMode="External" Id="rId63"/><Relationship Type="http://schemas.openxmlformats.org/officeDocument/2006/relationships/hyperlink" Target="https://news.google.com/rss/articles/CBMifEFVX3lxTFBlc1llMkl6NkdyQkhvS0o1cEFSQ1JBdDNfM0JYeEhmVzU4Z290TGJsekFqMm4zcU5PcmtMZm45bU9YQ2RSX1BOek05Wi0tNWhLTHNwck1FNzZJRklIQlQxLWFzZG5XenZ0STNPb3hEa0dhb1J5cEdpeFdvUk8?oc=5" TargetMode="External" Id="rId64"/><Relationship Type="http://schemas.openxmlformats.org/officeDocument/2006/relationships/hyperlink" Target="https://news.google.com/rss/articles/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oc=5" TargetMode="External" Id="rId65"/><Relationship Type="http://schemas.openxmlformats.org/officeDocument/2006/relationships/hyperlink" Target="https://news.google.com/rss/articles/CBMiuAFBVV95cUxQWVQyVS1RSEpqWml3ajhOMy1lWGxJSUF3RGpNTTh6UTVzZ1o0NHgyamM0YWpYNVNRTGlQaFhTY1hmdGlZVHlkMEc2YjJmSGxDdzRfbmhtR2R1bi1JZHBuS2tuUU9WNzZ0eUduMEk2WlROTldYbkVRNk9ZU1RLWjNvb2tsVUF3cUU0V1NyNF9uNGVjU0RWTVNFMHYtaUlIYVBnOFFoeEFGdHJFTXRadkxlWGxIMTdEajlx?oc=5" TargetMode="External" Id="rId66"/><Relationship Type="http://schemas.openxmlformats.org/officeDocument/2006/relationships/hyperlink" Target="https://news.google.com/rss/articles/CBMinAFBVV95cUxNT0UzVWg5RzEwQ19vdTRobFpWZ2NsdDU3bnI2OGVteTNWOUNEY3RHd3JlUE1vSnMxck84Z3Z5bnQ1Wjdfd3JFd0lQVGE3aURCRnJKZ3BGQUVzQnYzWTdOUm0zYkc0TzBkVThWaUsxSkdYREZQQU80b2pIMVJTTkJwdHZhRUthYTZ6aG1BRGpRVndrTW5senFnUkxfNVE?oc=5" TargetMode="External" Id="rId67"/><Relationship Type="http://schemas.openxmlformats.org/officeDocument/2006/relationships/hyperlink" Target="https://news.google.com/rss/articles/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oc=5" TargetMode="External" Id="rId68"/><Relationship Type="http://schemas.openxmlformats.org/officeDocument/2006/relationships/hyperlink" Target="https://news.google.com/rss/articles/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oc=5" TargetMode="External" Id="rId69"/><Relationship Type="http://schemas.openxmlformats.org/officeDocument/2006/relationships/hyperlink" Target="https://news.google.com/rss/articles/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oc=5" TargetMode="External" Id="rId70"/><Relationship Type="http://schemas.openxmlformats.org/officeDocument/2006/relationships/hyperlink" Target="https://news.google.com/rss/articles/CBMie0FVX3lxTE9xU0xwbVRKWVJacVV1ZjVWd3VBeXNlY1RITmJGYi1MaW1jVkFsM0ExS05NMUt3Qm1COURQNC1yQklnbkRDd0FZSVY3VGY5Wk05aWdJOHpVYkl1NjBPaGZwcURDUy1NbGcwMGUtWDRYcmhrRFRlcFZDSFFFVQ?oc=5" TargetMode="External" Id="rId71"/><Relationship Type="http://schemas.openxmlformats.org/officeDocument/2006/relationships/hyperlink" Target="https://news.google.com/rss/articles/CBMihAFBVV95cUxPUzJ6anFNWmxMU0JqNHBSSDAzUWpaVEJXa3RQeTM2MWpjOU1ZcjFySlJEVWM0a1dRR1BhejVxY1BOR1BWMzdwUUpZbi1tTkZxdjQzTHVlb1J5akw1VFBfc0J3UkdTcHc1TzM1dkhuSDkwY1FXc1h1TTdwVkhDSDNNQU9rV3I?oc=5" TargetMode="External" Id="rId72"/><Relationship Type="http://schemas.openxmlformats.org/officeDocument/2006/relationships/hyperlink" Target="https://news.google.com/rss/articles/CBMibEFVX3lxTE95Q3VtQ0REZ1hGcjhTMWdhbGNhSUtkWndjTVkza1pXVzdTbldpZm9sQTVnZ2VlRmJUbkVNWU5nMm1qQ1NSM1pwZHhzVzFhLTIyV09yVVNXamdMd1lua2RnRUxiaEllOEtDZ2lMcA?oc=5" TargetMode="External" Id="rId73"/><Relationship Type="http://schemas.openxmlformats.org/officeDocument/2006/relationships/hyperlink" Target="https://news.google.com/rss/articles/CBMia0FVX3lxTE81bHo3YVNYX3B0Q1I1VU96SVdMcHpQUWR5LUdFdDNVZHFsU3U4VlRQVE1LRVJmUTc3SGVXeFRQelpSa2FoTlg4NFRNSTA5RkRhX2VMRXZuYjlQUjZyYjJvMHFNUnRrSXE1Qzhr?oc=5" TargetMode="External" Id="rId74"/><Relationship Type="http://schemas.openxmlformats.org/officeDocument/2006/relationships/hyperlink" Target="https://news.google.com/rss/articles/CBMifEFVX3lxTFBsUlJVMjk2QUc5YUlpbXdMM3BuckNVS3l4cUI4MFQteHYxQktMWkhnNFhYNUFUa1dmQWpMWDd0akxVS29VeFFXdm9VeVF4U09CWDN1VGdFZHJXbVBVQmxweUNKR096Um43VHZ1SFRDUHJzUVZIZ3VBdEE4aTY?oc=5" TargetMode="External" Id="rId75"/><Relationship Type="http://schemas.openxmlformats.org/officeDocument/2006/relationships/hyperlink" Target="https://news.google.com/rss/articles/CBMiywFBVV95cUxQNlEtRTlmeEdoSmpfbjBGUjVWNUdfVXcyN0c0LTdLOVJyZ0tVX0ZBMUc2M2dZMGY0Nmp4U25mRTZBUlJmN2pyUHRaZGN0SG8xUmFHNkFLeWlUUnQyamIxOWZ4and2dlFGWkUtb19tN0o5WldlcUxkOVVwM0IyRDdfSU4zdExqV3NFaTlmclM4djFVWFc3aF9kV0RnalJXVGxkWHJSWkE2SkMxMng5cWVUVGpuT2ZDcU5ISnBlbjJVcmwwbkFvTk9hd2ZkVQ?oc=5" TargetMode="External" Id="rId76"/><Relationship Type="http://schemas.openxmlformats.org/officeDocument/2006/relationships/hyperlink" Target="https://news.google.com/rss/articles/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oc=5" TargetMode="External" Id="rId77"/><Relationship Type="http://schemas.openxmlformats.org/officeDocument/2006/relationships/hyperlink" Target="https://news.google.com/rss/articles/CBMikAFBVV95cUxNYlBmNHF3T24wXzBiLS1QRHp6X1hpZEtOWHhtZjU1NV9TR3VraFpfM2J4aWREVHdPcWhzaGtHOVVHM0hsb1ZiM3prallxN0dmUmRrM3F3QUl1WTZzQk05YmFHTmswUWVKNWQ1bGRJMnRsOTRrX3NrM1JBRmI0Nmw5TG9KSkt1LTdzd2MwTko2NEs?oc=5" TargetMode="External" Id="rId78"/><Relationship Type="http://schemas.openxmlformats.org/officeDocument/2006/relationships/hyperlink" Target="https://news.google.com/rss/articles/CBMiigFBVV95cUxNTlRlMnE1Smcyc3JSd0dING85ZXQzcF9CRnNfbnlBTXoxRjlfQ3BsYVdYWEp4aVFZLUlBZVFHSUlDa2dOV09mdWRDTnZjbW1tRVc1VVZUTUo3NlNfQmQtYVBfT09VcEpoX0tIbF9DZXRXXzJidDFNSGVIeWNvQ2hieklkaVcwWDBHMXc?oc=5" TargetMode="External" Id="rId79"/><Relationship Type="http://schemas.openxmlformats.org/officeDocument/2006/relationships/hyperlink" Target="https://news.google.com/rss/articles/CBMiwwFBVV95cUxOMzRwZ1N4UUVlZEUwVG1lUEVIRDBYZVFqZ2xkQ0xQUEJNVTFYYmlDTkdzems4WmozUXVvb1pLZUhVRG5oM1pxM2R4V0VsMy1ZcGhjc215c05EMTJTbGN0OU5PNzkwaWd0MjFqal9MVE5Zck5aUzFQaEtmdDVMTURwQU9xV2M5a21QQ3J5cXBJcFJaQkpvalhZT3N4eDJ2N3BOWFhzX0txY01mSnVaekd1UFZBSUlFVHVnY29KU3JQUGZuQUE?oc=5" TargetMode="External" Id="rId80"/><Relationship Type="http://schemas.openxmlformats.org/officeDocument/2006/relationships/hyperlink" Target="https://news.google.com/rss/articles/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oc=5" TargetMode="External" Id="rId81"/><Relationship Type="http://schemas.openxmlformats.org/officeDocument/2006/relationships/hyperlink" Target="https://news.google.com/rss/articles/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oc=5" TargetMode="External" Id="rId82"/><Relationship Type="http://schemas.openxmlformats.org/officeDocument/2006/relationships/hyperlink" Target="https://news.google.com/rss/articles/CBMiqAFBVV95cUxNX1gtZk5KSnM0MFA4UmpxYzdFX3hWV3FFTHFFTDRPd3pfMlU4T1pHN1RIRlFuaXRHWkw5Zk9zX0hnUWd2b1R6Y2dLWFRoR3RkaUYzQ1dQcUplWW1oNFBCcXItZEpQd2NneWdrNTF0cFJUWnlVbExBaWJ6OV9TYkF6RVdkVk1CaTlLNWZLWmlfVVJWX1lPaWZ6M0o0NU5oT212MlB5MnRMTWk?oc=5" TargetMode="External" Id="rId83"/><Relationship Type="http://schemas.openxmlformats.org/officeDocument/2006/relationships/hyperlink" Target="https://news.google.com/rss/articles/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oc=5" TargetMode="External" Id="rId84"/><Relationship Type="http://schemas.openxmlformats.org/officeDocument/2006/relationships/hyperlink" Target="https://news.google.com/rss/articles/CBMipAJBVV95cUxPWDJ0TFA2aGFfLWZFTDlPUkxMVzNJeUdzTEx2U2RSY0U0U0EtV1dLc2poYkxFTlduVW5wUWMzLVBNdUZEYnFnUmpiSEc0T0QwNkt0d3EwRE5WdFpyek1Ydmc0eF9KY2JRZFdYMHhuQ2tpMklYVEVHano2Nk5mY0lDY3ZCcG5GSzZUOGozZWV3RUFZYkkxMk0yU0FjVDRaaEVZNUFpcVBvLWxVOUp6aWYtYzZnb0VNUVl6T2N3VEhuajZpeEVWRDlYRWpQSUJwTWJTWVBKbkU4RnoyNVZ6dTNqVVBKYUtfWDZZUmpMeTFfb01vUG00TDFqdTZQdFlrel96RFZfSDZYRVBJQnhYQkNWVVV1VkNVQTZoWjJ0WG5JeGRyQ2px?oc=5" TargetMode="External" Id="rId85"/><Relationship Type="http://schemas.openxmlformats.org/officeDocument/2006/relationships/hyperlink" Target="https://news.google.com/rss/articles/CBMiygJBVV95cUxPZUlSb2x3cUNsdW5Mek5zbHh3cjRmQmJaZnViOGZ5N3ZRZFNReWhKcnVXNUJNWW9tUnNZMVo1M1B3bG9aalRjZHhNQkYzbjhfbmRxdHJRcTFFeTVweno3NThFNE5HRUdvZXQ5dEFMYTF1X2pReVdFNEgwbDAzQUxQWXBpbVlyQkcxaHBHS3VfTnpEUkw1R1RNdEhPYzJkelVhS0VFNWxoWVRfZExuSl8wZnMwNGtiMk9ZZFR0cDZVckJDUGk2Rk1YQVVhV25RUVc4dWwxX0hsYXh0c1dTLXZ5Q0FwYkxBaUlJT0JIVGV5NHd3dDdGUTJnUlpBb2tuSVB1VlNKa3ZMbU9NNWpsRkRFSU5qMWNvamRrMnJFcWVzcDR1S2x4b3FiUVhKSGVGZzN0VUlOUFowa1IzTzlxN2RtczltTGpLQkNVdFE?oc=5" TargetMode="External" Id="rId86"/><Relationship Type="http://schemas.openxmlformats.org/officeDocument/2006/relationships/hyperlink" Target="https://news.google.com/rss/articles/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oc=5" TargetMode="External" Id="rId87"/><Relationship Type="http://schemas.openxmlformats.org/officeDocument/2006/relationships/hyperlink" Target="https://news.google.com/rss/articles/CBMixgFBVV95cUxPbzY2MUNzNm4ySVA1VWZlcW9Qb3UtczFGV1NuSnpWS0hGQUhtYVVCTlJrWmp2Z1FqOHFydkVNMkdMYTQzYnZZeFVPbDBnUWc2Um9WWWljT2pzZjJQN2hZRmZIazRnX1hUMWNRVUkyMmp4Q3E1ZWFES0RBWGIwTHNaRWRKekc1RlhxdGtTN0pXMDVFOVVub1Z1TFJfbFctTERZWFI1SVB6d1dfc09CeEFYbGtmZVBmRFNqVzJOamxPSTM2bzZLNUE?oc=5" TargetMode="External" Id="rId88"/><Relationship Type="http://schemas.openxmlformats.org/officeDocument/2006/relationships/hyperlink" Target="https://news.google.com/rss/articles/CBMiyAFBVV95cUxObGRPTURtWEZkU0s2czN2TFowWVFOc1hvU3l0TEhWRVFuS1F3a2VmRW00MHlYX1dySnBKQzE0NkpEaGdiOGhSVEZrbTNhRlBseV9Lb204Q08tbWdFREhUUHRMZGdIU1h1RUNQNjN3TEdQN0VkZnhXTVB3MnBGbTFsUnY1QWN4ZndXYi1QN1AwcVJ3aVZnZkphNi1nbldxajJ6djZDbGZHYUxZS0FEdEVJWm8xSzVHOURpQWkwRHUxVTJpemhSOUc5aQ?oc=5" TargetMode="External" Id="rId89"/><Relationship Type="http://schemas.openxmlformats.org/officeDocument/2006/relationships/hyperlink" Target="https://news.google.com/rss/articles/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oc=5" TargetMode="External" Id="rId90"/><Relationship Type="http://schemas.openxmlformats.org/officeDocument/2006/relationships/hyperlink" Target="https://news.google.com/rss/articles/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oc=5" TargetMode="External" Id="rId91"/><Relationship Type="http://schemas.openxmlformats.org/officeDocument/2006/relationships/hyperlink" Target="https://news.google.com/rss/articles/CBMiyAFBVV95cUxQUl9Cb3RNa19ZSk1zX1ZuVUF3dktGdVFXYjBkbEVKajdjV1NyS2E4MHRkdVJieDZEeXRKNjhGSTE4b2l2WDBnamItM00wVTVTVzhmNF9PZXB4OUZjRExYQ1pWdmpFYzNwc2s3M3BwR1Y5MFhTRUlSdVB6a0lWWE83eVNKUDUyTU1fbXhqcHZjbkoycmpOd1RjU0JlSE05UV9wVEM1V1RZSFRxZ0xDcXBkemlITGVpTzYyTkJMTDEzSXhYZHVsak9ueQ?oc=5" TargetMode="External" Id="rId92"/><Relationship Type="http://schemas.openxmlformats.org/officeDocument/2006/relationships/hyperlink" Target="https://news.google.com/rss/articles/CBMiswFBVV95cUxNWDJqYmxJdGtiS3VzMHY0aFVac2x4X3k3cnlsSjFaQ1RvX1hvblpYU3RBYi12Vk8yYm1LMDVBOFR4SmtiQkVvVTBYYVNzdlJ0bFFacjVLS3VtcDlFVmc4czJhZk5BLTRjVldKcE5OWXZjSHRJb2lyVUVxR3J6aGdMUUoxbWlMazdENDc1bjJqenhqeXo4V040THNNMGNPdmYyamdlcVBWUEc1cS1OOW80SjZrcw?oc=5" TargetMode="External" Id="rId93"/><Relationship Type="http://schemas.openxmlformats.org/officeDocument/2006/relationships/hyperlink" Target="https://news.google.com/rss/articles/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oc=5" TargetMode="External" Id="rId94"/><Relationship Type="http://schemas.openxmlformats.org/officeDocument/2006/relationships/hyperlink" Target="https://news.google.com/rss/articles/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oc=5" TargetMode="External" Id="rId95"/><Relationship Type="http://schemas.openxmlformats.org/officeDocument/2006/relationships/hyperlink" Target="https://news.google.com/rss/articles/CBMiugFBVV95cUxQMjVFMGk3RjFrUDBTa2xmazlBbFpJOXNhRGUwa3dHV21DTE5rVWFlb3BaWEZ4YjcxT25vUlY0Rm90TTVuU1FWdG9EeU42aTI0MjQ5M2FzbnVjRFBtTWZxM3QzaDBTMUdqdkR2eHAyZWoza2Z5Y1FYX3ZUdUJfcnJ5b2xjZ3dBc1hWZWN0Y3lfNFh1MEVVLUVkT2ZRdW8yeTd0bUs1OGdoeHZlYzNkcEhxLWVrTXh5RnJCU3c?oc=5" TargetMode="External" Id="rId96"/><Relationship Type="http://schemas.openxmlformats.org/officeDocument/2006/relationships/hyperlink" Target="https://news.google.com/rss/articles/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oc=5" TargetMode="External" Id="rId97"/><Relationship Type="http://schemas.openxmlformats.org/officeDocument/2006/relationships/hyperlink" Target="https://news.google.com/rss/articles/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oc=5" TargetMode="External" Id="rId98"/><Relationship Type="http://schemas.openxmlformats.org/officeDocument/2006/relationships/hyperlink" Target="https://news.google.com/rss/articles/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oc=5" TargetMode="External" Id="rId99"/><Relationship Type="http://schemas.openxmlformats.org/officeDocument/2006/relationships/hyperlink" Target="https://news.google.com/rss/articles/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oc=5" TargetMode="External" Id="rId100"/><Relationship Type="http://schemas.openxmlformats.org/officeDocument/2006/relationships/hyperlink" Target="https://news.google.com/rss/articles/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oc=5" TargetMode="External" Id="rId101"/><Relationship Type="http://schemas.openxmlformats.org/officeDocument/2006/relationships/hyperlink" Target="https://news.google.com/rss/articles/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oc=5" TargetMode="External" Id="rId102"/><Relationship Type="http://schemas.openxmlformats.org/officeDocument/2006/relationships/hyperlink" Target="https://news.google.com/rss/articles/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oc=5" TargetMode="External" Id="rId103"/><Relationship Type="http://schemas.openxmlformats.org/officeDocument/2006/relationships/hyperlink" Target="https://news.google.com/rss/articles/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oc=5" TargetMode="External" Id="rId104"/><Relationship Type="http://schemas.openxmlformats.org/officeDocument/2006/relationships/hyperlink" Target="https://news.google.com/rss/articles/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oc=5" TargetMode="External" Id="rId105"/><Relationship Type="http://schemas.openxmlformats.org/officeDocument/2006/relationships/hyperlink" Target="https://news.google.com/rss/articles/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oc=5" TargetMode="External" Id="rId106"/><Relationship Type="http://schemas.openxmlformats.org/officeDocument/2006/relationships/hyperlink" Target="https://news.google.com/rss/articles/CBMifkFVX3lxTE9hRVNFbXVSdmlBQjU1SjVINm42NjRkZEdJeGJGdktVNC1wbVZEUGJ2ZUJQVU5rX0VHdFhZUHRPdEVfeVllWWpqZXk2WEF2dFdFblViVi1aY0xRLUZoSEprUHFFb01VdUxSX1ZheWQxaDBFVWlYc3ZnenZETjhJZw?oc=5" TargetMode="External" Id="rId107"/><Relationship Type="http://schemas.openxmlformats.org/officeDocument/2006/relationships/hyperlink" Target="https://news.google.com/rss/articles/CBMic0FVX3lxTFBfZUw0Z3FFMW5wMEh2Y3hDQWYzaXBDdjYwOTU0U0F5QUhQOUJrOVBwaklBamt2WlZRV3BpSVk2cllvR1h5OUZuZ1JIX0UzWVllUEJfRVhGM3dFZzdRenlJMXpwbVp6WmhsZ0ZfdVY5bEdyaVU?oc=5" TargetMode="External" Id="rId108"/><Relationship Type="http://schemas.openxmlformats.org/officeDocument/2006/relationships/hyperlink" Target="https://news.google.com/rss/articles/CBMihAFBVV95cUxQVTBCYlNyeThHejZrRTVGVG5VTHhVZ0VFUUUybnZDRGtKSERtZ1laVGN1RGN4cWdVMHlQYVFmaElKR0RCbkxwVWtfdjE1OWFQNllYXzJjd01SS3pNZU96UU5GNkFjeDZkcVYxdHotUzYyWm9LOGM1WVRUSGF6YTVWMVluSm8?oc=5" TargetMode="External" Id="rId109"/><Relationship Type="http://schemas.openxmlformats.org/officeDocument/2006/relationships/hyperlink" Target="https://news.google.com/rss/articles/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oc=5" TargetMode="External" Id="rId110"/><Relationship Type="http://schemas.openxmlformats.org/officeDocument/2006/relationships/hyperlink" Target="https://news.google.com/rss/articles/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oc=5" TargetMode="External" Id="rId111"/><Relationship Type="http://schemas.openxmlformats.org/officeDocument/2006/relationships/hyperlink" Target="https://news.google.com/rss/articles/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oc=5" TargetMode="External" Id="rId112"/><Relationship Type="http://schemas.openxmlformats.org/officeDocument/2006/relationships/hyperlink" Target="https://news.google.com/rss/articles/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oc=5" TargetMode="External" Id="rId113"/><Relationship Type="http://schemas.openxmlformats.org/officeDocument/2006/relationships/hyperlink" Target="https://news.google.com/rss/articles/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oc=5" TargetMode="External" Id="rId114"/><Relationship Type="http://schemas.openxmlformats.org/officeDocument/2006/relationships/hyperlink" Target="https://news.google.com/rss/articles/CBMitAFBVV95cUxQOEYyUndlLVVNQjN5azhUSlBodVJLTmFRMEFwbFBERnNrRkFKR1V4WGNWRHdiQ1NIZEMxeGhUd0dFSnN1MjlYM3RZRVMxcy0tdUdfdExYRmItSVRXSElFQXM1Q25tZ3gzZF9UX2xzNGk5SFQyZ1VoRG91cDVrR2trbmlxQWVrT1BvbHJUUWdKM0VoUV9weFhCV1ZocV9uTDdBLXF1T0lWNlpVXzVJMVlNb08tcEE?oc=5" TargetMode="External" Id="rId115"/><Relationship Type="http://schemas.openxmlformats.org/officeDocument/2006/relationships/hyperlink" Target="https://news.google.com/rss/articles/CBMiwgFBVV95cUxObHlpWmRvcGozN25zX1ZGcy03NDVXeTJNNjdPT1hvdnFYaWpNYjZvVnZlZEdHLVEzRjJYdUZNbFdraU9yeFRyVzctTVlEb3hOOV9PTWY4UXdGZ2ZPTG5SZS1waVpXOGFoTnlfMVZ4cXBsRTFSMDFHMjBINEpUcEFXWmZaQVRqZUFUVk1MS192R2owa0VpWXBVU2c2cHlfV1lKSTJRWGhkd3NuYTUyS2xnaE9BZU5SOVEwb1Q3b3h1aDc0Zw?oc=5" TargetMode="External" Id="rId116"/><Relationship Type="http://schemas.openxmlformats.org/officeDocument/2006/relationships/hyperlink" Target="https://news.google.com/rss/articles/CBMixgFBVV95cUxNUVdZRlFHb1VXYy1sMG9YT1lndTJqS21mSTFKbTlzSUNGQURXV0tGbmxYSTNfVkJvYVRWSVVEX1l2MV8xbHlCVFNyeDFTQVh6WldVeGt3dUZobXRack5jRndHMWtmMERQc0NnZjc5NkZEVF9WSzhscFNSb2NQdzk1TU1tbjFyTmhacUdURWl3ZnRMT3lLNjY2YXdKWXlJa1NvWWNTSkU4TWV6aC04RXQ4Wm52R0lGTUkza3YtdjhHMGZDMVNlRFE?oc=5" TargetMode="External" Id="rId117"/><Relationship Type="http://schemas.openxmlformats.org/officeDocument/2006/relationships/hyperlink" Target="https://news.google.com/rss/articles/CBMi-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oc=5" TargetMode="External" Id="rId118"/><Relationship Type="http://schemas.openxmlformats.org/officeDocument/2006/relationships/hyperlink" Target="https://news.google.com/rss/articles/CBMiiAJBVV95cUxQT3N1ZXZHdU5QWlBFZVNaY2RqZzJyd3loeEhsenZyMzZSSC1yOV9lWnhJRDBJYVBISXhPSUI2R1NPUm4zVy1NQ3pvd19qRXBhZV8yRThkOWJfZi12bmlkbkhrbkJGYTJXdldLQVNuam52M2tidkg4SF94X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oc=5" TargetMode="External" Id="rId119"/><Relationship Type="http://schemas.openxmlformats.org/officeDocument/2006/relationships/hyperlink" Target="https://news.google.com/rss/articles/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oc=5" TargetMode="External" Id="rId120"/><Relationship Type="http://schemas.openxmlformats.org/officeDocument/2006/relationships/hyperlink" Target="https://news.google.com/rss/articles/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oc=5" TargetMode="External" Id="rId121"/><Relationship Type="http://schemas.openxmlformats.org/officeDocument/2006/relationships/hyperlink" Target="https://news.google.com/rss/articles/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oc=5" TargetMode="External" Id="rId122"/><Relationship Type="http://schemas.openxmlformats.org/officeDocument/2006/relationships/hyperlink" Target="https://news.google.com/rss/articles/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oc=5" TargetMode="External" Id="rId123"/><Relationship Type="http://schemas.openxmlformats.org/officeDocument/2006/relationships/hyperlink" Target="https://news.google.com/rss/articles/CBMisAFBVV95cUxQZmhIZkhKLWQ3U0EwaDlaTTZta1FjUDhJc2VZc29PX3pFUWRTU0dULUxSRGVvR1dKZFp5LVJCRXIxdV9ZSHE2X3RtQWxXNVpKR2g5WHR4dzlsTEdjdl9PTFhqRUY5RGgtbWNZOHZLeTdzdHRoUC1sV0RyLTA2Z2tmV1pueGZCNjZidlJGQXF4LU5LZWlFWUlqQWd5R1ZHbm1vMG9CWjJVelRUZEdkZHlpUg?oc=5" TargetMode="External" Id="rId124"/><Relationship Type="http://schemas.openxmlformats.org/officeDocument/2006/relationships/hyperlink" Target="https://news.google.com/rss/articles/CBMivAFBVV95cUxQeThRRElDR2Vxa1d3c0tEUGF5UHU1SmRCazNsVWlTa0dYYnRvV0I2ajRoRndoRFJ6MzZfM21GTHNxNm5qX290ZnE0b3J3WXppLXlocG9hVFpaZTk5ZjFvTmhVZmhhZDJudDFubTJ2REh4bm1yT0RSVEROMHBYSHVSeHRNT1EyTm1fWWktUkItWmUzcXVRbzNwdUlSTFZqRmE3b3FxWHJ4cjNrMnhDdVAyRlhzWUYzNWZEYVcwSw?oc=5" TargetMode="External" Id="rId125"/><Relationship Type="http://schemas.openxmlformats.org/officeDocument/2006/relationships/hyperlink" Target="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TargetMode="External" Id="rId126"/><Relationship Type="http://schemas.openxmlformats.org/officeDocument/2006/relationships/hyperlink" Target="https://news.google.com/rss/articles/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oc=5" TargetMode="External" Id="rId127"/><Relationship Type="http://schemas.openxmlformats.org/officeDocument/2006/relationships/hyperlink" Target="https://news.google.com/rss/articles/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oc=5" TargetMode="External" Id="rId128"/><Relationship Type="http://schemas.openxmlformats.org/officeDocument/2006/relationships/hyperlink" Target="https://news.google.com/rss/articles/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oc=5" TargetMode="External" Id="rId129"/><Relationship Type="http://schemas.openxmlformats.org/officeDocument/2006/relationships/hyperlink" Target="https://news.google.com/rss/articles/CBMiuAFBVV95cUxPdkdvclE2U2FTaTJwMENlTVRMcFNWRzFrMXc3TkJmRXYtVkZTd2hXSmgxVTVhMy1ja2hZT1NwbnhlN01kZm5UT3JEMjdTRW5FX3g0TzdRbHZwSzd3d1Q4WWh1cnp4U3Y1VVdsejBnYmpFeFRZYmxnNnZjNDZ5VmxlSmIyRldaNkkzZlAzeHJUYmE2Q0xZQVNnUG1CYjVSeUFpOEJLREZ1VDFndEJhVHlhTmFyZHY3MmUw?oc=5" TargetMode="External" Id="rId130"/><Relationship Type="http://schemas.openxmlformats.org/officeDocument/2006/relationships/hyperlink" Target="https://news.google.com/rss/articles/CBMizAFBVV95cUxOdjhrUmtJb19XME91VGVHc3dTMUF1WldJSVpOc29sdE5maF9lVXNpU09NZDQyUjlVUWIySTdXNzc3MEtwTkVnN25ISmxZdkFxdWpnUlNpMTBMQWJvU0hPRmREZlFlMFJjaS1GVmJTT0pXUGZ0VnBzV0ZZWGxfMWRqR19ndGhXbTVhb0QtNHBIZDJMZnBzdlM1MWVGTDBVc2xRbzZFd0FvRS0xWXVkdGFlbXkzNHR6ZWlicmxhSTJFaGlyV1FaZ1hfeFB2VUs?oc=5" TargetMode="External" Id="rId131"/><Relationship Type="http://schemas.openxmlformats.org/officeDocument/2006/relationships/hyperlink" Target="https://news.google.com/rss/articles/CBMiwAFBVV95cUxQejlpQVJiLVFMdW0wZlV0N3U0Vnh6UHozbHoxT2hIWmxBWXhUbkN3ZjgydlAzUDBESmVOa3ZjV0JOMzFYMGRtd2liQm5MOVBMTXRqSWcxX3p6ZnN0Nmt2eTVYTEM4OHE2TzMzQllrWFY0Znk1alJnTlpnVExjaW1zYzFqMDk5NWlDY1RPdk5IR2dINmhDVEQzckNIcThTWU90TjZKZU9MR2dJemtTeVJxenpZcGZzSHF0VnNvenplNUM?oc=5" TargetMode="External" Id="rId132"/><Relationship Type="http://schemas.openxmlformats.org/officeDocument/2006/relationships/hyperlink" Target="https://news.google.com/rss/articles/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oc=5" TargetMode="External" Id="rId133"/><Relationship Type="http://schemas.openxmlformats.org/officeDocument/2006/relationships/hyperlink" Target="https://news.google.com/rss/articles/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oc=5" TargetMode="External" Id="rId134"/><Relationship Type="http://schemas.openxmlformats.org/officeDocument/2006/relationships/hyperlink" Target="https://news.google.com/rss/articles/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oc=5" TargetMode="External" Id="rId135"/><Relationship Type="http://schemas.openxmlformats.org/officeDocument/2006/relationships/hyperlink" Target="https://news.google.com/rss/articles/CBMixAFBVV95cUxOR1hzaVpnSGVVMzdTcDBla0lIbE9RVTdOYnJFc2ZubFZGTG4wNUtKX29nU2JpSDFPOTVZUTAzcXJVbDJwWmplMEl5N0F4OHhDQ3BpUjNrSHhXRUg5VjcxMEVRblFXRk5wVlpCYlZGdVdEa3Q0RHRxZzhKQjFlUC1oM2pXUzVhOEpXdFFZNVVEZHpYcDZPQUJrTHJVYWN6aDRnVk5IbERISV9OTU5iT2c5enNCUWZMWXVsQzMtZFh0TUluRl82?oc=5" TargetMode="External" Id="rId136"/><Relationship Type="http://schemas.openxmlformats.org/officeDocument/2006/relationships/hyperlink" Target="https://news.google.com/rss/articles/CBMi-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oc=5" TargetMode="External" Id="rId137"/><Relationship Type="http://schemas.openxmlformats.org/officeDocument/2006/relationships/hyperlink" Target="https://news.google.com/rss/articles/CBMihwFBVV95cUxOZWdYU0xLYUJYR3QwY3N5RXNVb3c4cTMzbUlrcWVoRndKQVAwbmZqakRQeTB3Z3E4LUk1ckxpRGd5WURhaWNRNFlBZlVYRThLNnVfSzRGUXhTdVpnRFZMWHhNNFJ1bTljbFV2VnZPMWJfc3ZYMWQ4bHJIRGZCbE94ZElPc3lIM28?oc=5" TargetMode="External" Id="rId138"/><Relationship Type="http://schemas.openxmlformats.org/officeDocument/2006/relationships/hyperlink" Target="https://news.google.com/rss/articles/CBMijgFBVV95cUxOeFo0VHJ1ZGlSZFZjOUI4TDJjdEZKYXdkd25sZU1kN0VwRzAxam9nYUJZYTA1R1JVSWpLTGZ4MWxIeUFDc0VnRmlUMUJHS2YzM2RZWEIwUmpwMS1ld3dHU05BM2xLYy1IRFRWbjcwZ3h2aVhpdW1Cckl1NHR1SnA0bFpOMkpnZ3lIWlRYMW5n?oc=5" TargetMode="External" Id="rId139"/><Relationship Type="http://schemas.openxmlformats.org/officeDocument/2006/relationships/hyperlink" Target="https://news.google.com/rss/articles/CBMiiAFBVV95cUxQNGxTOExuMUFDS0lWOXFkeEJtX1FrY24wT0hJQVFNbjlvT2hiRTltb2Fad1VCWV8wZTBvNE56VDdqOEpRbzcwejNkQVYwTHFfMm1HY1FXN0NsNUJCczVqVEd6b3lhMzBpLThjZG1GV3dnc2MyVUFSY0JXeVdrV1QxZlp2OExZX2pB?oc=5" TargetMode="External" Id="rId140"/><Relationship Type="http://schemas.openxmlformats.org/officeDocument/2006/relationships/hyperlink" Target="https://news.google.com/rss/articles/CBMieEFVX3lxTE5fVGlFMXRsV2Rxc2s3UXQ1MHA5dHNLWm5HejEyMG1PdlpBQUw4QkhEOTd0VXl3YjY3Z3d5YU9rWFpuUlNFUEFkeGpGQ3BJYlQzNEhvVFFWT2hDcHVLbWpsWjhVTFN2YUN4QlV6YTJ4VTFTSXRQZktjNg?oc=5" TargetMode="External" Id="rId141"/><Relationship Type="http://schemas.openxmlformats.org/officeDocument/2006/relationships/hyperlink" Target="https://news.google.com/rss/articles/CBMihwFBVV95cUxQbmZGX3Fjei1iMFA4RGU4cDl2LU9UTUQyWW9DdUp5T1VjMDhVaVM5NFNZTThGaEVwelRJaFdqRDdxZURYdkZldDBJQXV0al9WOGhoTVZ2SXNlU0ExVjI0Zy01ZG5WczhUdjdmT0U0akJBTHo2aVdITVp4VkpCVGJPLTgyVjFDeTQ?oc=5" TargetMode="External" Id="rId142"/><Relationship Type="http://schemas.openxmlformats.org/officeDocument/2006/relationships/hyperlink" Target="https://news.google.com/rss/articles/CBMixwFBVV95cUxQNTdIXzdVWGFrcUdDQlN4SmNfY091ekowWWduTzlxdmtLaHJmakNvMTJoTWxKU1BfQVEwclE2V1FvU0lBdVZPbGlSVjBvcVpqdXZUalF2LWFIYmkzQmtJa1V0Y2JTbXZpd1JPUGowMmRJUUpYcU1mcmRRWnlFdFVMZGd6NW5CSVBPaWFjWXFvLTFtUHQ0OW5XR0o2OXQtaUhENlc0NjNkNzhwajNrTGRfeTR4OXAzRUZfX2NDX1BWT0x0ak1JaXN3?oc=5" TargetMode="External" Id="rId143"/><Relationship Type="http://schemas.openxmlformats.org/officeDocument/2006/relationships/hyperlink" Target="https://news.google.com/rss/articles/CBMitAFBVV95cUxQajI0X0tyUk1EblJOVTBFMnQ4VGVLemdRdTVDeWdSM1J4TW1Qd2JRSlpnODJIR0Nfdk8zdGxUelpQWndzWDhOSjZMd3lrMHJiYzM2OFQwTUl5TjBydV9HanhGVmU5aGh3N09jN2VMdHpvcE4wNDQ5b0ppQ3ZETFRvU0xrYTVOYWxxYlBxcjRlSDctOC1tcmU0Y242Q1RYbDdGRHNJaERsTWY2ZDVUaElFUFo3TWo?oc=5" TargetMode="External" Id="rId144"/><Relationship Type="http://schemas.openxmlformats.org/officeDocument/2006/relationships/hyperlink" Target="https://news.google.com/rss/articles/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oc=5" TargetMode="External" Id="rId145"/><Relationship Type="http://schemas.openxmlformats.org/officeDocument/2006/relationships/hyperlink" Target="https://news.google.com/rss/articles/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oc=5" TargetMode="External" Id="rId146"/><Relationship Type="http://schemas.openxmlformats.org/officeDocument/2006/relationships/hyperlink" Target="https://news.google.com/rss/articles/CBMingFBVV95cUxOWVREZE5mYlZmZlUtdGwwN1libEhJRzRMU0ZQcU9BclYzazJqb3ZpYlpDX2x1d05zN3FNcWw4YXluOFduamZpU21JMHgzWWxQOUZ0N2p6OXJPbVJVakNtWG1IVTktQjE3N1dRVm9CT3FHV3ZXMGp1c3VPdzR2dUpIQnhyemEwc3hLdUd3SE5VN21WamFNM0ZyVXo0SkU1Zw?oc=5" TargetMode="External" Id="rId147"/><Relationship Type="http://schemas.openxmlformats.org/officeDocument/2006/relationships/hyperlink" Target="https://news.google.com/rss/articles/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oc=5" TargetMode="External" Id="rId148"/><Relationship Type="http://schemas.openxmlformats.org/officeDocument/2006/relationships/hyperlink" Target="https://news.google.com/rss/articles/CBMisAFBVV95cUxPVXlnT0xoel9qUUtRTDAtZGQ5UHM4clYydGFvWkpNdzVSWGFpQTZmLUlFMGl4SGYwV2g4LWtkRVFIdlh6dlg0OUZteHpLV0wwcmF4YmV3STRPR2JRWDFzcTM0Ni1wSWVIS1J4UUdCYXhlWUI3aHlwY0ZpbDczZGt0QjFESldUejc0SDVRZGFIUWpMVXU5WGRrNmNuVkZSRnNGVHJpRUpWcHo4ZWFPX0dFWQ?oc=5" TargetMode="External" Id="rId149"/><Relationship Type="http://schemas.openxmlformats.org/officeDocument/2006/relationships/hyperlink" Target="https://news.google.com/rss/articles/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oc=5" TargetMode="External" Id="rId150"/><Relationship Type="http://schemas.openxmlformats.org/officeDocument/2006/relationships/hyperlink" Target="https://news.google.com/rss/articles/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oc=5" TargetMode="External" Id="rId151"/><Relationship Type="http://schemas.openxmlformats.org/officeDocument/2006/relationships/hyperlink" Target="https://news.google.com/rss/articles/CBMivAFBVV95cUxPWm5SVDBURlZVc0pOT0VWbDFBTk16WmluNUdKMWhENGRJZFZDcnNpYVlkMjJkUks0T2NUVmpoNGJZbkdGN1hsalhUemtYYWhoTzh5TkRoNGdtNnVqZ19ZVXk2MkJmS0M0T1ZuSUZFLU9YTlplMGY3NFhGclp0U25aeVZhUXhwWkJQaFowMXBiRl9nUW5IUmhJN1dtUHc3Vi1pRkE3Y0lwRlRCM2FZU0l0b0tIUWxSZlF1U0hrdA?oc=5" TargetMode="External" Id="rId152"/><Relationship Type="http://schemas.openxmlformats.org/officeDocument/2006/relationships/hyperlink" Target="https://news.google.com/rss/articles/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oc=5" TargetMode="External" Id="rId153"/><Relationship Type="http://schemas.openxmlformats.org/officeDocument/2006/relationships/hyperlink" Target="https://news.google.com/rss/articles/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oc=5" TargetMode="External" Id="rId154"/><Relationship Type="http://schemas.openxmlformats.org/officeDocument/2006/relationships/hyperlink" Target="https://news.google.com/rss/articles/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oc=5" TargetMode="External" Id="rId155"/><Relationship Type="http://schemas.openxmlformats.org/officeDocument/2006/relationships/hyperlink" Target="https://news.google.com/rss/articles/CBMieEFVX3lxTFBJQ0hiQ1ZuU2pKT2tSbTdaelNCNXduZWdNdE82cUh5NWNMZGUteVV1NEVBSVktM1dXRVpKc3Nzbk9RU2VxR3VVVDR3RGpKMm83MEZwZWdONmkyZmJNbzREd3F2Tk1JU1diVVdCWlhGWkxnUW04NDBKSg?oc=5" TargetMode="External" Id="rId156"/><Relationship Type="http://schemas.openxmlformats.org/officeDocument/2006/relationships/hyperlink" Target="https://news.google.com/rss/articles/CBMid0FVX3lxTE50NlRLX0hNeXphMTFfZTRycEtybmUtbWJ0ZXEyU2dndDAtZVg2akpTZmtPbjZkTkhLY01DRVB1eURzQ0Y5SVpwTUJpRS1ScWxMekpGWjJqYnFUbldKZWVMRnBZSUpJU3BRc29VZlBKV1VHS2ljcHZF?oc=5" TargetMode="External" Id="rId157"/><Relationship Type="http://schemas.openxmlformats.org/officeDocument/2006/relationships/hyperlink" Target="https://news.google.com/rss/articles/CBMipwFBVV95cUxNcThURThSVGVFVjVhV0QtejFEWEI3M3piUzBRTXk1R2s2bWhFUk1rcVBpblBKcmFfbWgyeUdCeVhRUFNrVENONDB1T2s0VzJkd0FTTTZUdWh1UjVLeWxLbDhoUzVVVUNHN3c1T0l2cFgyRzBHRGZyZUNkbEY0bTBOZTZSMnFqQWZISml4NzZ3b1pNOHotbi1ZWWlsdEFzVjBrZXJaUG9fOA?oc=5" TargetMode="External" Id="rId158"/><Relationship Type="http://schemas.openxmlformats.org/officeDocument/2006/relationships/hyperlink" Target="https://news.google.com/rss/articles/CBMiywFBVV95cUxObDNMTUhmLVQ1ZlVSdGxrZ21NTkx6V2p2VkIyUGZaZUIyRWZ6cmR1cHNwSDJieWFkQWdneEU0WmhnMzZVbndPc1NOanJHMzZwejB4eDdueDRTVzJRLVBwT3hmVmNWb3JtYVpHX3NyMHJyM2hweVRJZ3VLOXZ2UndTYXVPQ0ZNOHdRbS1IRTh1WU9iU0xMMzVXSU1sRFNnYjNmaXdSTm41eWNtdk5YbW9FNVlxaHlETl9sNDFhYW9oUkNiTGVtT1U3b0hxOA?oc=5" TargetMode="External" Id="rId159"/><Relationship Type="http://schemas.openxmlformats.org/officeDocument/2006/relationships/hyperlink" Target="https://news.google.com/rss/articles/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oc=5" TargetMode="External" Id="rId160"/><Relationship Type="http://schemas.openxmlformats.org/officeDocument/2006/relationships/hyperlink" Target="https://news.google.com/rss/articles/CBMixgFBVV95cUxOczNFM3dEVVhwLS1IeU45MnBxMTFNME5MT2U2QktkNDQ4MDVhYzNqc0lzdVdpaHIxOWxSclJULW9oMnFWeVowNTB6TXpzd3E0YjlrOU5wU0gxcGlMRjRnR0g5amNrdW9FekdEWm4zeE9TN1NUM1p6aTR3YzNFQTZVa1drWmRreWRNZE5kT1JSX0k0LUhXWDRMM3JUWTJ3NmNzRFQ1amd4bi1mNTRKRTcyVTAwelBXNWFDNElNWUs1c2k1c0ltWUE?oc=5" TargetMode="External" Id="rId161"/><Relationship Type="http://schemas.openxmlformats.org/officeDocument/2006/relationships/hyperlink" Target="https://news.google.com/rss/articles/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oc=5" TargetMode="External" Id="rId162"/><Relationship Type="http://schemas.openxmlformats.org/officeDocument/2006/relationships/hyperlink" Target="https://news.google.com/rss/articles/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oc=5" TargetMode="External" Id="rId163"/></Relationships>
</file>

<file path=xl/worksheets/sheet1.xml><?xml version="1.0" encoding="utf-8"?>
<worksheet xmlns="http://schemas.openxmlformats.org/spreadsheetml/2006/main">
  <sheetPr>
    <tabColor rgb="002F4BD8"/>
    <outlinePr summaryBelow="1" summaryRight="1"/>
    <pageSetUpPr fitToPage="1"/>
  </sheetPr>
  <dimension ref="A1:L30"/>
  <sheetViews>
    <sheetView showGridLines="0" workbookViewId="0">
      <pane ySplit="2" topLeftCell="A3" activePane="bottomLeft" state="frozen"/>
      <selection pane="bottomLeft"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SwingScope Momentum Batch 2026-09-28 — 21-Day Dashboard</t>
        </is>
      </c>
      <c r="B1" s="2" t="n"/>
      <c r="C1" s="2" t="n"/>
      <c r="D1" s="2" t="n"/>
      <c r="E1" s="2" t="n"/>
      <c r="F1" s="2" t="n"/>
      <c r="G1" s="2" t="n"/>
      <c r="H1" s="2" t="n"/>
      <c r="I1" s="2" t="n"/>
      <c r="J1" s="2" t="n"/>
      <c r="K1" s="2" t="n"/>
      <c r="L1" s="2" t="n"/>
    </row>
    <row r="2" ht="18" customHeight="1">
      <c r="A2" s="3" t="inlineStr">
        <is>
          <t>Signal 2026-09-28  •  Day 15 of 21  •  Holding  •  Exit ~2026-10-29  •  Updated 19-Oct-2026 18:48</t>
        </is>
      </c>
      <c r="B2" s="2" t="n"/>
      <c r="C2" s="2" t="n"/>
      <c r="D2" s="2" t="n"/>
      <c r="E2" s="2" t="n"/>
      <c r="F2" s="2" t="n"/>
      <c r="G2" s="2" t="n"/>
      <c r="H2" s="2" t="n"/>
      <c r="I2" s="2" t="n"/>
      <c r="J2" s="2" t="n"/>
      <c r="K2" s="2" t="n"/>
      <c r="L2" s="2" t="n"/>
    </row>
    <row r="4">
      <c r="B4" s="4" t="inlineStr">
        <is>
          <t>PROGRESS  Day 15/21</t>
        </is>
      </c>
    </row>
    <row r="5" ht="10" customHeight="1">
      <c r="B5" s="5" t="n"/>
      <c r="C5" s="5" t="n"/>
      <c r="D5" s="5" t="n"/>
      <c r="E5" s="5" t="n"/>
      <c r="F5" s="5" t="n"/>
      <c r="G5" s="5" t="n"/>
      <c r="H5" s="5" t="n"/>
      <c r="I5" s="6" t="n"/>
      <c r="J5" s="6" t="n"/>
      <c r="K5" s="6" t="n"/>
      <c r="L5" s="4" t="inlineStr">
        <is>
          <t>71%</t>
        </is>
      </c>
    </row>
    <row r="7">
      <c r="B7" s="7" t="inlineStr">
        <is>
          <t>CURRENT DAY</t>
        </is>
      </c>
      <c r="C7" s="8" t="n"/>
      <c r="E7" s="7" t="inlineStr">
        <is>
          <t>LAST SESSION</t>
        </is>
      </c>
      <c r="F7" s="8" t="n"/>
      <c r="H7" s="7" t="inlineStr">
        <is>
          <t>INVESTED</t>
        </is>
      </c>
      <c r="I7" s="8" t="n"/>
      <c r="K7" s="7" t="inlineStr">
        <is>
          <t>MARKET VALUE</t>
        </is>
      </c>
      <c r="L7" s="8" t="n"/>
    </row>
    <row r="8" ht="26" customHeight="1">
      <c r="B8" s="9" t="inlineStr">
        <is>
          <t>Day 15 / 21</t>
        </is>
      </c>
      <c r="C8" s="10" t="n"/>
      <c r="E8" s="9" t="inlineStr">
        <is>
          <t>2026-10-19</t>
        </is>
      </c>
      <c r="F8" s="10" t="n"/>
      <c r="H8" s="11">
        <f>'Daily Closes'!E16</f>
        <v/>
      </c>
      <c r="I8" s="10" t="n"/>
      <c r="K8" s="11">
        <f>'Daily Closes'!AB16</f>
        <v/>
      </c>
      <c r="L8" s="10" t="n"/>
    </row>
    <row r="9">
      <c r="B9" s="12" t="inlineStr">
        <is>
          <t>Holding</t>
        </is>
      </c>
      <c r="C9" s="10" t="n"/>
      <c r="E9" s="12" t="inlineStr">
        <is>
          <t>Exit ~2026-10-29</t>
        </is>
      </c>
      <c r="F9" s="10" t="n"/>
      <c r="H9" s="12" t="inlineStr">
        <is>
          <t>Qty × entry price</t>
        </is>
      </c>
      <c r="I9" s="10" t="n"/>
      <c r="K9" s="12" t="inlineStr">
        <is>
          <t>At latest close</t>
        </is>
      </c>
      <c r="L9" s="10" t="n"/>
    </row>
    <row r="11">
      <c r="B11" s="7" t="inlineStr">
        <is>
          <t>GROSS P&amp;L</t>
        </is>
      </c>
      <c r="C11" s="8" t="n"/>
      <c r="E11" s="7" t="inlineStr">
        <is>
          <t>GROSS RETURN</t>
        </is>
      </c>
      <c r="F11" s="8" t="n"/>
      <c r="H11" s="7" t="inlineStr">
        <is>
          <t>EST. COSTS</t>
        </is>
      </c>
      <c r="I11" s="8" t="n"/>
      <c r="K11" s="7" t="inlineStr">
        <is>
          <t>NET P&amp;L</t>
        </is>
      </c>
      <c r="L11" s="8" t="n"/>
    </row>
    <row r="12" ht="26" customHeight="1">
      <c r="B12" s="11">
        <f>'Daily Closes'!AD16</f>
        <v/>
      </c>
      <c r="C12" s="10" t="n"/>
      <c r="E12" s="13">
        <f>'Daily Closes'!AC16</f>
        <v/>
      </c>
      <c r="F12" s="10" t="n"/>
      <c r="H12" s="11">
        <f>'Daily Closes'!E16*0.006</f>
        <v/>
      </c>
      <c r="I12" s="10" t="n"/>
      <c r="K12" s="11">
        <f>B12-H12</f>
        <v/>
      </c>
      <c r="L12" s="10" t="n"/>
    </row>
    <row r="13">
      <c r="B13" s="12" t="inlineStr">
        <is>
          <t>Before costs</t>
        </is>
      </c>
      <c r="C13" s="10" t="n"/>
      <c r="E13" s="12" t="inlineStr">
        <is>
          <t>vs entry</t>
        </is>
      </c>
      <c r="F13" s="10" t="n"/>
      <c r="H13" s="12" t="inlineStr">
        <is>
          <t>0.6% round trip</t>
        </is>
      </c>
      <c r="I13" s="10" t="n"/>
      <c r="K13" s="12" t="inlineStr">
        <is>
          <t>After est. costs</t>
        </is>
      </c>
      <c r="L13" s="10" t="n"/>
    </row>
    <row r="15">
      <c r="B15" s="7" t="inlineStr">
        <is>
          <t>NIFTY 50</t>
        </is>
      </c>
      <c r="C15" s="8" t="n"/>
      <c r="E15" s="7" t="inlineStr">
        <is>
          <t>ALPHA vs NIFTY</t>
        </is>
      </c>
      <c r="F15" s="8" t="n"/>
      <c r="H15" s="7" t="inlineStr">
        <is>
          <t>WINNERS / LOSERS</t>
        </is>
      </c>
      <c r="I15" s="8" t="n"/>
      <c r="K15" s="7" t="inlineStr">
        <is>
          <t>MAX DRAWDOWN</t>
        </is>
      </c>
      <c r="L15" s="8" t="n"/>
    </row>
    <row r="16" ht="26" customHeight="1">
      <c r="B16" s="13" t="n">
        <v>0.004771677220399173</v>
      </c>
      <c r="C16" s="10" t="n"/>
      <c r="E16" s="13" t="n">
        <v>-0.004075739488963237</v>
      </c>
      <c r="F16" s="10" t="n"/>
      <c r="H16" s="9" t="inlineStr">
        <is>
          <t>5 / 5</t>
        </is>
      </c>
      <c r="I16" s="10" t="n"/>
      <c r="K16" s="13" t="n">
        <v>-0.0677982685512718</v>
      </c>
      <c r="L16" s="10" t="n"/>
    </row>
    <row r="17">
      <c r="B17" s="12" t="inlineStr">
        <is>
          <t>Same window</t>
        </is>
      </c>
      <c r="C17" s="10" t="n"/>
      <c r="E17" s="12" t="inlineStr">
        <is>
          <t>Gross return − Nifty</t>
        </is>
      </c>
      <c r="F17" s="10" t="n"/>
      <c r="H17" s="12" t="inlineStr">
        <is>
          <t>of 10 stocks</t>
        </is>
      </c>
      <c r="I17" s="10" t="n"/>
      <c r="K17" s="12" t="inlineStr">
        <is>
          <t>Peak-to-trough, portfolio</t>
        </is>
      </c>
      <c r="L17" s="10" t="n"/>
    </row>
    <row r="19">
      <c r="B19" s="14" t="inlineStr">
        <is>
          <t>STOCK LEAGUE TABLE (sorted by return)</t>
        </is>
      </c>
    </row>
    <row r="20">
      <c r="B20" s="15" t="inlineStr">
        <is>
          <t>Symbol</t>
        </is>
      </c>
      <c r="C20" s="15" t="inlineStr">
        <is>
          <t>Qty</t>
        </is>
      </c>
      <c r="D20" s="15" t="inlineStr">
        <is>
          <t>Entry ₹</t>
        </is>
      </c>
      <c r="E20" s="15" t="inlineStr">
        <is>
          <t>Last ₹</t>
        </is>
      </c>
      <c r="F20" s="15" t="inlineStr">
        <is>
          <t>Return %</t>
        </is>
      </c>
      <c r="G20" s="15" t="inlineStr">
        <is>
          <t>P&amp;L ₹</t>
        </is>
      </c>
      <c r="H20" s="15" t="inlineStr">
        <is>
          <t>Max gain %</t>
        </is>
      </c>
      <c r="I20" s="15" t="inlineStr">
        <is>
          <t>Max loss %</t>
        </is>
      </c>
      <c r="J20" s="15" t="inlineStr">
        <is>
          <t>Weight %</t>
        </is>
      </c>
      <c r="K20" s="15" t="inlineStr">
        <is>
          <t>Contrib %</t>
        </is>
      </c>
    </row>
    <row r="21">
      <c r="B21" s="16" t="inlineStr">
        <is>
          <t>E2E</t>
        </is>
      </c>
      <c r="C21" s="17" t="n">
        <v>23</v>
      </c>
      <c r="D21" s="18" t="n">
        <v>619.55</v>
      </c>
      <c r="E21" s="18" t="n">
        <v>660.15</v>
      </c>
      <c r="F21" s="19" t="n">
        <v>0.06553100000000001</v>
      </c>
      <c r="G21" s="20" t="n">
        <v>933.8</v>
      </c>
      <c r="H21" s="19" t="n">
        <v>0.207812</v>
      </c>
      <c r="I21" s="19" t="n">
        <v>0.04592</v>
      </c>
      <c r="J21" s="21" t="n">
        <v>0.101816</v>
      </c>
      <c r="K21" s="19" t="n">
        <v>0.006672</v>
      </c>
    </row>
    <row r="22">
      <c r="B22" s="22" t="inlineStr">
        <is>
          <t>DIACABS</t>
        </is>
      </c>
      <c r="C22" s="23" t="n">
        <v>44</v>
      </c>
      <c r="D22" s="24" t="n">
        <v>336.9</v>
      </c>
      <c r="E22" s="24" t="n">
        <v>345.85</v>
      </c>
      <c r="F22" s="25" t="n">
        <v>0.026566</v>
      </c>
      <c r="G22" s="26" t="n">
        <v>393.8</v>
      </c>
      <c r="H22" s="25" t="n">
        <v>0.130751</v>
      </c>
      <c r="I22" s="25" t="n">
        <v>0.024043</v>
      </c>
      <c r="J22" s="27" t="n">
        <v>0.105917</v>
      </c>
      <c r="K22" s="25" t="n">
        <v>0.002814</v>
      </c>
    </row>
    <row r="23">
      <c r="B23" s="16" t="inlineStr">
        <is>
          <t>TDPOWERSYS</t>
        </is>
      </c>
      <c r="C23" s="17" t="n">
        <v>20</v>
      </c>
      <c r="D23" s="18" t="n">
        <v>719</v>
      </c>
      <c r="E23" s="18" t="n">
        <v>737</v>
      </c>
      <c r="F23" s="19" t="n">
        <v>0.025035</v>
      </c>
      <c r="G23" s="20" t="n">
        <v>360</v>
      </c>
      <c r="H23" s="19" t="n">
        <v>0.148331</v>
      </c>
      <c r="I23" s="19" t="n">
        <v>0.021905</v>
      </c>
      <c r="J23" s="21" t="n">
        <v>0.102747</v>
      </c>
      <c r="K23" s="19" t="n">
        <v>0.002572</v>
      </c>
    </row>
    <row r="24">
      <c r="B24" s="22" t="inlineStr">
        <is>
          <t>LAURUSLABS</t>
        </is>
      </c>
      <c r="C24" s="23" t="n">
        <v>7</v>
      </c>
      <c r="D24" s="24" t="n">
        <v>2020.7</v>
      </c>
      <c r="E24" s="24" t="n">
        <v>2069</v>
      </c>
      <c r="F24" s="25" t="n">
        <v>0.023903</v>
      </c>
      <c r="G24" s="26" t="n">
        <v>338.1</v>
      </c>
      <c r="H24" s="25" t="n">
        <v>0.024002</v>
      </c>
      <c r="I24" s="25" t="n">
        <v>-0.024397</v>
      </c>
      <c r="J24" s="27" t="n">
        <v>0.101067</v>
      </c>
      <c r="K24" s="25" t="n">
        <v>0.002416</v>
      </c>
    </row>
    <row r="25">
      <c r="B25" s="16" t="inlineStr">
        <is>
          <t>THANGAMAYL</t>
        </is>
      </c>
      <c r="C25" s="17" t="n">
        <v>2</v>
      </c>
      <c r="D25" s="18" t="n">
        <v>5010</v>
      </c>
      <c r="E25" s="18" t="n">
        <v>5017.5</v>
      </c>
      <c r="F25" s="19" t="n">
        <v>0.001497</v>
      </c>
      <c r="G25" s="20" t="n">
        <v>15</v>
      </c>
      <c r="H25" s="19" t="n">
        <v>0.038822</v>
      </c>
      <c r="I25" s="19" t="n">
        <v>-0.052495</v>
      </c>
      <c r="J25" s="21" t="n">
        <v>0.071594</v>
      </c>
      <c r="K25" s="19" t="n">
        <v>0.000107</v>
      </c>
    </row>
    <row r="26">
      <c r="B26" s="22" t="inlineStr">
        <is>
          <t>ATHERENERG</t>
        </is>
      </c>
      <c r="C26" s="23" t="n">
        <v>10</v>
      </c>
      <c r="D26" s="24" t="n">
        <v>1460.2</v>
      </c>
      <c r="E26" s="24" t="n">
        <v>1459</v>
      </c>
      <c r="F26" s="25" t="n">
        <v>-0.000822</v>
      </c>
      <c r="G26" s="26" t="n">
        <v>-12</v>
      </c>
      <c r="H26" s="25" t="n">
        <v>0.03479</v>
      </c>
      <c r="I26" s="25" t="n">
        <v>-0.037118</v>
      </c>
      <c r="J26" s="27" t="n">
        <v>0.104333</v>
      </c>
      <c r="K26" s="25" t="n">
        <v>-8.6e-05</v>
      </c>
    </row>
    <row r="27">
      <c r="B27" s="16" t="inlineStr">
        <is>
          <t>ACUTAAS</t>
        </is>
      </c>
      <c r="C27" s="17" t="n">
        <v>4</v>
      </c>
      <c r="D27" s="18" t="n">
        <v>3290</v>
      </c>
      <c r="E27" s="18" t="n">
        <v>3253.4</v>
      </c>
      <c r="F27" s="19" t="n">
        <v>-0.011125</v>
      </c>
      <c r="G27" s="20" t="n">
        <v>-146.4</v>
      </c>
      <c r="H27" s="19" t="n">
        <v>0.004286</v>
      </c>
      <c r="I27" s="19" t="n">
        <v>-0.070912</v>
      </c>
      <c r="J27" s="21" t="n">
        <v>0.09403</v>
      </c>
      <c r="K27" s="19" t="n">
        <v>-0.001046</v>
      </c>
    </row>
    <row r="28">
      <c r="B28" s="22" t="inlineStr">
        <is>
          <t>AEROFLEX</t>
        </is>
      </c>
      <c r="C28" s="23" t="n">
        <v>29</v>
      </c>
      <c r="D28" s="24" t="n">
        <v>511.3</v>
      </c>
      <c r="E28" s="24" t="n">
        <v>505.2</v>
      </c>
      <c r="F28" s="25" t="n">
        <v>-0.01193</v>
      </c>
      <c r="G28" s="26" t="n">
        <v>-176.9</v>
      </c>
      <c r="H28" s="25" t="n">
        <v>0.112263</v>
      </c>
      <c r="I28" s="25" t="n">
        <v>-0.01193</v>
      </c>
      <c r="J28" s="27" t="n">
        <v>0.105946</v>
      </c>
      <c r="K28" s="25" t="n">
        <v>-0.001264</v>
      </c>
    </row>
    <row r="29">
      <c r="B29" s="16" t="inlineStr">
        <is>
          <t>RRKABEL</t>
        </is>
      </c>
      <c r="C29" s="17" t="n">
        <v>6</v>
      </c>
      <c r="D29" s="18" t="n">
        <v>2459.8</v>
      </c>
      <c r="E29" s="18" t="n">
        <v>2387.8</v>
      </c>
      <c r="F29" s="19" t="n">
        <v>-0.029271</v>
      </c>
      <c r="G29" s="20" t="n">
        <v>-432</v>
      </c>
      <c r="H29" s="19" t="n">
        <v>0.134117</v>
      </c>
      <c r="I29" s="19" t="n">
        <v>-0.029271</v>
      </c>
      <c r="J29" s="21" t="n">
        <v>0.105454</v>
      </c>
      <c r="K29" s="19" t="n">
        <v>-0.003087</v>
      </c>
    </row>
    <row r="30">
      <c r="B30" s="22" t="inlineStr">
        <is>
          <t>KIRLOSENG</t>
        </is>
      </c>
      <c r="C30" s="23" t="n">
        <v>7</v>
      </c>
      <c r="D30" s="24" t="n">
        <v>2141.2</v>
      </c>
      <c r="E30" s="24" t="n">
        <v>1973.2</v>
      </c>
      <c r="F30" s="25" t="n">
        <v>-0.078461</v>
      </c>
      <c r="G30" s="26" t="n">
        <v>-1176</v>
      </c>
      <c r="H30" s="25" t="n">
        <v>0.121801</v>
      </c>
      <c r="I30" s="25" t="n">
        <v>-0.078461</v>
      </c>
      <c r="J30" s="27" t="n">
        <v>0.107094</v>
      </c>
      <c r="K30" s="25" t="n">
        <v>-0.008403000000000001</v>
      </c>
    </row>
  </sheetData>
  <mergeCells count="38">
    <mergeCell ref="K16:L16"/>
    <mergeCell ref="E12:F12"/>
    <mergeCell ref="B16:C16"/>
    <mergeCell ref="B7:C7"/>
    <mergeCell ref="K15:L15"/>
    <mergeCell ref="K9:L9"/>
    <mergeCell ref="E17:F17"/>
    <mergeCell ref="H9:I9"/>
    <mergeCell ref="E8:F8"/>
    <mergeCell ref="B12:C12"/>
    <mergeCell ref="A2:L2"/>
    <mergeCell ref="K11:L11"/>
    <mergeCell ref="B11:C11"/>
    <mergeCell ref="E13:F13"/>
    <mergeCell ref="B17:C17"/>
    <mergeCell ref="E9:F9"/>
    <mergeCell ref="B8:C8"/>
    <mergeCell ref="H17:I17"/>
    <mergeCell ref="B13:C13"/>
    <mergeCell ref="H11:I11"/>
    <mergeCell ref="K12:L12"/>
    <mergeCell ref="E15:F15"/>
    <mergeCell ref="K8:L8"/>
    <mergeCell ref="H16:I16"/>
    <mergeCell ref="H7:I7"/>
    <mergeCell ref="E11:F11"/>
    <mergeCell ref="B9:C9"/>
    <mergeCell ref="H13:I13"/>
    <mergeCell ref="K17:L17"/>
    <mergeCell ref="K7:L7"/>
    <mergeCell ref="H12:I12"/>
    <mergeCell ref="B15:C15"/>
    <mergeCell ref="E16:F16"/>
    <mergeCell ref="E7:F7"/>
    <mergeCell ref="A1:L1"/>
    <mergeCell ref="H15:I15"/>
    <mergeCell ref="H8:I8"/>
    <mergeCell ref="K13:L13"/>
  </mergeCells>
  <conditionalFormatting sqref="B12">
    <cfRule type="cellIs" priority="1" operator="greaterThan" dxfId="0">
      <formula>0</formula>
    </cfRule>
    <cfRule type="cellIs" priority="2" operator="lessThan" dxfId="1">
      <formula>0</formula>
    </cfRule>
  </conditionalFormatting>
  <conditionalFormatting sqref="E12">
    <cfRule type="cellIs" priority="3" operator="greaterThan" dxfId="0">
      <formula>0</formula>
    </cfRule>
    <cfRule type="cellIs" priority="4" operator="lessThan" dxfId="1">
      <formula>0</formula>
    </cfRule>
  </conditionalFormatting>
  <conditionalFormatting sqref="K12">
    <cfRule type="cellIs" priority="5" operator="greaterThan" dxfId="0">
      <formula>0</formula>
    </cfRule>
    <cfRule type="cellIs" priority="6" operator="lessThan" dxfId="1">
      <formula>0</formula>
    </cfRule>
  </conditionalFormatting>
  <conditionalFormatting sqref="B16">
    <cfRule type="cellIs" priority="7" operator="greaterThan" dxfId="0">
      <formula>0</formula>
    </cfRule>
    <cfRule type="cellIs" priority="8" operator="lessThan" dxfId="1">
      <formula>0</formula>
    </cfRule>
  </conditionalFormatting>
  <conditionalFormatting sqref="E16">
    <cfRule type="cellIs" priority="9" operator="greaterThan" dxfId="0">
      <formula>0</formula>
    </cfRule>
    <cfRule type="cellIs" priority="10" operator="lessThan" dxfId="1">
      <formula>0</formula>
    </cfRule>
  </conditionalFormatting>
  <conditionalFormatting sqref="K16">
    <cfRule type="cellIs" priority="11" operator="greaterThan" dxfId="0">
      <formula>0</formula>
    </cfRule>
    <cfRule type="cellIs" priority="12" operator="lessThan" dxfId="1">
      <formula>0</formula>
    </cfRule>
  </conditionalFormatting>
  <conditionalFormatting sqref="F21:F30">
    <cfRule type="cellIs" priority="13" operator="greaterThan" dxfId="2">
      <formula>0</formula>
    </cfRule>
    <cfRule type="cellIs" priority="14" operator="lessThan" dxfId="3">
      <formula>0</formula>
    </cfRule>
  </conditionalFormatting>
  <conditionalFormatting sqref="G21:G30">
    <cfRule type="cellIs" priority="15" operator="greaterThan" dxfId="2">
      <formula>0</formula>
    </cfRule>
    <cfRule type="cellIs" priority="16" operator="lessThan" dxfId="3">
      <formula>0</formula>
    </cfRule>
    <cfRule type="dataBar" priority="23">
      <dataBar showValue="1">
        <cfvo type="min"/>
        <cfvo type="max"/>
        <color rgb="005B8DEF"/>
      </dataBar>
    </cfRule>
  </conditionalFormatting>
  <conditionalFormatting sqref="H21:H30">
    <cfRule type="cellIs" priority="17" operator="greaterThan" dxfId="2">
      <formula>0</formula>
    </cfRule>
    <cfRule type="cellIs" priority="18" operator="lessThan" dxfId="3">
      <formula>0</formula>
    </cfRule>
  </conditionalFormatting>
  <conditionalFormatting sqref="I21:I30">
    <cfRule type="cellIs" priority="19" operator="greaterThan" dxfId="2">
      <formula>0</formula>
    </cfRule>
    <cfRule type="cellIs" priority="20" operator="lessThan" dxfId="3">
      <formula>0</formula>
    </cfRule>
  </conditionalFormatting>
  <conditionalFormatting sqref="K21:K30">
    <cfRule type="cellIs" priority="21" operator="greaterThan" dxfId="2">
      <formula>0</formula>
    </cfRule>
    <cfRule type="cellIs" priority="22" operator="lessThan" dxfId="3">
      <formula>0</formula>
    </cfRule>
  </conditionalFormatting>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0E7C86"/>
    <outlinePr summaryBelow="1" summaryRight="1"/>
    <pageSetUpPr fitToPage="1"/>
  </sheetPr>
  <dimension ref="A1:AF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11" customWidth="1" min="28" max="28"/>
    <col width="10" customWidth="1" min="29" max="29"/>
    <col width="11" customWidth="1" min="30" max="30"/>
    <col width="10" customWidth="1" min="31" max="31"/>
    <col width="9" customWidth="1" min="32" max="32"/>
  </cols>
  <sheetData>
    <row r="1" ht="30" customHeight="1">
      <c r="A1" s="1" t="inlineStr">
        <is>
          <t>SwingScope Batch 2026-09-28 — Daily Close Tracker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8" customHeight="1">
      <c r="A2" s="3" t="inlineStr">
        <is>
          <t>Signal 2026-09-28  •  Day 15 of 21  •  Holding  •  Exit ~2026-10-29  •  Updated 19-Oct-2026 18:48</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8" t="inlineStr">
        <is>
          <t>Closes from Day 0 (signal) to Day 21 (exit). Highlighted column = latest session. Grey = future session (projected date).</t>
        </is>
      </c>
    </row>
    <row r="4" ht="20" customHeight="1">
      <c r="A4" s="15" t="inlineStr">
        <is>
          <t>#</t>
        </is>
      </c>
      <c r="B4" s="15" t="inlineStr">
        <is>
          <t>Symbol</t>
        </is>
      </c>
      <c r="C4" s="15" t="inlineStr">
        <is>
          <t>ISIN</t>
        </is>
      </c>
      <c r="D4" s="15" t="inlineStr">
        <is>
          <t>Qty</t>
        </is>
      </c>
      <c r="E4" s="15" t="inlineStr">
        <is>
          <t>Entry ₹</t>
        </is>
      </c>
      <c r="F4" s="29" t="inlineStr">
        <is>
          <t>Day 0</t>
        </is>
      </c>
      <c r="G4" s="29"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15" t="inlineStr">
        <is>
          <t>Day 9</t>
        </is>
      </c>
      <c r="P4" s="15" t="inlineStr">
        <is>
          <t>Day 10</t>
        </is>
      </c>
      <c r="Q4" s="15" t="inlineStr">
        <is>
          <t>Day 11</t>
        </is>
      </c>
      <c r="R4" s="15" t="inlineStr">
        <is>
          <t>Day 12</t>
        </is>
      </c>
      <c r="S4" s="15" t="inlineStr">
        <is>
          <t>Day 13</t>
        </is>
      </c>
      <c r="T4" s="15" t="inlineStr">
        <is>
          <t>Day 14</t>
        </is>
      </c>
      <c r="U4" s="30" t="inlineStr">
        <is>
          <t>Day 15</t>
        </is>
      </c>
      <c r="V4" s="15" t="inlineStr">
        <is>
          <t>Day 16</t>
        </is>
      </c>
      <c r="W4" s="15" t="inlineStr">
        <is>
          <t>Day 17</t>
        </is>
      </c>
      <c r="X4" s="15" t="inlineStr">
        <is>
          <t>Day 18</t>
        </is>
      </c>
      <c r="Y4" s="15" t="inlineStr">
        <is>
          <t>Day 19</t>
        </is>
      </c>
      <c r="Z4" s="15" t="inlineStr">
        <is>
          <t>Day 20</t>
        </is>
      </c>
      <c r="AA4" s="29" t="inlineStr">
        <is>
          <t>Day 21</t>
        </is>
      </c>
      <c r="AB4" s="31" t="inlineStr">
        <is>
          <t>Last Close</t>
        </is>
      </c>
      <c r="AC4" s="31" t="inlineStr">
        <is>
          <t>Return %</t>
        </is>
      </c>
      <c r="AD4" s="31" t="inlineStr">
        <is>
          <t>P&amp;L ₹</t>
        </is>
      </c>
      <c r="AE4" s="31" t="inlineStr">
        <is>
          <t>Day Chg %</t>
        </is>
      </c>
      <c r="AF4" s="31" t="inlineStr">
        <is>
          <t>Trend</t>
        </is>
      </c>
    </row>
    <row r="5">
      <c r="A5" s="32" t="n"/>
      <c r="B5" s="32" t="n"/>
      <c r="C5" s="32" t="n"/>
      <c r="D5" s="32" t="n"/>
      <c r="E5" s="32" t="n"/>
      <c r="F5" s="33" t="inlineStr">
        <is>
          <t>28-Sep</t>
        </is>
      </c>
      <c r="G5" s="33" t="inlineStr">
        <is>
          <t>29-Sep</t>
        </is>
      </c>
      <c r="H5" s="33" t="inlineStr">
        <is>
          <t>30-Sep</t>
        </is>
      </c>
      <c r="I5" s="33" t="inlineStr">
        <is>
          <t>01-Oct</t>
        </is>
      </c>
      <c r="J5" s="33" t="inlineStr">
        <is>
          <t>02-Oct</t>
        </is>
      </c>
      <c r="K5" s="33" t="inlineStr">
        <is>
          <t>05-Oct</t>
        </is>
      </c>
      <c r="L5" s="33" t="inlineStr">
        <is>
          <t>06-Oct</t>
        </is>
      </c>
      <c r="M5" s="33" t="inlineStr">
        <is>
          <t>07-Oct</t>
        </is>
      </c>
      <c r="N5" s="33" t="inlineStr">
        <is>
          <t>08-Oct</t>
        </is>
      </c>
      <c r="O5" s="33" t="inlineStr">
        <is>
          <t>09-Oct</t>
        </is>
      </c>
      <c r="P5" s="33" t="inlineStr">
        <is>
          <t>12-Oct</t>
        </is>
      </c>
      <c r="Q5" s="33" t="inlineStr">
        <is>
          <t>13-Oct</t>
        </is>
      </c>
      <c r="R5" s="33" t="inlineStr">
        <is>
          <t>14-Oct</t>
        </is>
      </c>
      <c r="S5" s="33" t="inlineStr">
        <is>
          <t>15-Oct</t>
        </is>
      </c>
      <c r="T5" s="33" t="inlineStr">
        <is>
          <t>16-Oct</t>
        </is>
      </c>
      <c r="U5" s="33" t="inlineStr">
        <is>
          <t>19-Oct</t>
        </is>
      </c>
      <c r="V5" s="34" t="inlineStr">
        <is>
          <t>22-Oct (p)</t>
        </is>
      </c>
      <c r="W5" s="34" t="inlineStr">
        <is>
          <t>23-Oct (p)</t>
        </is>
      </c>
      <c r="X5" s="34" t="inlineStr">
        <is>
          <t>26-Oct (p)</t>
        </is>
      </c>
      <c r="Y5" s="34" t="inlineStr">
        <is>
          <t>27-Oct (p)</t>
        </is>
      </c>
      <c r="Z5" s="34" t="inlineStr">
        <is>
          <t>28-Oct (p)</t>
        </is>
      </c>
      <c r="AA5" s="34" t="inlineStr">
        <is>
          <t>29-Oct (p)</t>
        </is>
      </c>
      <c r="AB5" s="32" t="n"/>
      <c r="AC5" s="32" t="n"/>
      <c r="AD5" s="32" t="n"/>
      <c r="AE5" s="32" t="n"/>
      <c r="AF5" s="32" t="n"/>
    </row>
    <row r="6">
      <c r="A6" s="35" t="n">
        <v>1</v>
      </c>
      <c r="B6" s="16" t="inlineStr">
        <is>
          <t>TDPOWERSYS</t>
        </is>
      </c>
      <c r="C6" s="36" t="inlineStr">
        <is>
          <t>INE419M01035</t>
        </is>
      </c>
      <c r="D6" s="17" t="n">
        <v>20</v>
      </c>
      <c r="E6" s="37" t="n">
        <v>719</v>
      </c>
      <c r="F6" s="18" t="n">
        <v>722</v>
      </c>
      <c r="G6" s="18" t="n">
        <v>777.35</v>
      </c>
      <c r="H6" s="18" t="n">
        <v>786.05</v>
      </c>
      <c r="I6" s="18" t="n">
        <v>792.15</v>
      </c>
      <c r="J6" s="18" t="n">
        <v>792.15</v>
      </c>
      <c r="K6" s="18" t="n">
        <v>812.9</v>
      </c>
      <c r="L6" s="18" t="n">
        <v>816</v>
      </c>
      <c r="M6" s="18" t="n">
        <v>821.1</v>
      </c>
      <c r="N6" s="18" t="n">
        <v>793.5</v>
      </c>
      <c r="O6" s="18" t="n">
        <v>793.75</v>
      </c>
      <c r="P6" s="18" t="n">
        <v>825.65</v>
      </c>
      <c r="Q6" s="18" t="n">
        <v>797.85</v>
      </c>
      <c r="R6" s="18" t="n">
        <v>783.7</v>
      </c>
      <c r="S6" s="18" t="n">
        <v>734.75</v>
      </c>
      <c r="T6" s="18" t="n">
        <v>735.15</v>
      </c>
      <c r="U6" s="38" t="n">
        <v>737</v>
      </c>
      <c r="V6" s="39" t="n"/>
      <c r="W6" s="39" t="n"/>
      <c r="X6" s="39" t="n"/>
      <c r="Y6" s="39" t="n"/>
      <c r="Z6" s="39" t="n"/>
      <c r="AA6" s="39" t="n"/>
      <c r="AB6" s="37">
        <f>LOOKUP(2,1/(F6:AA6&lt;&gt;""),F6:AA6)</f>
        <v/>
      </c>
      <c r="AC6" s="40">
        <f>AB6/E6-1</f>
        <v/>
      </c>
      <c r="AD6" s="41">
        <f>D6*(AB6-E6)</f>
        <v/>
      </c>
      <c r="AE6" s="19">
        <f>IFERROR(U6/T6-1,0)</f>
        <v/>
      </c>
      <c r="AF6" s="35">
        <f>IF(AC6&gt;0,"▲ Up",IF(AC6&lt;0,"▼ Down","■ Flat"))</f>
        <v/>
      </c>
    </row>
    <row r="7">
      <c r="A7" s="42" t="n">
        <v>2</v>
      </c>
      <c r="B7" s="22" t="inlineStr">
        <is>
          <t>AEROFLEX</t>
        </is>
      </c>
      <c r="C7" s="43" t="inlineStr">
        <is>
          <t>INE024001021</t>
        </is>
      </c>
      <c r="D7" s="23" t="n">
        <v>29</v>
      </c>
      <c r="E7" s="44" t="n">
        <v>511.3</v>
      </c>
      <c r="F7" s="24" t="n">
        <v>513.4</v>
      </c>
      <c r="G7" s="24" t="n">
        <v>539.6</v>
      </c>
      <c r="H7" s="24" t="n">
        <v>536.6</v>
      </c>
      <c r="I7" s="24" t="n">
        <v>521.35</v>
      </c>
      <c r="J7" s="24" t="n">
        <v>521.35</v>
      </c>
      <c r="K7" s="24" t="n">
        <v>544.35</v>
      </c>
      <c r="L7" s="24" t="n">
        <v>560.75</v>
      </c>
      <c r="M7" s="24" t="n">
        <v>563.85</v>
      </c>
      <c r="N7" s="24" t="n">
        <v>529</v>
      </c>
      <c r="O7" s="24" t="n">
        <v>520.5</v>
      </c>
      <c r="P7" s="24" t="n">
        <v>567.9</v>
      </c>
      <c r="Q7" s="24" t="n">
        <v>557.6</v>
      </c>
      <c r="R7" s="24" t="n">
        <v>568.7</v>
      </c>
      <c r="S7" s="24" t="n">
        <v>510.95</v>
      </c>
      <c r="T7" s="24" t="n">
        <v>525.8</v>
      </c>
      <c r="U7" s="38" t="n">
        <v>505.2</v>
      </c>
      <c r="V7" s="39" t="n"/>
      <c r="W7" s="39" t="n"/>
      <c r="X7" s="39" t="n"/>
      <c r="Y7" s="39" t="n"/>
      <c r="Z7" s="39" t="n"/>
      <c r="AA7" s="39" t="n"/>
      <c r="AB7" s="37">
        <f>LOOKUP(2,1/(F7:AA7&lt;&gt;""),F7:AA7)</f>
        <v/>
      </c>
      <c r="AC7" s="40">
        <f>AB7/E7-1</f>
        <v/>
      </c>
      <c r="AD7" s="41">
        <f>D7*(AB7-E7)</f>
        <v/>
      </c>
      <c r="AE7" s="19">
        <f>IFERROR(U7/T7-1,0)</f>
        <v/>
      </c>
      <c r="AF7" s="35">
        <f>IF(AC7&gt;0,"▲ Up",IF(AC7&lt;0,"▼ Down","■ Flat"))</f>
        <v/>
      </c>
    </row>
    <row r="8">
      <c r="A8" s="35" t="n">
        <v>3</v>
      </c>
      <c r="B8" s="16" t="inlineStr">
        <is>
          <t>ATHERENERG</t>
        </is>
      </c>
      <c r="C8" s="36" t="inlineStr">
        <is>
          <t>INE0LEZ01016</t>
        </is>
      </c>
      <c r="D8" s="17" t="n">
        <v>10</v>
      </c>
      <c r="E8" s="37" t="n">
        <v>1460.2</v>
      </c>
      <c r="F8" s="18" t="n">
        <v>1454.9</v>
      </c>
      <c r="G8" s="18" t="n">
        <v>1407</v>
      </c>
      <c r="H8" s="18" t="n">
        <v>1425</v>
      </c>
      <c r="I8" s="18" t="n">
        <v>1406.1</v>
      </c>
      <c r="J8" s="18" t="n">
        <v>1406.1</v>
      </c>
      <c r="K8" s="18" t="n">
        <v>1409.9</v>
      </c>
      <c r="L8" s="18" t="n">
        <v>1446</v>
      </c>
      <c r="M8" s="18" t="n">
        <v>1455</v>
      </c>
      <c r="N8" s="18" t="n">
        <v>1406</v>
      </c>
      <c r="O8" s="18" t="n">
        <v>1434.4</v>
      </c>
      <c r="P8" s="18" t="n">
        <v>1511</v>
      </c>
      <c r="Q8" s="18" t="n">
        <v>1494.9</v>
      </c>
      <c r="R8" s="18" t="n">
        <v>1467</v>
      </c>
      <c r="S8" s="18" t="n">
        <v>1470</v>
      </c>
      <c r="T8" s="18" t="n">
        <v>1470</v>
      </c>
      <c r="U8" s="38" t="n">
        <v>1459</v>
      </c>
      <c r="V8" s="39" t="n"/>
      <c r="W8" s="39" t="n"/>
      <c r="X8" s="39" t="n"/>
      <c r="Y8" s="39" t="n"/>
      <c r="Z8" s="39" t="n"/>
      <c r="AA8" s="39" t="n"/>
      <c r="AB8" s="37">
        <f>LOOKUP(2,1/(F8:AA8&lt;&gt;""),F8:AA8)</f>
        <v/>
      </c>
      <c r="AC8" s="40">
        <f>AB8/E8-1</f>
        <v/>
      </c>
      <c r="AD8" s="41">
        <f>D8*(AB8-E8)</f>
        <v/>
      </c>
      <c r="AE8" s="19">
        <f>IFERROR(U8/T8-1,0)</f>
        <v/>
      </c>
      <c r="AF8" s="35">
        <f>IF(AC8&gt;0,"▲ Up",IF(AC8&lt;0,"▼ Down","■ Flat"))</f>
        <v/>
      </c>
    </row>
    <row r="9">
      <c r="A9" s="42" t="n">
        <v>4</v>
      </c>
      <c r="B9" s="22" t="inlineStr">
        <is>
          <t>THANGAMAYL</t>
        </is>
      </c>
      <c r="C9" s="43" t="inlineStr">
        <is>
          <t>INE085J01014</t>
        </is>
      </c>
      <c r="D9" s="23" t="n">
        <v>2</v>
      </c>
      <c r="E9" s="44" t="n">
        <v>5010</v>
      </c>
      <c r="F9" s="24" t="n">
        <v>5011.5</v>
      </c>
      <c r="G9" s="24" t="n">
        <v>5204.5</v>
      </c>
      <c r="H9" s="24" t="n">
        <v>5062</v>
      </c>
      <c r="I9" s="24" t="n">
        <v>4861</v>
      </c>
      <c r="J9" s="24" t="n">
        <v>4861</v>
      </c>
      <c r="K9" s="24" t="n">
        <v>4747</v>
      </c>
      <c r="L9" s="24" t="n">
        <v>4758.5</v>
      </c>
      <c r="M9" s="24" t="n">
        <v>4803</v>
      </c>
      <c r="N9" s="24" t="n">
        <v>4810.5</v>
      </c>
      <c r="O9" s="24" t="n">
        <v>4889.5</v>
      </c>
      <c r="P9" s="24" t="n">
        <v>4890.5</v>
      </c>
      <c r="Q9" s="24" t="n">
        <v>4900.5</v>
      </c>
      <c r="R9" s="24" t="n">
        <v>4849.5</v>
      </c>
      <c r="S9" s="24" t="n">
        <v>4791</v>
      </c>
      <c r="T9" s="24" t="n">
        <v>5098</v>
      </c>
      <c r="U9" s="38" t="n">
        <v>5017.5</v>
      </c>
      <c r="V9" s="39" t="n"/>
      <c r="W9" s="39" t="n"/>
      <c r="X9" s="39" t="n"/>
      <c r="Y9" s="39" t="n"/>
      <c r="Z9" s="39" t="n"/>
      <c r="AA9" s="39" t="n"/>
      <c r="AB9" s="37">
        <f>LOOKUP(2,1/(F9:AA9&lt;&gt;""),F9:AA9)</f>
        <v/>
      </c>
      <c r="AC9" s="40">
        <f>AB9/E9-1</f>
        <v/>
      </c>
      <c r="AD9" s="41">
        <f>D9*(AB9-E9)</f>
        <v/>
      </c>
      <c r="AE9" s="19">
        <f>IFERROR(U9/T9-1,0)</f>
        <v/>
      </c>
      <c r="AF9" s="35">
        <f>IF(AC9&gt;0,"▲ Up",IF(AC9&lt;0,"▼ Down","■ Flat"))</f>
        <v/>
      </c>
    </row>
    <row r="10">
      <c r="A10" s="35" t="n">
        <v>5</v>
      </c>
      <c r="B10" s="16" t="inlineStr">
        <is>
          <t>RRKABEL</t>
        </is>
      </c>
      <c r="C10" s="36" t="inlineStr">
        <is>
          <t>INE777K01022</t>
        </is>
      </c>
      <c r="D10" s="17" t="n">
        <v>6</v>
      </c>
      <c r="E10" s="37" t="n">
        <v>2459.8</v>
      </c>
      <c r="F10" s="18" t="n">
        <v>2459.8</v>
      </c>
      <c r="G10" s="18" t="n">
        <v>2523.2</v>
      </c>
      <c r="H10" s="18" t="n">
        <v>2518.6</v>
      </c>
      <c r="I10" s="18" t="n">
        <v>2518.2</v>
      </c>
      <c r="J10" s="18" t="n">
        <v>2518.2</v>
      </c>
      <c r="K10" s="18" t="n">
        <v>2648</v>
      </c>
      <c r="L10" s="18" t="n">
        <v>2789.7</v>
      </c>
      <c r="M10" s="18" t="n">
        <v>2722.5</v>
      </c>
      <c r="N10" s="18" t="n">
        <v>2696.4</v>
      </c>
      <c r="O10" s="18" t="n">
        <v>2705.6</v>
      </c>
      <c r="P10" s="18" t="n">
        <v>2721.5</v>
      </c>
      <c r="Q10" s="18" t="n">
        <v>2614.2</v>
      </c>
      <c r="R10" s="18" t="n">
        <v>2664.1</v>
      </c>
      <c r="S10" s="18" t="n">
        <v>2603.9</v>
      </c>
      <c r="T10" s="18" t="n">
        <v>2388</v>
      </c>
      <c r="U10" s="38" t="n">
        <v>2387.8</v>
      </c>
      <c r="V10" s="39" t="n"/>
      <c r="W10" s="39" t="n"/>
      <c r="X10" s="39" t="n"/>
      <c r="Y10" s="39" t="n"/>
      <c r="Z10" s="39" t="n"/>
      <c r="AA10" s="39" t="n"/>
      <c r="AB10" s="37">
        <f>LOOKUP(2,1/(F10:AA10&lt;&gt;""),F10:AA10)</f>
        <v/>
      </c>
      <c r="AC10" s="40">
        <f>AB10/E10-1</f>
        <v/>
      </c>
      <c r="AD10" s="41">
        <f>D10*(AB10-E10)</f>
        <v/>
      </c>
      <c r="AE10" s="19">
        <f>IFERROR(U10/T10-1,0)</f>
        <v/>
      </c>
      <c r="AF10" s="35">
        <f>IF(AC10&gt;0,"▲ Up",IF(AC10&lt;0,"▼ Down","■ Flat"))</f>
        <v/>
      </c>
    </row>
    <row r="11">
      <c r="A11" s="42" t="n">
        <v>6</v>
      </c>
      <c r="B11" s="22" t="inlineStr">
        <is>
          <t>ACUTAAS</t>
        </is>
      </c>
      <c r="C11" s="43" t="inlineStr">
        <is>
          <t>INE00FF01025</t>
        </is>
      </c>
      <c r="D11" s="23" t="n">
        <v>4</v>
      </c>
      <c r="E11" s="44" t="n">
        <v>3290</v>
      </c>
      <c r="F11" s="24" t="n">
        <v>3214.4</v>
      </c>
      <c r="G11" s="24" t="n">
        <v>3304.1</v>
      </c>
      <c r="H11" s="24" t="n">
        <v>3279.4</v>
      </c>
      <c r="I11" s="24" t="n">
        <v>3196.5</v>
      </c>
      <c r="J11" s="24" t="n">
        <v>3196.5</v>
      </c>
      <c r="K11" s="24" t="n">
        <v>3122.2</v>
      </c>
      <c r="L11" s="24" t="n">
        <v>3156.7</v>
      </c>
      <c r="M11" s="24" t="n">
        <v>3174.2</v>
      </c>
      <c r="N11" s="24" t="n">
        <v>3056.7</v>
      </c>
      <c r="O11" s="24" t="n">
        <v>3160.6</v>
      </c>
      <c r="P11" s="24" t="n">
        <v>3144.1</v>
      </c>
      <c r="Q11" s="24" t="n">
        <v>3176.7</v>
      </c>
      <c r="R11" s="24" t="n">
        <v>3160.5</v>
      </c>
      <c r="S11" s="24" t="n">
        <v>3132.5</v>
      </c>
      <c r="T11" s="24" t="n">
        <v>3206</v>
      </c>
      <c r="U11" s="38" t="n">
        <v>3253.4</v>
      </c>
      <c r="V11" s="39" t="n"/>
      <c r="W11" s="39" t="n"/>
      <c r="X11" s="39" t="n"/>
      <c r="Y11" s="39" t="n"/>
      <c r="Z11" s="39" t="n"/>
      <c r="AA11" s="39" t="n"/>
      <c r="AB11" s="37">
        <f>LOOKUP(2,1/(F11:AA11&lt;&gt;""),F11:AA11)</f>
        <v/>
      </c>
      <c r="AC11" s="40">
        <f>AB11/E11-1</f>
        <v/>
      </c>
      <c r="AD11" s="41">
        <f>D11*(AB11-E11)</f>
        <v/>
      </c>
      <c r="AE11" s="19">
        <f>IFERROR(U11/T11-1,0)</f>
        <v/>
      </c>
      <c r="AF11" s="35">
        <f>IF(AC11&gt;0,"▲ Up",IF(AC11&lt;0,"▼ Down","■ Flat"))</f>
        <v/>
      </c>
    </row>
    <row r="12">
      <c r="A12" s="35" t="n">
        <v>7</v>
      </c>
      <c r="B12" s="16" t="inlineStr">
        <is>
          <t>DIACABS</t>
        </is>
      </c>
      <c r="C12" s="36" t="inlineStr">
        <is>
          <t>INE989C01038</t>
        </is>
      </c>
      <c r="D12" s="17" t="n">
        <v>44</v>
      </c>
      <c r="E12" s="37" t="n">
        <v>336.9</v>
      </c>
      <c r="F12" s="18" t="n">
        <v>339.25</v>
      </c>
      <c r="G12" s="18" t="n">
        <v>352.05</v>
      </c>
      <c r="H12" s="18" t="n">
        <v>354.2</v>
      </c>
      <c r="I12" s="18" t="n">
        <v>345</v>
      </c>
      <c r="J12" s="18" t="n">
        <v>345</v>
      </c>
      <c r="K12" s="18" t="n">
        <v>350.8</v>
      </c>
      <c r="L12" s="18" t="n">
        <v>368.3</v>
      </c>
      <c r="M12" s="18" t="n">
        <v>369.15</v>
      </c>
      <c r="N12" s="18" t="n">
        <v>371.9</v>
      </c>
      <c r="O12" s="18" t="n">
        <v>380.95</v>
      </c>
      <c r="P12" s="18" t="n">
        <v>379.7</v>
      </c>
      <c r="Q12" s="18" t="n">
        <v>377.55</v>
      </c>
      <c r="R12" s="18" t="n">
        <v>378.75</v>
      </c>
      <c r="S12" s="18" t="n">
        <v>373.75</v>
      </c>
      <c r="T12" s="18" t="n">
        <v>362.4</v>
      </c>
      <c r="U12" s="38" t="n">
        <v>345.85</v>
      </c>
      <c r="V12" s="39" t="n"/>
      <c r="W12" s="39" t="n"/>
      <c r="X12" s="39" t="n"/>
      <c r="Y12" s="39" t="n"/>
      <c r="Z12" s="39" t="n"/>
      <c r="AA12" s="39" t="n"/>
      <c r="AB12" s="37">
        <f>LOOKUP(2,1/(F12:AA12&lt;&gt;""),F12:AA12)</f>
        <v/>
      </c>
      <c r="AC12" s="40">
        <f>AB12/E12-1</f>
        <v/>
      </c>
      <c r="AD12" s="41">
        <f>D12*(AB12-E12)</f>
        <v/>
      </c>
      <c r="AE12" s="19">
        <f>IFERROR(U12/T12-1,0)</f>
        <v/>
      </c>
      <c r="AF12" s="35">
        <f>IF(AC12&gt;0,"▲ Up",IF(AC12&lt;0,"▼ Down","■ Flat"))</f>
        <v/>
      </c>
    </row>
    <row r="13">
      <c r="A13" s="42" t="n">
        <v>8</v>
      </c>
      <c r="B13" s="22" t="inlineStr">
        <is>
          <t>KIRLOSENG</t>
        </is>
      </c>
      <c r="C13" s="43" t="inlineStr">
        <is>
          <t>INE146L01010</t>
        </is>
      </c>
      <c r="D13" s="23" t="n">
        <v>7</v>
      </c>
      <c r="E13" s="44" t="n">
        <v>2141.2</v>
      </c>
      <c r="F13" s="24" t="n">
        <v>2141.2</v>
      </c>
      <c r="G13" s="24" t="n">
        <v>2402</v>
      </c>
      <c r="H13" s="24" t="n">
        <v>2304.2</v>
      </c>
      <c r="I13" s="24" t="n">
        <v>2242.7</v>
      </c>
      <c r="J13" s="24" t="n">
        <v>2242.7</v>
      </c>
      <c r="K13" s="24" t="n">
        <v>2243.7</v>
      </c>
      <c r="L13" s="24" t="n">
        <v>2266.1</v>
      </c>
      <c r="M13" s="24" t="n">
        <v>2230.8</v>
      </c>
      <c r="N13" s="24" t="n">
        <v>2163</v>
      </c>
      <c r="O13" s="24" t="n">
        <v>2210.4</v>
      </c>
      <c r="P13" s="24" t="n">
        <v>2193</v>
      </c>
      <c r="Q13" s="24" t="n">
        <v>2180.8</v>
      </c>
      <c r="R13" s="24" t="n">
        <v>2148.3</v>
      </c>
      <c r="S13" s="24" t="n">
        <v>2066.3</v>
      </c>
      <c r="T13" s="24" t="n">
        <v>2025.6</v>
      </c>
      <c r="U13" s="38" t="n">
        <v>1973.2</v>
      </c>
      <c r="V13" s="39" t="n"/>
      <c r="W13" s="39" t="n"/>
      <c r="X13" s="39" t="n"/>
      <c r="Y13" s="39" t="n"/>
      <c r="Z13" s="39" t="n"/>
      <c r="AA13" s="39" t="n"/>
      <c r="AB13" s="37">
        <f>LOOKUP(2,1/(F13:AA13&lt;&gt;""),F13:AA13)</f>
        <v/>
      </c>
      <c r="AC13" s="40">
        <f>AB13/E13-1</f>
        <v/>
      </c>
      <c r="AD13" s="41">
        <f>D13*(AB13-E13)</f>
        <v/>
      </c>
      <c r="AE13" s="19">
        <f>IFERROR(U13/T13-1,0)</f>
        <v/>
      </c>
      <c r="AF13" s="35">
        <f>IF(AC13&gt;0,"▲ Up",IF(AC13&lt;0,"▼ Down","■ Flat"))</f>
        <v/>
      </c>
    </row>
    <row r="14">
      <c r="A14" s="35" t="n">
        <v>9</v>
      </c>
      <c r="B14" s="16" t="inlineStr">
        <is>
          <t>E2E</t>
        </is>
      </c>
      <c r="C14" s="36" t="inlineStr">
        <is>
          <t>INE255Z01027</t>
        </is>
      </c>
      <c r="D14" s="17" t="n">
        <v>23</v>
      </c>
      <c r="E14" s="37" t="n">
        <v>619.55</v>
      </c>
      <c r="F14" s="18" t="n">
        <v>625.9</v>
      </c>
      <c r="G14" s="18" t="n">
        <v>651.8</v>
      </c>
      <c r="H14" s="18" t="n">
        <v>650.5</v>
      </c>
      <c r="I14" s="18" t="n">
        <v>648</v>
      </c>
      <c r="J14" s="18" t="n">
        <v>648</v>
      </c>
      <c r="K14" s="18" t="n">
        <v>656.1</v>
      </c>
      <c r="L14" s="18" t="n">
        <v>688.9</v>
      </c>
      <c r="M14" s="18" t="n">
        <v>723.3</v>
      </c>
      <c r="N14" s="18" t="n">
        <v>714.15</v>
      </c>
      <c r="O14" s="18" t="n">
        <v>704.6</v>
      </c>
      <c r="P14" s="18" t="n">
        <v>735.55</v>
      </c>
      <c r="Q14" s="18" t="n">
        <v>735.75</v>
      </c>
      <c r="R14" s="18" t="n">
        <v>748.3</v>
      </c>
      <c r="S14" s="18" t="n">
        <v>710.9</v>
      </c>
      <c r="T14" s="18" t="n">
        <v>694.85</v>
      </c>
      <c r="U14" s="38" t="n">
        <v>660.15</v>
      </c>
      <c r="V14" s="39" t="n"/>
      <c r="W14" s="39" t="n"/>
      <c r="X14" s="39" t="n"/>
      <c r="Y14" s="39" t="n"/>
      <c r="Z14" s="39" t="n"/>
      <c r="AA14" s="39" t="n"/>
      <c r="AB14" s="37">
        <f>LOOKUP(2,1/(F14:AA14&lt;&gt;""),F14:AA14)</f>
        <v/>
      </c>
      <c r="AC14" s="40">
        <f>AB14/E14-1</f>
        <v/>
      </c>
      <c r="AD14" s="41">
        <f>D14*(AB14-E14)</f>
        <v/>
      </c>
      <c r="AE14" s="19">
        <f>IFERROR(U14/T14-1,0)</f>
        <v/>
      </c>
      <c r="AF14" s="35">
        <f>IF(AC14&gt;0,"▲ Up",IF(AC14&lt;0,"▼ Down","■ Flat"))</f>
        <v/>
      </c>
    </row>
    <row r="15">
      <c r="A15" s="42" t="n">
        <v>10</v>
      </c>
      <c r="B15" s="22" t="inlineStr">
        <is>
          <t>LAURUSLABS</t>
        </is>
      </c>
      <c r="C15" s="43" t="inlineStr">
        <is>
          <t>INE947Q01028</t>
        </is>
      </c>
      <c r="D15" s="23" t="n">
        <v>7</v>
      </c>
      <c r="E15" s="44" t="n">
        <v>2020.7</v>
      </c>
      <c r="F15" s="24" t="n">
        <v>2010.7</v>
      </c>
      <c r="G15" s="24" t="n">
        <v>1979</v>
      </c>
      <c r="H15" s="24" t="n">
        <v>1980</v>
      </c>
      <c r="I15" s="24" t="n">
        <v>1984</v>
      </c>
      <c r="J15" s="24" t="n">
        <v>1984</v>
      </c>
      <c r="K15" s="24" t="n">
        <v>1971.4</v>
      </c>
      <c r="L15" s="24" t="n">
        <v>2050</v>
      </c>
      <c r="M15" s="24" t="n">
        <v>2052.8</v>
      </c>
      <c r="N15" s="24" t="n">
        <v>1997.9</v>
      </c>
      <c r="O15" s="24" t="n">
        <v>2036.6</v>
      </c>
      <c r="P15" s="24" t="n">
        <v>2069.2</v>
      </c>
      <c r="Q15" s="24" t="n">
        <v>2059.4</v>
      </c>
      <c r="R15" s="24" t="n">
        <v>2036.9</v>
      </c>
      <c r="S15" s="24" t="n">
        <v>2018.5</v>
      </c>
      <c r="T15" s="24" t="n">
        <v>2060.1</v>
      </c>
      <c r="U15" s="38" t="n">
        <v>2069</v>
      </c>
      <c r="V15" s="39" t="n"/>
      <c r="W15" s="39" t="n"/>
      <c r="X15" s="39" t="n"/>
      <c r="Y15" s="39" t="n"/>
      <c r="Z15" s="39" t="n"/>
      <c r="AA15" s="39" t="n"/>
      <c r="AB15" s="37">
        <f>LOOKUP(2,1/(F15:AA15&lt;&gt;""),F15:AA15)</f>
        <v/>
      </c>
      <c r="AC15" s="40">
        <f>AB15/E15-1</f>
        <v/>
      </c>
      <c r="AD15" s="41">
        <f>D15*(AB15-E15)</f>
        <v/>
      </c>
      <c r="AE15" s="19">
        <f>IFERROR(U15/T15-1,0)</f>
        <v/>
      </c>
      <c r="AF15" s="35">
        <f>IF(AC15&gt;0,"▲ Up",IF(AC15&lt;0,"▼ Down","■ Flat"))</f>
        <v/>
      </c>
    </row>
    <row r="16">
      <c r="A16" s="45" t="inlineStr"/>
      <c r="B16" s="46" t="inlineStr">
        <is>
          <t>PORTFOLIO</t>
        </is>
      </c>
      <c r="C16" s="45" t="inlineStr"/>
      <c r="D16" s="47">
        <f>SUM(D6:D15)</f>
        <v/>
      </c>
      <c r="E16" s="48">
        <f>SUMPRODUCT(D6:D15,E6:E15)</f>
        <v/>
      </c>
      <c r="F16" s="48">
        <f>IF(COUNT(F6:F15)=0,"",SUMPRODUCT($D$6:$D$15,F6:F15))</f>
        <v/>
      </c>
      <c r="G16" s="48">
        <f>IF(COUNT(G6:G15)=0,"",SUMPRODUCT($D$6:$D$15,G6:G15))</f>
        <v/>
      </c>
      <c r="H16" s="48">
        <f>IF(COUNT(H6:H15)=0,"",SUMPRODUCT($D$6:$D$15,H6:H15))</f>
        <v/>
      </c>
      <c r="I16" s="48">
        <f>IF(COUNT(I6:I15)=0,"",SUMPRODUCT($D$6:$D$15,I6:I15))</f>
        <v/>
      </c>
      <c r="J16" s="48">
        <f>IF(COUNT(J6:J15)=0,"",SUMPRODUCT($D$6:$D$15,J6:J15))</f>
        <v/>
      </c>
      <c r="K16" s="48">
        <f>IF(COUNT(K6:K15)=0,"",SUMPRODUCT($D$6:$D$15,K6:K15))</f>
        <v/>
      </c>
      <c r="L16" s="48">
        <f>IF(COUNT(L6:L15)=0,"",SUMPRODUCT($D$6:$D$15,L6:L15))</f>
        <v/>
      </c>
      <c r="M16" s="48">
        <f>IF(COUNT(M6:M15)=0,"",SUMPRODUCT($D$6:$D$15,M6:M15))</f>
        <v/>
      </c>
      <c r="N16" s="48">
        <f>IF(COUNT(N6:N15)=0,"",SUMPRODUCT($D$6:$D$15,N6:N15))</f>
        <v/>
      </c>
      <c r="O16" s="48">
        <f>IF(COUNT(O6:O15)=0,"",SUMPRODUCT($D$6:$D$15,O6:O15))</f>
        <v/>
      </c>
      <c r="P16" s="48">
        <f>IF(COUNT(P6:P15)=0,"",SUMPRODUCT($D$6:$D$15,P6:P15))</f>
        <v/>
      </c>
      <c r="Q16" s="48">
        <f>IF(COUNT(Q6:Q15)=0,"",SUMPRODUCT($D$6:$D$15,Q6:Q15))</f>
        <v/>
      </c>
      <c r="R16" s="48">
        <f>IF(COUNT(R6:R15)=0,"",SUMPRODUCT($D$6:$D$15,R6:R15))</f>
        <v/>
      </c>
      <c r="S16" s="48">
        <f>IF(COUNT(S6:S15)=0,"",SUMPRODUCT($D$6:$D$15,S6:S15))</f>
        <v/>
      </c>
      <c r="T16" s="48">
        <f>IF(COUNT(T6:T15)=0,"",SUMPRODUCT($D$6:$D$15,T6:T15))</f>
        <v/>
      </c>
      <c r="U16" s="48">
        <f>IF(COUNT(U6:U15)=0,"",SUMPRODUCT($D$6:$D$15,U6:U15))</f>
        <v/>
      </c>
      <c r="V16" s="48">
        <f>IF(COUNT(V6:V15)=0,"",SUMPRODUCT($D$6:$D$15,V6:V15))</f>
        <v/>
      </c>
      <c r="W16" s="48">
        <f>IF(COUNT(W6:W15)=0,"",SUMPRODUCT($D$6:$D$15,W6:W15))</f>
        <v/>
      </c>
      <c r="X16" s="48">
        <f>IF(COUNT(X6:X15)=0,"",SUMPRODUCT($D$6:$D$15,X6:X15))</f>
        <v/>
      </c>
      <c r="Y16" s="48">
        <f>IF(COUNT(Y6:Y15)=0,"",SUMPRODUCT($D$6:$D$15,Y6:Y15))</f>
        <v/>
      </c>
      <c r="Z16" s="48">
        <f>IF(COUNT(Z6:Z15)=0,"",SUMPRODUCT($D$6:$D$15,Z6:Z15))</f>
        <v/>
      </c>
      <c r="AA16" s="48">
        <f>IF(COUNT(AA6:AA15)=0,"",SUMPRODUCT($D$6:$D$15,AA6:AA15))</f>
        <v/>
      </c>
      <c r="AB16" s="48">
        <f>SUMPRODUCT(D6:D15,AB6:AB15)</f>
        <v/>
      </c>
      <c r="AC16" s="49">
        <f>AB16/E16-1</f>
        <v/>
      </c>
      <c r="AD16" s="48">
        <f>SUM(AD6:AD15)</f>
        <v/>
      </c>
      <c r="AE16" s="45" t="inlineStr"/>
      <c r="AF16" s="45" t="inlineStr"/>
    </row>
  </sheetData>
  <mergeCells count="12">
    <mergeCell ref="B4:B5"/>
    <mergeCell ref="A1:AF1"/>
    <mergeCell ref="A4:A5"/>
    <mergeCell ref="C4:C5"/>
    <mergeCell ref="D4:D5"/>
    <mergeCell ref="E4:E5"/>
    <mergeCell ref="AB4:AB5"/>
    <mergeCell ref="AE4:AE5"/>
    <mergeCell ref="AC4:AC5"/>
    <mergeCell ref="AF4:AF5"/>
    <mergeCell ref="AD4:AD5"/>
    <mergeCell ref="A2:AF2"/>
  </mergeCells>
  <conditionalFormatting sqref="AC6:AC16">
    <cfRule type="cellIs" priority="1" operator="greaterThan" dxfId="2">
      <formula>0</formula>
    </cfRule>
    <cfRule type="cellIs" priority="2" operator="lessThan" dxfId="3">
      <formula>0</formula>
    </cfRule>
  </conditionalFormatting>
  <conditionalFormatting sqref="AE6:AE16">
    <cfRule type="cellIs" priority="3" operator="greaterThan" dxfId="2">
      <formula>0</formula>
    </cfRule>
    <cfRule type="cellIs" priority="4" operator="lessThan" dxfId="3">
      <formula>0</formula>
    </cfRule>
  </conditionalFormatting>
  <conditionalFormatting sqref="AD6:AD15">
    <cfRule type="dataBar" priority="5">
      <dataBar showValue="1">
        <cfvo type="min"/>
        <cfvo type="max"/>
        <color rgb="005B8DEF"/>
      </dataBar>
    </cfRule>
  </conditionalFormatting>
  <pageMargins left="0.75" right="0.75" top="1" bottom="1" header="0.5" footer="0.5"/>
  <pageSetup orientation="landscape" fitToWidth="1"/>
</worksheet>
</file>

<file path=xl/worksheets/sheet3.xml><?xml version="1.0" encoding="utf-8"?>
<worksheet xmlns="http://schemas.openxmlformats.org/spreadsheetml/2006/main">
  <sheetPr>
    <tabColor rgb="001F9D63"/>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s>
  <sheetData>
    <row r="1" ht="30" customHeight="1">
      <c r="A1" s="1" t="inlineStr">
        <is>
          <t>Cumulative Return vs Entry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Each cell = close ÷ entry − 1. Colour scale: red → white → green.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28" t="inlineStr">
        <is>
          <t>Formulas link to 'Daily Closes' — edit a close there and this sheet updates.</t>
        </is>
      </c>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15" t="inlineStr">
        <is>
          <t>Day 9</t>
        </is>
      </c>
      <c r="P4" s="15" t="inlineStr">
        <is>
          <t>Day 10</t>
        </is>
      </c>
      <c r="Q4" s="15" t="inlineStr">
        <is>
          <t>Day 11</t>
        </is>
      </c>
      <c r="R4" s="15" t="inlineStr">
        <is>
          <t>Day 12</t>
        </is>
      </c>
      <c r="S4" s="15" t="inlineStr">
        <is>
          <t>Day 13</t>
        </is>
      </c>
      <c r="T4" s="15" t="inlineStr">
        <is>
          <t>Day 14</t>
        </is>
      </c>
      <c r="U4" s="30" t="inlineStr">
        <is>
          <t>Day 15</t>
        </is>
      </c>
      <c r="V4" s="15" t="inlineStr">
        <is>
          <t>Day 16</t>
        </is>
      </c>
      <c r="W4" s="15" t="inlineStr">
        <is>
          <t>Day 17</t>
        </is>
      </c>
      <c r="X4" s="15" t="inlineStr">
        <is>
          <t>Day 18</t>
        </is>
      </c>
      <c r="Y4" s="15" t="inlineStr">
        <is>
          <t>Day 19</t>
        </is>
      </c>
      <c r="Z4" s="15" t="inlineStr">
        <is>
          <t>Day 20</t>
        </is>
      </c>
      <c r="AA4" s="15" t="inlineStr">
        <is>
          <t>Day 21</t>
        </is>
      </c>
    </row>
    <row r="5">
      <c r="F5" s="50">
        <f>'Daily Closes'!F5</f>
        <v/>
      </c>
      <c r="G5" s="50">
        <f>'Daily Closes'!G5</f>
        <v/>
      </c>
      <c r="H5" s="50">
        <f>'Daily Closes'!H5</f>
        <v/>
      </c>
      <c r="I5" s="50">
        <f>'Daily Closes'!I5</f>
        <v/>
      </c>
      <c r="J5" s="50">
        <f>'Daily Closes'!J5</f>
        <v/>
      </c>
      <c r="K5" s="50">
        <f>'Daily Closes'!K5</f>
        <v/>
      </c>
      <c r="L5" s="50">
        <f>'Daily Closes'!L5</f>
        <v/>
      </c>
      <c r="M5" s="50">
        <f>'Daily Closes'!M5</f>
        <v/>
      </c>
      <c r="N5" s="50">
        <f>'Daily Closes'!N5</f>
        <v/>
      </c>
      <c r="O5" s="50">
        <f>'Daily Closes'!O5</f>
        <v/>
      </c>
      <c r="P5" s="50">
        <f>'Daily Closes'!P5</f>
        <v/>
      </c>
      <c r="Q5" s="50">
        <f>'Daily Closes'!Q5</f>
        <v/>
      </c>
      <c r="R5" s="50">
        <f>'Daily Closes'!R5</f>
        <v/>
      </c>
      <c r="S5" s="50">
        <f>'Daily Closes'!S5</f>
        <v/>
      </c>
      <c r="T5" s="50">
        <f>'Daily Closes'!T5</f>
        <v/>
      </c>
      <c r="U5" s="50">
        <f>'Daily Closes'!U5</f>
        <v/>
      </c>
      <c r="V5" s="50">
        <f>'Daily Closes'!V5</f>
        <v/>
      </c>
      <c r="W5" s="50">
        <f>'Daily Closes'!W5</f>
        <v/>
      </c>
      <c r="X5" s="50">
        <f>'Daily Closes'!X5</f>
        <v/>
      </c>
      <c r="Y5" s="50">
        <f>'Daily Closes'!Y5</f>
        <v/>
      </c>
      <c r="Z5" s="50">
        <f>'Daily Closes'!Z5</f>
        <v/>
      </c>
      <c r="AA5" s="50">
        <f>'Daily Closes'!AA5</f>
        <v/>
      </c>
    </row>
    <row r="6">
      <c r="A6" s="51">
        <f>'Daily Closes'!A6</f>
        <v/>
      </c>
      <c r="B6" s="16">
        <f>'Daily Closes'!B6</f>
        <v/>
      </c>
      <c r="C6" s="52">
        <f>'Daily Closes'!C6</f>
        <v/>
      </c>
      <c r="D6" s="51">
        <f>'Daily Closes'!D6</f>
        <v/>
      </c>
      <c r="E6" s="18">
        <f>'Daily Closes'!E6</f>
        <v/>
      </c>
      <c r="F6" s="35" t="inlineStr">
        <is>
          <t>—</t>
        </is>
      </c>
      <c r="G6" s="19">
        <f>IF('Daily Closes'!G6="","",'Daily Closes'!G6/$E6-1)</f>
        <v/>
      </c>
      <c r="H6" s="19">
        <f>IF('Daily Closes'!H6="","",'Daily Closes'!H6/$E6-1)</f>
        <v/>
      </c>
      <c r="I6" s="19">
        <f>IF('Daily Closes'!I6="","",'Daily Closes'!I6/$E6-1)</f>
        <v/>
      </c>
      <c r="J6" s="19">
        <f>IF('Daily Closes'!J6="","",'Daily Closes'!J6/$E6-1)</f>
        <v/>
      </c>
      <c r="K6" s="19">
        <f>IF('Daily Closes'!K6="","",'Daily Closes'!K6/$E6-1)</f>
        <v/>
      </c>
      <c r="L6" s="19">
        <f>IF('Daily Closes'!L6="","",'Daily Closes'!L6/$E6-1)</f>
        <v/>
      </c>
      <c r="M6" s="19">
        <f>IF('Daily Closes'!M6="","",'Daily Closes'!M6/$E6-1)</f>
        <v/>
      </c>
      <c r="N6" s="19">
        <f>IF('Daily Closes'!N6="","",'Daily Closes'!N6/$E6-1)</f>
        <v/>
      </c>
      <c r="O6" s="19">
        <f>IF('Daily Closes'!O6="","",'Daily Closes'!O6/$E6-1)</f>
        <v/>
      </c>
      <c r="P6" s="19">
        <f>IF('Daily Closes'!P6="","",'Daily Closes'!P6/$E6-1)</f>
        <v/>
      </c>
      <c r="Q6" s="19">
        <f>IF('Daily Closes'!Q6="","",'Daily Closes'!Q6/$E6-1)</f>
        <v/>
      </c>
      <c r="R6" s="19">
        <f>IF('Daily Closes'!R6="","",'Daily Closes'!R6/$E6-1)</f>
        <v/>
      </c>
      <c r="S6" s="19">
        <f>IF('Daily Closes'!S6="","",'Daily Closes'!S6/$E6-1)</f>
        <v/>
      </c>
      <c r="T6" s="19">
        <f>IF('Daily Closes'!T6="","",'Daily Closes'!T6/$E6-1)</f>
        <v/>
      </c>
      <c r="U6" s="19">
        <f>IF('Daily Closes'!U6="","",'Daily Closes'!U6/$E6-1)</f>
        <v/>
      </c>
      <c r="V6" s="19">
        <f>IF('Daily Closes'!V6="","",'Daily Closes'!V6/$E6-1)</f>
        <v/>
      </c>
      <c r="W6" s="19">
        <f>IF('Daily Closes'!W6="","",'Daily Closes'!W6/$E6-1)</f>
        <v/>
      </c>
      <c r="X6" s="19">
        <f>IF('Daily Closes'!X6="","",'Daily Closes'!X6/$E6-1)</f>
        <v/>
      </c>
      <c r="Y6" s="19">
        <f>IF('Daily Closes'!Y6="","",'Daily Closes'!Y6/$E6-1)</f>
        <v/>
      </c>
      <c r="Z6" s="19">
        <f>IF('Daily Closes'!Z6="","",'Daily Closes'!Z6/$E6-1)</f>
        <v/>
      </c>
      <c r="AA6" s="19">
        <f>IF('Daily Closes'!AA6="","",'Daily Closes'!AA6/$E6-1)</f>
        <v/>
      </c>
    </row>
    <row r="7">
      <c r="A7" s="51">
        <f>'Daily Closes'!A7</f>
        <v/>
      </c>
      <c r="B7" s="16">
        <f>'Daily Closes'!B7</f>
        <v/>
      </c>
      <c r="C7" s="52">
        <f>'Daily Closes'!C7</f>
        <v/>
      </c>
      <c r="D7" s="51">
        <f>'Daily Closes'!D7</f>
        <v/>
      </c>
      <c r="E7" s="18">
        <f>'Daily Closes'!E7</f>
        <v/>
      </c>
      <c r="F7" s="35" t="inlineStr">
        <is>
          <t>—</t>
        </is>
      </c>
      <c r="G7" s="19">
        <f>IF('Daily Closes'!G7="","",'Daily Closes'!G7/$E7-1)</f>
        <v/>
      </c>
      <c r="H7" s="19">
        <f>IF('Daily Closes'!H7="","",'Daily Closes'!H7/$E7-1)</f>
        <v/>
      </c>
      <c r="I7" s="19">
        <f>IF('Daily Closes'!I7="","",'Daily Closes'!I7/$E7-1)</f>
        <v/>
      </c>
      <c r="J7" s="19">
        <f>IF('Daily Closes'!J7="","",'Daily Closes'!J7/$E7-1)</f>
        <v/>
      </c>
      <c r="K7" s="19">
        <f>IF('Daily Closes'!K7="","",'Daily Closes'!K7/$E7-1)</f>
        <v/>
      </c>
      <c r="L7" s="19">
        <f>IF('Daily Closes'!L7="","",'Daily Closes'!L7/$E7-1)</f>
        <v/>
      </c>
      <c r="M7" s="19">
        <f>IF('Daily Closes'!M7="","",'Daily Closes'!M7/$E7-1)</f>
        <v/>
      </c>
      <c r="N7" s="19">
        <f>IF('Daily Closes'!N7="","",'Daily Closes'!N7/$E7-1)</f>
        <v/>
      </c>
      <c r="O7" s="19">
        <f>IF('Daily Closes'!O7="","",'Daily Closes'!O7/$E7-1)</f>
        <v/>
      </c>
      <c r="P7" s="19">
        <f>IF('Daily Closes'!P7="","",'Daily Closes'!P7/$E7-1)</f>
        <v/>
      </c>
      <c r="Q7" s="19">
        <f>IF('Daily Closes'!Q7="","",'Daily Closes'!Q7/$E7-1)</f>
        <v/>
      </c>
      <c r="R7" s="19">
        <f>IF('Daily Closes'!R7="","",'Daily Closes'!R7/$E7-1)</f>
        <v/>
      </c>
      <c r="S7" s="19">
        <f>IF('Daily Closes'!S7="","",'Daily Closes'!S7/$E7-1)</f>
        <v/>
      </c>
      <c r="T7" s="19">
        <f>IF('Daily Closes'!T7="","",'Daily Closes'!T7/$E7-1)</f>
        <v/>
      </c>
      <c r="U7" s="19">
        <f>IF('Daily Closes'!U7="","",'Daily Closes'!U7/$E7-1)</f>
        <v/>
      </c>
      <c r="V7" s="19">
        <f>IF('Daily Closes'!V7="","",'Daily Closes'!V7/$E7-1)</f>
        <v/>
      </c>
      <c r="W7" s="19">
        <f>IF('Daily Closes'!W7="","",'Daily Closes'!W7/$E7-1)</f>
        <v/>
      </c>
      <c r="X7" s="19">
        <f>IF('Daily Closes'!X7="","",'Daily Closes'!X7/$E7-1)</f>
        <v/>
      </c>
      <c r="Y7" s="19">
        <f>IF('Daily Closes'!Y7="","",'Daily Closes'!Y7/$E7-1)</f>
        <v/>
      </c>
      <c r="Z7" s="19">
        <f>IF('Daily Closes'!Z7="","",'Daily Closes'!Z7/$E7-1)</f>
        <v/>
      </c>
      <c r="AA7" s="19">
        <f>IF('Daily Closes'!AA7="","",'Daily Closes'!AA7/$E7-1)</f>
        <v/>
      </c>
    </row>
    <row r="8">
      <c r="A8" s="51">
        <f>'Daily Closes'!A8</f>
        <v/>
      </c>
      <c r="B8" s="16">
        <f>'Daily Closes'!B8</f>
        <v/>
      </c>
      <c r="C8" s="52">
        <f>'Daily Closes'!C8</f>
        <v/>
      </c>
      <c r="D8" s="51">
        <f>'Daily Closes'!D8</f>
        <v/>
      </c>
      <c r="E8" s="18">
        <f>'Daily Closes'!E8</f>
        <v/>
      </c>
      <c r="F8" s="35" t="inlineStr">
        <is>
          <t>—</t>
        </is>
      </c>
      <c r="G8" s="19">
        <f>IF('Daily Closes'!G8="","",'Daily Closes'!G8/$E8-1)</f>
        <v/>
      </c>
      <c r="H8" s="19">
        <f>IF('Daily Closes'!H8="","",'Daily Closes'!H8/$E8-1)</f>
        <v/>
      </c>
      <c r="I8" s="19">
        <f>IF('Daily Closes'!I8="","",'Daily Closes'!I8/$E8-1)</f>
        <v/>
      </c>
      <c r="J8" s="19">
        <f>IF('Daily Closes'!J8="","",'Daily Closes'!J8/$E8-1)</f>
        <v/>
      </c>
      <c r="K8" s="19">
        <f>IF('Daily Closes'!K8="","",'Daily Closes'!K8/$E8-1)</f>
        <v/>
      </c>
      <c r="L8" s="19">
        <f>IF('Daily Closes'!L8="","",'Daily Closes'!L8/$E8-1)</f>
        <v/>
      </c>
      <c r="M8" s="19">
        <f>IF('Daily Closes'!M8="","",'Daily Closes'!M8/$E8-1)</f>
        <v/>
      </c>
      <c r="N8" s="19">
        <f>IF('Daily Closes'!N8="","",'Daily Closes'!N8/$E8-1)</f>
        <v/>
      </c>
      <c r="O8" s="19">
        <f>IF('Daily Closes'!O8="","",'Daily Closes'!O8/$E8-1)</f>
        <v/>
      </c>
      <c r="P8" s="19">
        <f>IF('Daily Closes'!P8="","",'Daily Closes'!P8/$E8-1)</f>
        <v/>
      </c>
      <c r="Q8" s="19">
        <f>IF('Daily Closes'!Q8="","",'Daily Closes'!Q8/$E8-1)</f>
        <v/>
      </c>
      <c r="R8" s="19">
        <f>IF('Daily Closes'!R8="","",'Daily Closes'!R8/$E8-1)</f>
        <v/>
      </c>
      <c r="S8" s="19">
        <f>IF('Daily Closes'!S8="","",'Daily Closes'!S8/$E8-1)</f>
        <v/>
      </c>
      <c r="T8" s="19">
        <f>IF('Daily Closes'!T8="","",'Daily Closes'!T8/$E8-1)</f>
        <v/>
      </c>
      <c r="U8" s="19">
        <f>IF('Daily Closes'!U8="","",'Daily Closes'!U8/$E8-1)</f>
        <v/>
      </c>
      <c r="V8" s="19">
        <f>IF('Daily Closes'!V8="","",'Daily Closes'!V8/$E8-1)</f>
        <v/>
      </c>
      <c r="W8" s="19">
        <f>IF('Daily Closes'!W8="","",'Daily Closes'!W8/$E8-1)</f>
        <v/>
      </c>
      <c r="X8" s="19">
        <f>IF('Daily Closes'!X8="","",'Daily Closes'!X8/$E8-1)</f>
        <v/>
      </c>
      <c r="Y8" s="19">
        <f>IF('Daily Closes'!Y8="","",'Daily Closes'!Y8/$E8-1)</f>
        <v/>
      </c>
      <c r="Z8" s="19">
        <f>IF('Daily Closes'!Z8="","",'Daily Closes'!Z8/$E8-1)</f>
        <v/>
      </c>
      <c r="AA8" s="19">
        <f>IF('Daily Closes'!AA8="","",'Daily Closes'!AA8/$E8-1)</f>
        <v/>
      </c>
    </row>
    <row r="9">
      <c r="A9" s="51">
        <f>'Daily Closes'!A9</f>
        <v/>
      </c>
      <c r="B9" s="16">
        <f>'Daily Closes'!B9</f>
        <v/>
      </c>
      <c r="C9" s="52">
        <f>'Daily Closes'!C9</f>
        <v/>
      </c>
      <c r="D9" s="51">
        <f>'Daily Closes'!D9</f>
        <v/>
      </c>
      <c r="E9" s="18">
        <f>'Daily Closes'!E9</f>
        <v/>
      </c>
      <c r="F9" s="35" t="inlineStr">
        <is>
          <t>—</t>
        </is>
      </c>
      <c r="G9" s="19">
        <f>IF('Daily Closes'!G9="","",'Daily Closes'!G9/$E9-1)</f>
        <v/>
      </c>
      <c r="H9" s="19">
        <f>IF('Daily Closes'!H9="","",'Daily Closes'!H9/$E9-1)</f>
        <v/>
      </c>
      <c r="I9" s="19">
        <f>IF('Daily Closes'!I9="","",'Daily Closes'!I9/$E9-1)</f>
        <v/>
      </c>
      <c r="J9" s="19">
        <f>IF('Daily Closes'!J9="","",'Daily Closes'!J9/$E9-1)</f>
        <v/>
      </c>
      <c r="K9" s="19">
        <f>IF('Daily Closes'!K9="","",'Daily Closes'!K9/$E9-1)</f>
        <v/>
      </c>
      <c r="L9" s="19">
        <f>IF('Daily Closes'!L9="","",'Daily Closes'!L9/$E9-1)</f>
        <v/>
      </c>
      <c r="M9" s="19">
        <f>IF('Daily Closes'!M9="","",'Daily Closes'!M9/$E9-1)</f>
        <v/>
      </c>
      <c r="N9" s="19">
        <f>IF('Daily Closes'!N9="","",'Daily Closes'!N9/$E9-1)</f>
        <v/>
      </c>
      <c r="O9" s="19">
        <f>IF('Daily Closes'!O9="","",'Daily Closes'!O9/$E9-1)</f>
        <v/>
      </c>
      <c r="P9" s="19">
        <f>IF('Daily Closes'!P9="","",'Daily Closes'!P9/$E9-1)</f>
        <v/>
      </c>
      <c r="Q9" s="19">
        <f>IF('Daily Closes'!Q9="","",'Daily Closes'!Q9/$E9-1)</f>
        <v/>
      </c>
      <c r="R9" s="19">
        <f>IF('Daily Closes'!R9="","",'Daily Closes'!R9/$E9-1)</f>
        <v/>
      </c>
      <c r="S9" s="19">
        <f>IF('Daily Closes'!S9="","",'Daily Closes'!S9/$E9-1)</f>
        <v/>
      </c>
      <c r="T9" s="19">
        <f>IF('Daily Closes'!T9="","",'Daily Closes'!T9/$E9-1)</f>
        <v/>
      </c>
      <c r="U9" s="19">
        <f>IF('Daily Closes'!U9="","",'Daily Closes'!U9/$E9-1)</f>
        <v/>
      </c>
      <c r="V9" s="19">
        <f>IF('Daily Closes'!V9="","",'Daily Closes'!V9/$E9-1)</f>
        <v/>
      </c>
      <c r="W9" s="19">
        <f>IF('Daily Closes'!W9="","",'Daily Closes'!W9/$E9-1)</f>
        <v/>
      </c>
      <c r="X9" s="19">
        <f>IF('Daily Closes'!X9="","",'Daily Closes'!X9/$E9-1)</f>
        <v/>
      </c>
      <c r="Y9" s="19">
        <f>IF('Daily Closes'!Y9="","",'Daily Closes'!Y9/$E9-1)</f>
        <v/>
      </c>
      <c r="Z9" s="19">
        <f>IF('Daily Closes'!Z9="","",'Daily Closes'!Z9/$E9-1)</f>
        <v/>
      </c>
      <c r="AA9" s="19">
        <f>IF('Daily Closes'!AA9="","",'Daily Closes'!AA9/$E9-1)</f>
        <v/>
      </c>
    </row>
    <row r="10">
      <c r="A10" s="51">
        <f>'Daily Closes'!A10</f>
        <v/>
      </c>
      <c r="B10" s="16">
        <f>'Daily Closes'!B10</f>
        <v/>
      </c>
      <c r="C10" s="52">
        <f>'Daily Closes'!C10</f>
        <v/>
      </c>
      <c r="D10" s="51">
        <f>'Daily Closes'!D10</f>
        <v/>
      </c>
      <c r="E10" s="18">
        <f>'Daily Closes'!E10</f>
        <v/>
      </c>
      <c r="F10" s="35" t="inlineStr">
        <is>
          <t>—</t>
        </is>
      </c>
      <c r="G10" s="19">
        <f>IF('Daily Closes'!G10="","",'Daily Closes'!G10/$E10-1)</f>
        <v/>
      </c>
      <c r="H10" s="19">
        <f>IF('Daily Closes'!H10="","",'Daily Closes'!H10/$E10-1)</f>
        <v/>
      </c>
      <c r="I10" s="19">
        <f>IF('Daily Closes'!I10="","",'Daily Closes'!I10/$E10-1)</f>
        <v/>
      </c>
      <c r="J10" s="19">
        <f>IF('Daily Closes'!J10="","",'Daily Closes'!J10/$E10-1)</f>
        <v/>
      </c>
      <c r="K10" s="19">
        <f>IF('Daily Closes'!K10="","",'Daily Closes'!K10/$E10-1)</f>
        <v/>
      </c>
      <c r="L10" s="19">
        <f>IF('Daily Closes'!L10="","",'Daily Closes'!L10/$E10-1)</f>
        <v/>
      </c>
      <c r="M10" s="19">
        <f>IF('Daily Closes'!M10="","",'Daily Closes'!M10/$E10-1)</f>
        <v/>
      </c>
      <c r="N10" s="19">
        <f>IF('Daily Closes'!N10="","",'Daily Closes'!N10/$E10-1)</f>
        <v/>
      </c>
      <c r="O10" s="19">
        <f>IF('Daily Closes'!O10="","",'Daily Closes'!O10/$E10-1)</f>
        <v/>
      </c>
      <c r="P10" s="19">
        <f>IF('Daily Closes'!P10="","",'Daily Closes'!P10/$E10-1)</f>
        <v/>
      </c>
      <c r="Q10" s="19">
        <f>IF('Daily Closes'!Q10="","",'Daily Closes'!Q10/$E10-1)</f>
        <v/>
      </c>
      <c r="R10" s="19">
        <f>IF('Daily Closes'!R10="","",'Daily Closes'!R10/$E10-1)</f>
        <v/>
      </c>
      <c r="S10" s="19">
        <f>IF('Daily Closes'!S10="","",'Daily Closes'!S10/$E10-1)</f>
        <v/>
      </c>
      <c r="T10" s="19">
        <f>IF('Daily Closes'!T10="","",'Daily Closes'!T10/$E10-1)</f>
        <v/>
      </c>
      <c r="U10" s="19">
        <f>IF('Daily Closes'!U10="","",'Daily Closes'!U10/$E10-1)</f>
        <v/>
      </c>
      <c r="V10" s="19">
        <f>IF('Daily Closes'!V10="","",'Daily Closes'!V10/$E10-1)</f>
        <v/>
      </c>
      <c r="W10" s="19">
        <f>IF('Daily Closes'!W10="","",'Daily Closes'!W10/$E10-1)</f>
        <v/>
      </c>
      <c r="X10" s="19">
        <f>IF('Daily Closes'!X10="","",'Daily Closes'!X10/$E10-1)</f>
        <v/>
      </c>
      <c r="Y10" s="19">
        <f>IF('Daily Closes'!Y10="","",'Daily Closes'!Y10/$E10-1)</f>
        <v/>
      </c>
      <c r="Z10" s="19">
        <f>IF('Daily Closes'!Z10="","",'Daily Closes'!Z10/$E10-1)</f>
        <v/>
      </c>
      <c r="AA10" s="19">
        <f>IF('Daily Closes'!AA10="","",'Daily Closes'!AA10/$E10-1)</f>
        <v/>
      </c>
    </row>
    <row r="11">
      <c r="A11" s="51">
        <f>'Daily Closes'!A11</f>
        <v/>
      </c>
      <c r="B11" s="16">
        <f>'Daily Closes'!B11</f>
        <v/>
      </c>
      <c r="C11" s="52">
        <f>'Daily Closes'!C11</f>
        <v/>
      </c>
      <c r="D11" s="51">
        <f>'Daily Closes'!D11</f>
        <v/>
      </c>
      <c r="E11" s="18">
        <f>'Daily Closes'!E11</f>
        <v/>
      </c>
      <c r="F11" s="35" t="inlineStr">
        <is>
          <t>—</t>
        </is>
      </c>
      <c r="G11" s="19">
        <f>IF('Daily Closes'!G11="","",'Daily Closes'!G11/$E11-1)</f>
        <v/>
      </c>
      <c r="H11" s="19">
        <f>IF('Daily Closes'!H11="","",'Daily Closes'!H11/$E11-1)</f>
        <v/>
      </c>
      <c r="I11" s="19">
        <f>IF('Daily Closes'!I11="","",'Daily Closes'!I11/$E11-1)</f>
        <v/>
      </c>
      <c r="J11" s="19">
        <f>IF('Daily Closes'!J11="","",'Daily Closes'!J11/$E11-1)</f>
        <v/>
      </c>
      <c r="K11" s="19">
        <f>IF('Daily Closes'!K11="","",'Daily Closes'!K11/$E11-1)</f>
        <v/>
      </c>
      <c r="L11" s="19">
        <f>IF('Daily Closes'!L11="","",'Daily Closes'!L11/$E11-1)</f>
        <v/>
      </c>
      <c r="M11" s="19">
        <f>IF('Daily Closes'!M11="","",'Daily Closes'!M11/$E11-1)</f>
        <v/>
      </c>
      <c r="N11" s="19">
        <f>IF('Daily Closes'!N11="","",'Daily Closes'!N11/$E11-1)</f>
        <v/>
      </c>
      <c r="O11" s="19">
        <f>IF('Daily Closes'!O11="","",'Daily Closes'!O11/$E11-1)</f>
        <v/>
      </c>
      <c r="P11" s="19">
        <f>IF('Daily Closes'!P11="","",'Daily Closes'!P11/$E11-1)</f>
        <v/>
      </c>
      <c r="Q11" s="19">
        <f>IF('Daily Closes'!Q11="","",'Daily Closes'!Q11/$E11-1)</f>
        <v/>
      </c>
      <c r="R11" s="19">
        <f>IF('Daily Closes'!R11="","",'Daily Closes'!R11/$E11-1)</f>
        <v/>
      </c>
      <c r="S11" s="19">
        <f>IF('Daily Closes'!S11="","",'Daily Closes'!S11/$E11-1)</f>
        <v/>
      </c>
      <c r="T11" s="19">
        <f>IF('Daily Closes'!T11="","",'Daily Closes'!T11/$E11-1)</f>
        <v/>
      </c>
      <c r="U11" s="19">
        <f>IF('Daily Closes'!U11="","",'Daily Closes'!U11/$E11-1)</f>
        <v/>
      </c>
      <c r="V11" s="19">
        <f>IF('Daily Closes'!V11="","",'Daily Closes'!V11/$E11-1)</f>
        <v/>
      </c>
      <c r="W11" s="19">
        <f>IF('Daily Closes'!W11="","",'Daily Closes'!W11/$E11-1)</f>
        <v/>
      </c>
      <c r="X11" s="19">
        <f>IF('Daily Closes'!X11="","",'Daily Closes'!X11/$E11-1)</f>
        <v/>
      </c>
      <c r="Y11" s="19">
        <f>IF('Daily Closes'!Y11="","",'Daily Closes'!Y11/$E11-1)</f>
        <v/>
      </c>
      <c r="Z11" s="19">
        <f>IF('Daily Closes'!Z11="","",'Daily Closes'!Z11/$E11-1)</f>
        <v/>
      </c>
      <c r="AA11" s="19">
        <f>IF('Daily Closes'!AA11="","",'Daily Closes'!AA11/$E11-1)</f>
        <v/>
      </c>
    </row>
    <row r="12">
      <c r="A12" s="51">
        <f>'Daily Closes'!A12</f>
        <v/>
      </c>
      <c r="B12" s="16">
        <f>'Daily Closes'!B12</f>
        <v/>
      </c>
      <c r="C12" s="52">
        <f>'Daily Closes'!C12</f>
        <v/>
      </c>
      <c r="D12" s="51">
        <f>'Daily Closes'!D12</f>
        <v/>
      </c>
      <c r="E12" s="18">
        <f>'Daily Closes'!E12</f>
        <v/>
      </c>
      <c r="F12" s="35" t="inlineStr">
        <is>
          <t>—</t>
        </is>
      </c>
      <c r="G12" s="19">
        <f>IF('Daily Closes'!G12="","",'Daily Closes'!G12/$E12-1)</f>
        <v/>
      </c>
      <c r="H12" s="19">
        <f>IF('Daily Closes'!H12="","",'Daily Closes'!H12/$E12-1)</f>
        <v/>
      </c>
      <c r="I12" s="19">
        <f>IF('Daily Closes'!I12="","",'Daily Closes'!I12/$E12-1)</f>
        <v/>
      </c>
      <c r="J12" s="19">
        <f>IF('Daily Closes'!J12="","",'Daily Closes'!J12/$E12-1)</f>
        <v/>
      </c>
      <c r="K12" s="19">
        <f>IF('Daily Closes'!K12="","",'Daily Closes'!K12/$E12-1)</f>
        <v/>
      </c>
      <c r="L12" s="19">
        <f>IF('Daily Closes'!L12="","",'Daily Closes'!L12/$E12-1)</f>
        <v/>
      </c>
      <c r="M12" s="19">
        <f>IF('Daily Closes'!M12="","",'Daily Closes'!M12/$E12-1)</f>
        <v/>
      </c>
      <c r="N12" s="19">
        <f>IF('Daily Closes'!N12="","",'Daily Closes'!N12/$E12-1)</f>
        <v/>
      </c>
      <c r="O12" s="19">
        <f>IF('Daily Closes'!O12="","",'Daily Closes'!O12/$E12-1)</f>
        <v/>
      </c>
      <c r="P12" s="19">
        <f>IF('Daily Closes'!P12="","",'Daily Closes'!P12/$E12-1)</f>
        <v/>
      </c>
      <c r="Q12" s="19">
        <f>IF('Daily Closes'!Q12="","",'Daily Closes'!Q12/$E12-1)</f>
        <v/>
      </c>
      <c r="R12" s="19">
        <f>IF('Daily Closes'!R12="","",'Daily Closes'!R12/$E12-1)</f>
        <v/>
      </c>
      <c r="S12" s="19">
        <f>IF('Daily Closes'!S12="","",'Daily Closes'!S12/$E12-1)</f>
        <v/>
      </c>
      <c r="T12" s="19">
        <f>IF('Daily Closes'!T12="","",'Daily Closes'!T12/$E12-1)</f>
        <v/>
      </c>
      <c r="U12" s="19">
        <f>IF('Daily Closes'!U12="","",'Daily Closes'!U12/$E12-1)</f>
        <v/>
      </c>
      <c r="V12" s="19">
        <f>IF('Daily Closes'!V12="","",'Daily Closes'!V12/$E12-1)</f>
        <v/>
      </c>
      <c r="W12" s="19">
        <f>IF('Daily Closes'!W12="","",'Daily Closes'!W12/$E12-1)</f>
        <v/>
      </c>
      <c r="X12" s="19">
        <f>IF('Daily Closes'!X12="","",'Daily Closes'!X12/$E12-1)</f>
        <v/>
      </c>
      <c r="Y12" s="19">
        <f>IF('Daily Closes'!Y12="","",'Daily Closes'!Y12/$E12-1)</f>
        <v/>
      </c>
      <c r="Z12" s="19">
        <f>IF('Daily Closes'!Z12="","",'Daily Closes'!Z12/$E12-1)</f>
        <v/>
      </c>
      <c r="AA12" s="19">
        <f>IF('Daily Closes'!AA12="","",'Daily Closes'!AA12/$E12-1)</f>
        <v/>
      </c>
    </row>
    <row r="13">
      <c r="A13" s="51">
        <f>'Daily Closes'!A13</f>
        <v/>
      </c>
      <c r="B13" s="16">
        <f>'Daily Closes'!B13</f>
        <v/>
      </c>
      <c r="C13" s="52">
        <f>'Daily Closes'!C13</f>
        <v/>
      </c>
      <c r="D13" s="51">
        <f>'Daily Closes'!D13</f>
        <v/>
      </c>
      <c r="E13" s="18">
        <f>'Daily Closes'!E13</f>
        <v/>
      </c>
      <c r="F13" s="35" t="inlineStr">
        <is>
          <t>—</t>
        </is>
      </c>
      <c r="G13" s="19">
        <f>IF('Daily Closes'!G13="","",'Daily Closes'!G13/$E13-1)</f>
        <v/>
      </c>
      <c r="H13" s="19">
        <f>IF('Daily Closes'!H13="","",'Daily Closes'!H13/$E13-1)</f>
        <v/>
      </c>
      <c r="I13" s="19">
        <f>IF('Daily Closes'!I13="","",'Daily Closes'!I13/$E13-1)</f>
        <v/>
      </c>
      <c r="J13" s="19">
        <f>IF('Daily Closes'!J13="","",'Daily Closes'!J13/$E13-1)</f>
        <v/>
      </c>
      <c r="K13" s="19">
        <f>IF('Daily Closes'!K13="","",'Daily Closes'!K13/$E13-1)</f>
        <v/>
      </c>
      <c r="L13" s="19">
        <f>IF('Daily Closes'!L13="","",'Daily Closes'!L13/$E13-1)</f>
        <v/>
      </c>
      <c r="M13" s="19">
        <f>IF('Daily Closes'!M13="","",'Daily Closes'!M13/$E13-1)</f>
        <v/>
      </c>
      <c r="N13" s="19">
        <f>IF('Daily Closes'!N13="","",'Daily Closes'!N13/$E13-1)</f>
        <v/>
      </c>
      <c r="O13" s="19">
        <f>IF('Daily Closes'!O13="","",'Daily Closes'!O13/$E13-1)</f>
        <v/>
      </c>
      <c r="P13" s="19">
        <f>IF('Daily Closes'!P13="","",'Daily Closes'!P13/$E13-1)</f>
        <v/>
      </c>
      <c r="Q13" s="19">
        <f>IF('Daily Closes'!Q13="","",'Daily Closes'!Q13/$E13-1)</f>
        <v/>
      </c>
      <c r="R13" s="19">
        <f>IF('Daily Closes'!R13="","",'Daily Closes'!R13/$E13-1)</f>
        <v/>
      </c>
      <c r="S13" s="19">
        <f>IF('Daily Closes'!S13="","",'Daily Closes'!S13/$E13-1)</f>
        <v/>
      </c>
      <c r="T13" s="19">
        <f>IF('Daily Closes'!T13="","",'Daily Closes'!T13/$E13-1)</f>
        <v/>
      </c>
      <c r="U13" s="19">
        <f>IF('Daily Closes'!U13="","",'Daily Closes'!U13/$E13-1)</f>
        <v/>
      </c>
      <c r="V13" s="19">
        <f>IF('Daily Closes'!V13="","",'Daily Closes'!V13/$E13-1)</f>
        <v/>
      </c>
      <c r="W13" s="19">
        <f>IF('Daily Closes'!W13="","",'Daily Closes'!W13/$E13-1)</f>
        <v/>
      </c>
      <c r="X13" s="19">
        <f>IF('Daily Closes'!X13="","",'Daily Closes'!X13/$E13-1)</f>
        <v/>
      </c>
      <c r="Y13" s="19">
        <f>IF('Daily Closes'!Y13="","",'Daily Closes'!Y13/$E13-1)</f>
        <v/>
      </c>
      <c r="Z13" s="19">
        <f>IF('Daily Closes'!Z13="","",'Daily Closes'!Z13/$E13-1)</f>
        <v/>
      </c>
      <c r="AA13" s="19">
        <f>IF('Daily Closes'!AA13="","",'Daily Closes'!AA13/$E13-1)</f>
        <v/>
      </c>
    </row>
    <row r="14">
      <c r="A14" s="51">
        <f>'Daily Closes'!A14</f>
        <v/>
      </c>
      <c r="B14" s="16">
        <f>'Daily Closes'!B14</f>
        <v/>
      </c>
      <c r="C14" s="52">
        <f>'Daily Closes'!C14</f>
        <v/>
      </c>
      <c r="D14" s="51">
        <f>'Daily Closes'!D14</f>
        <v/>
      </c>
      <c r="E14" s="18">
        <f>'Daily Closes'!E14</f>
        <v/>
      </c>
      <c r="F14" s="35" t="inlineStr">
        <is>
          <t>—</t>
        </is>
      </c>
      <c r="G14" s="19">
        <f>IF('Daily Closes'!G14="","",'Daily Closes'!G14/$E14-1)</f>
        <v/>
      </c>
      <c r="H14" s="19">
        <f>IF('Daily Closes'!H14="","",'Daily Closes'!H14/$E14-1)</f>
        <v/>
      </c>
      <c r="I14" s="19">
        <f>IF('Daily Closes'!I14="","",'Daily Closes'!I14/$E14-1)</f>
        <v/>
      </c>
      <c r="J14" s="19">
        <f>IF('Daily Closes'!J14="","",'Daily Closes'!J14/$E14-1)</f>
        <v/>
      </c>
      <c r="K14" s="19">
        <f>IF('Daily Closes'!K14="","",'Daily Closes'!K14/$E14-1)</f>
        <v/>
      </c>
      <c r="L14" s="19">
        <f>IF('Daily Closes'!L14="","",'Daily Closes'!L14/$E14-1)</f>
        <v/>
      </c>
      <c r="M14" s="19">
        <f>IF('Daily Closes'!M14="","",'Daily Closes'!M14/$E14-1)</f>
        <v/>
      </c>
      <c r="N14" s="19">
        <f>IF('Daily Closes'!N14="","",'Daily Closes'!N14/$E14-1)</f>
        <v/>
      </c>
      <c r="O14" s="19">
        <f>IF('Daily Closes'!O14="","",'Daily Closes'!O14/$E14-1)</f>
        <v/>
      </c>
      <c r="P14" s="19">
        <f>IF('Daily Closes'!P14="","",'Daily Closes'!P14/$E14-1)</f>
        <v/>
      </c>
      <c r="Q14" s="19">
        <f>IF('Daily Closes'!Q14="","",'Daily Closes'!Q14/$E14-1)</f>
        <v/>
      </c>
      <c r="R14" s="19">
        <f>IF('Daily Closes'!R14="","",'Daily Closes'!R14/$E14-1)</f>
        <v/>
      </c>
      <c r="S14" s="19">
        <f>IF('Daily Closes'!S14="","",'Daily Closes'!S14/$E14-1)</f>
        <v/>
      </c>
      <c r="T14" s="19">
        <f>IF('Daily Closes'!T14="","",'Daily Closes'!T14/$E14-1)</f>
        <v/>
      </c>
      <c r="U14" s="19">
        <f>IF('Daily Closes'!U14="","",'Daily Closes'!U14/$E14-1)</f>
        <v/>
      </c>
      <c r="V14" s="19">
        <f>IF('Daily Closes'!V14="","",'Daily Closes'!V14/$E14-1)</f>
        <v/>
      </c>
      <c r="W14" s="19">
        <f>IF('Daily Closes'!W14="","",'Daily Closes'!W14/$E14-1)</f>
        <v/>
      </c>
      <c r="X14" s="19">
        <f>IF('Daily Closes'!X14="","",'Daily Closes'!X14/$E14-1)</f>
        <v/>
      </c>
      <c r="Y14" s="19">
        <f>IF('Daily Closes'!Y14="","",'Daily Closes'!Y14/$E14-1)</f>
        <v/>
      </c>
      <c r="Z14" s="19">
        <f>IF('Daily Closes'!Z14="","",'Daily Closes'!Z14/$E14-1)</f>
        <v/>
      </c>
      <c r="AA14" s="19">
        <f>IF('Daily Closes'!AA14="","",'Daily Closes'!AA14/$E14-1)</f>
        <v/>
      </c>
    </row>
    <row r="15">
      <c r="A15" s="51">
        <f>'Daily Closes'!A15</f>
        <v/>
      </c>
      <c r="B15" s="16">
        <f>'Daily Closes'!B15</f>
        <v/>
      </c>
      <c r="C15" s="52">
        <f>'Daily Closes'!C15</f>
        <v/>
      </c>
      <c r="D15" s="51">
        <f>'Daily Closes'!D15</f>
        <v/>
      </c>
      <c r="E15" s="18">
        <f>'Daily Closes'!E15</f>
        <v/>
      </c>
      <c r="F15" s="35" t="inlineStr">
        <is>
          <t>—</t>
        </is>
      </c>
      <c r="G15" s="19">
        <f>IF('Daily Closes'!G15="","",'Daily Closes'!G15/$E15-1)</f>
        <v/>
      </c>
      <c r="H15" s="19">
        <f>IF('Daily Closes'!H15="","",'Daily Closes'!H15/$E15-1)</f>
        <v/>
      </c>
      <c r="I15" s="19">
        <f>IF('Daily Closes'!I15="","",'Daily Closes'!I15/$E15-1)</f>
        <v/>
      </c>
      <c r="J15" s="19">
        <f>IF('Daily Closes'!J15="","",'Daily Closes'!J15/$E15-1)</f>
        <v/>
      </c>
      <c r="K15" s="19">
        <f>IF('Daily Closes'!K15="","",'Daily Closes'!K15/$E15-1)</f>
        <v/>
      </c>
      <c r="L15" s="19">
        <f>IF('Daily Closes'!L15="","",'Daily Closes'!L15/$E15-1)</f>
        <v/>
      </c>
      <c r="M15" s="19">
        <f>IF('Daily Closes'!M15="","",'Daily Closes'!M15/$E15-1)</f>
        <v/>
      </c>
      <c r="N15" s="19">
        <f>IF('Daily Closes'!N15="","",'Daily Closes'!N15/$E15-1)</f>
        <v/>
      </c>
      <c r="O15" s="19">
        <f>IF('Daily Closes'!O15="","",'Daily Closes'!O15/$E15-1)</f>
        <v/>
      </c>
      <c r="P15" s="19">
        <f>IF('Daily Closes'!P15="","",'Daily Closes'!P15/$E15-1)</f>
        <v/>
      </c>
      <c r="Q15" s="19">
        <f>IF('Daily Closes'!Q15="","",'Daily Closes'!Q15/$E15-1)</f>
        <v/>
      </c>
      <c r="R15" s="19">
        <f>IF('Daily Closes'!R15="","",'Daily Closes'!R15/$E15-1)</f>
        <v/>
      </c>
      <c r="S15" s="19">
        <f>IF('Daily Closes'!S15="","",'Daily Closes'!S15/$E15-1)</f>
        <v/>
      </c>
      <c r="T15" s="19">
        <f>IF('Daily Closes'!T15="","",'Daily Closes'!T15/$E15-1)</f>
        <v/>
      </c>
      <c r="U15" s="19">
        <f>IF('Daily Closes'!U15="","",'Daily Closes'!U15/$E15-1)</f>
        <v/>
      </c>
      <c r="V15" s="19">
        <f>IF('Daily Closes'!V15="","",'Daily Closes'!V15/$E15-1)</f>
        <v/>
      </c>
      <c r="W15" s="19">
        <f>IF('Daily Closes'!W15="","",'Daily Closes'!W15/$E15-1)</f>
        <v/>
      </c>
      <c r="X15" s="19">
        <f>IF('Daily Closes'!X15="","",'Daily Closes'!X15/$E15-1)</f>
        <v/>
      </c>
      <c r="Y15" s="19">
        <f>IF('Daily Closes'!Y15="","",'Daily Closes'!Y15/$E15-1)</f>
        <v/>
      </c>
      <c r="Z15" s="19">
        <f>IF('Daily Closes'!Z15="","",'Daily Closes'!Z15/$E15-1)</f>
        <v/>
      </c>
      <c r="AA15" s="19">
        <f>IF('Daily Closes'!AA15="","",'Daily Closes'!AA15/$E15-1)</f>
        <v/>
      </c>
    </row>
    <row r="16">
      <c r="B16" s="16" t="inlineStr">
        <is>
          <t>PORTFOLIO</t>
        </is>
      </c>
      <c r="G16" s="49">
        <f>IF('Daily Closes'!G16="","",'Daily Closes'!G16/'Daily Closes'!$E$16-1)</f>
        <v/>
      </c>
      <c r="H16" s="49">
        <f>IF('Daily Closes'!H16="","",'Daily Closes'!H16/'Daily Closes'!$E$16-1)</f>
        <v/>
      </c>
      <c r="I16" s="49">
        <f>IF('Daily Closes'!I16="","",'Daily Closes'!I16/'Daily Closes'!$E$16-1)</f>
        <v/>
      </c>
      <c r="J16" s="49">
        <f>IF('Daily Closes'!J16="","",'Daily Closes'!J16/'Daily Closes'!$E$16-1)</f>
        <v/>
      </c>
      <c r="K16" s="49">
        <f>IF('Daily Closes'!K16="","",'Daily Closes'!K16/'Daily Closes'!$E$16-1)</f>
        <v/>
      </c>
      <c r="L16" s="49">
        <f>IF('Daily Closes'!L16="","",'Daily Closes'!L16/'Daily Closes'!$E$16-1)</f>
        <v/>
      </c>
      <c r="M16" s="49">
        <f>IF('Daily Closes'!M16="","",'Daily Closes'!M16/'Daily Closes'!$E$16-1)</f>
        <v/>
      </c>
      <c r="N16" s="49">
        <f>IF('Daily Closes'!N16="","",'Daily Closes'!N16/'Daily Closes'!$E$16-1)</f>
        <v/>
      </c>
      <c r="O16" s="49">
        <f>IF('Daily Closes'!O16="","",'Daily Closes'!O16/'Daily Closes'!$E$16-1)</f>
        <v/>
      </c>
      <c r="P16" s="49">
        <f>IF('Daily Closes'!P16="","",'Daily Closes'!P16/'Daily Closes'!$E$16-1)</f>
        <v/>
      </c>
      <c r="Q16" s="49">
        <f>IF('Daily Closes'!Q16="","",'Daily Closes'!Q16/'Daily Closes'!$E$16-1)</f>
        <v/>
      </c>
      <c r="R16" s="49">
        <f>IF('Daily Closes'!R16="","",'Daily Closes'!R16/'Daily Closes'!$E$16-1)</f>
        <v/>
      </c>
      <c r="S16" s="49">
        <f>IF('Daily Closes'!S16="","",'Daily Closes'!S16/'Daily Closes'!$E$16-1)</f>
        <v/>
      </c>
      <c r="T16" s="49">
        <f>IF('Daily Closes'!T16="","",'Daily Closes'!T16/'Daily Closes'!$E$16-1)</f>
        <v/>
      </c>
      <c r="U16" s="49">
        <f>IF('Daily Closes'!U16="","",'Daily Closes'!U16/'Daily Closes'!$E$16-1)</f>
        <v/>
      </c>
      <c r="V16" s="49">
        <f>IF('Daily Closes'!V16="","",'Daily Closes'!V16/'Daily Closes'!$E$16-1)</f>
        <v/>
      </c>
      <c r="W16" s="49">
        <f>IF('Daily Closes'!W16="","",'Daily Closes'!W16/'Daily Closes'!$E$16-1)</f>
        <v/>
      </c>
      <c r="X16" s="49">
        <f>IF('Daily Closes'!X16="","",'Daily Closes'!X16/'Daily Closes'!$E$16-1)</f>
        <v/>
      </c>
      <c r="Y16" s="49">
        <f>IF('Daily Closes'!Y16="","",'Daily Closes'!Y16/'Daily Closes'!$E$16-1)</f>
        <v/>
      </c>
      <c r="Z16" s="49">
        <f>IF('Daily Closes'!Z16="","",'Daily Closes'!Z16/'Daily Closes'!$E$16-1)</f>
        <v/>
      </c>
      <c r="AA16" s="49">
        <f>IF('Daily Closes'!AA16="","",'Daily Closes'!AA16/'Daily Closes'!$E$16-1)</f>
        <v/>
      </c>
    </row>
  </sheetData>
  <mergeCells count="2">
    <mergeCell ref="A1:AA1"/>
    <mergeCell ref="A2:AA2"/>
  </mergeCells>
  <conditionalFormatting sqref="G6:AA16">
    <cfRule type="colorScale" priority="1">
      <colorScale>
        <cfvo type="num" val="-0.15"/>
        <cfvo type="num" val="0"/>
        <cfvo type="num" val="0.15"/>
        <color rgb="00F8696B"/>
        <color rgb="00FFFFFF"/>
        <color rgb="0063BE7B"/>
      </colorScale>
    </cfRule>
  </conditionalFormatting>
  <pageMargins left="0.75" right="0.75" top="1" bottom="1" header="0.5" footer="0.5"/>
  <pageSetup orientation="landscape" fitToWidth="1"/>
</worksheet>
</file>

<file path=xl/worksheets/sheet4.xml><?xml version="1.0" encoding="utf-8"?>
<worksheet xmlns="http://schemas.openxmlformats.org/spreadsheetml/2006/main">
  <sheetPr>
    <tabColor rgb="00C9860A"/>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s>
  <sheetData>
    <row r="1" ht="30" customHeight="1">
      <c r="A1" s="1" t="inlineStr">
        <is>
          <t>Mark-to-Market P&amp;L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Qty × (close − entry). Gross of costs.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15" t="inlineStr">
        <is>
          <t>Day 9</t>
        </is>
      </c>
      <c r="P4" s="15" t="inlineStr">
        <is>
          <t>Day 10</t>
        </is>
      </c>
      <c r="Q4" s="15" t="inlineStr">
        <is>
          <t>Day 11</t>
        </is>
      </c>
      <c r="R4" s="15" t="inlineStr">
        <is>
          <t>Day 12</t>
        </is>
      </c>
      <c r="S4" s="15" t="inlineStr">
        <is>
          <t>Day 13</t>
        </is>
      </c>
      <c r="T4" s="15" t="inlineStr">
        <is>
          <t>Day 14</t>
        </is>
      </c>
      <c r="U4" s="30" t="inlineStr">
        <is>
          <t>Day 15</t>
        </is>
      </c>
      <c r="V4" s="15" t="inlineStr">
        <is>
          <t>Day 16</t>
        </is>
      </c>
      <c r="W4" s="15" t="inlineStr">
        <is>
          <t>Day 17</t>
        </is>
      </c>
      <c r="X4" s="15" t="inlineStr">
        <is>
          <t>Day 18</t>
        </is>
      </c>
      <c r="Y4" s="15" t="inlineStr">
        <is>
          <t>Day 19</t>
        </is>
      </c>
      <c r="Z4" s="15" t="inlineStr">
        <is>
          <t>Day 20</t>
        </is>
      </c>
      <c r="AA4" s="15" t="inlineStr">
        <is>
          <t>Day 21</t>
        </is>
      </c>
    </row>
    <row r="6">
      <c r="A6" s="51">
        <f>'Daily Closes'!A6</f>
        <v/>
      </c>
      <c r="B6" s="16">
        <f>'Daily Closes'!B6</f>
        <v/>
      </c>
      <c r="C6" s="52">
        <f>'Daily Closes'!C6</f>
        <v/>
      </c>
      <c r="D6" s="51">
        <f>'Daily Closes'!D6</f>
        <v/>
      </c>
      <c r="E6" s="18">
        <f>'Daily Closes'!E6</f>
        <v/>
      </c>
      <c r="F6" s="35" t="inlineStr">
        <is>
          <t>—</t>
        </is>
      </c>
      <c r="G6" s="20">
        <f>IF('Daily Closes'!G6="","",$D6*('Daily Closes'!G6-$E6))</f>
        <v/>
      </c>
      <c r="H6" s="20">
        <f>IF('Daily Closes'!H6="","",$D6*('Daily Closes'!H6-$E6))</f>
        <v/>
      </c>
      <c r="I6" s="20">
        <f>IF('Daily Closes'!I6="","",$D6*('Daily Closes'!I6-$E6))</f>
        <v/>
      </c>
      <c r="J6" s="20">
        <f>IF('Daily Closes'!J6="","",$D6*('Daily Closes'!J6-$E6))</f>
        <v/>
      </c>
      <c r="K6" s="20">
        <f>IF('Daily Closes'!K6="","",$D6*('Daily Closes'!K6-$E6))</f>
        <v/>
      </c>
      <c r="L6" s="20">
        <f>IF('Daily Closes'!L6="","",$D6*('Daily Closes'!L6-$E6))</f>
        <v/>
      </c>
      <c r="M6" s="20">
        <f>IF('Daily Closes'!M6="","",$D6*('Daily Closes'!M6-$E6))</f>
        <v/>
      </c>
      <c r="N6" s="20">
        <f>IF('Daily Closes'!N6="","",$D6*('Daily Closes'!N6-$E6))</f>
        <v/>
      </c>
      <c r="O6" s="20">
        <f>IF('Daily Closes'!O6="","",$D6*('Daily Closes'!O6-$E6))</f>
        <v/>
      </c>
      <c r="P6" s="20">
        <f>IF('Daily Closes'!P6="","",$D6*('Daily Closes'!P6-$E6))</f>
        <v/>
      </c>
      <c r="Q6" s="20">
        <f>IF('Daily Closes'!Q6="","",$D6*('Daily Closes'!Q6-$E6))</f>
        <v/>
      </c>
      <c r="R6" s="20">
        <f>IF('Daily Closes'!R6="","",$D6*('Daily Closes'!R6-$E6))</f>
        <v/>
      </c>
      <c r="S6" s="20">
        <f>IF('Daily Closes'!S6="","",$D6*('Daily Closes'!S6-$E6))</f>
        <v/>
      </c>
      <c r="T6" s="20">
        <f>IF('Daily Closes'!T6="","",$D6*('Daily Closes'!T6-$E6))</f>
        <v/>
      </c>
      <c r="U6" s="20">
        <f>IF('Daily Closes'!U6="","",$D6*('Daily Closes'!U6-$E6))</f>
        <v/>
      </c>
      <c r="V6" s="20">
        <f>IF('Daily Closes'!V6="","",$D6*('Daily Closes'!V6-$E6))</f>
        <v/>
      </c>
      <c r="W6" s="20">
        <f>IF('Daily Closes'!W6="","",$D6*('Daily Closes'!W6-$E6))</f>
        <v/>
      </c>
      <c r="X6" s="20">
        <f>IF('Daily Closes'!X6="","",$D6*('Daily Closes'!X6-$E6))</f>
        <v/>
      </c>
      <c r="Y6" s="20">
        <f>IF('Daily Closes'!Y6="","",$D6*('Daily Closes'!Y6-$E6))</f>
        <v/>
      </c>
      <c r="Z6" s="20">
        <f>IF('Daily Closes'!Z6="","",$D6*('Daily Closes'!Z6-$E6))</f>
        <v/>
      </c>
      <c r="AA6" s="20">
        <f>IF('Daily Closes'!AA6="","",$D6*('Daily Closes'!AA6-$E6))</f>
        <v/>
      </c>
    </row>
    <row r="7">
      <c r="A7" s="51">
        <f>'Daily Closes'!A7</f>
        <v/>
      </c>
      <c r="B7" s="16">
        <f>'Daily Closes'!B7</f>
        <v/>
      </c>
      <c r="C7" s="52">
        <f>'Daily Closes'!C7</f>
        <v/>
      </c>
      <c r="D7" s="51">
        <f>'Daily Closes'!D7</f>
        <v/>
      </c>
      <c r="E7" s="18">
        <f>'Daily Closes'!E7</f>
        <v/>
      </c>
      <c r="F7" s="35" t="inlineStr">
        <is>
          <t>—</t>
        </is>
      </c>
      <c r="G7" s="20">
        <f>IF('Daily Closes'!G7="","",$D7*('Daily Closes'!G7-$E7))</f>
        <v/>
      </c>
      <c r="H7" s="20">
        <f>IF('Daily Closes'!H7="","",$D7*('Daily Closes'!H7-$E7))</f>
        <v/>
      </c>
      <c r="I7" s="20">
        <f>IF('Daily Closes'!I7="","",$D7*('Daily Closes'!I7-$E7))</f>
        <v/>
      </c>
      <c r="J7" s="20">
        <f>IF('Daily Closes'!J7="","",$D7*('Daily Closes'!J7-$E7))</f>
        <v/>
      </c>
      <c r="K7" s="20">
        <f>IF('Daily Closes'!K7="","",$D7*('Daily Closes'!K7-$E7))</f>
        <v/>
      </c>
      <c r="L7" s="20">
        <f>IF('Daily Closes'!L7="","",$D7*('Daily Closes'!L7-$E7))</f>
        <v/>
      </c>
      <c r="M7" s="20">
        <f>IF('Daily Closes'!M7="","",$D7*('Daily Closes'!M7-$E7))</f>
        <v/>
      </c>
      <c r="N7" s="20">
        <f>IF('Daily Closes'!N7="","",$D7*('Daily Closes'!N7-$E7))</f>
        <v/>
      </c>
      <c r="O7" s="20">
        <f>IF('Daily Closes'!O7="","",$D7*('Daily Closes'!O7-$E7))</f>
        <v/>
      </c>
      <c r="P7" s="20">
        <f>IF('Daily Closes'!P7="","",$D7*('Daily Closes'!P7-$E7))</f>
        <v/>
      </c>
      <c r="Q7" s="20">
        <f>IF('Daily Closes'!Q7="","",$D7*('Daily Closes'!Q7-$E7))</f>
        <v/>
      </c>
      <c r="R7" s="20">
        <f>IF('Daily Closes'!R7="","",$D7*('Daily Closes'!R7-$E7))</f>
        <v/>
      </c>
      <c r="S7" s="20">
        <f>IF('Daily Closes'!S7="","",$D7*('Daily Closes'!S7-$E7))</f>
        <v/>
      </c>
      <c r="T7" s="20">
        <f>IF('Daily Closes'!T7="","",$D7*('Daily Closes'!T7-$E7))</f>
        <v/>
      </c>
      <c r="U7" s="20">
        <f>IF('Daily Closes'!U7="","",$D7*('Daily Closes'!U7-$E7))</f>
        <v/>
      </c>
      <c r="V7" s="20">
        <f>IF('Daily Closes'!V7="","",$D7*('Daily Closes'!V7-$E7))</f>
        <v/>
      </c>
      <c r="W7" s="20">
        <f>IF('Daily Closes'!W7="","",$D7*('Daily Closes'!W7-$E7))</f>
        <v/>
      </c>
      <c r="X7" s="20">
        <f>IF('Daily Closes'!X7="","",$D7*('Daily Closes'!X7-$E7))</f>
        <v/>
      </c>
      <c r="Y7" s="20">
        <f>IF('Daily Closes'!Y7="","",$D7*('Daily Closes'!Y7-$E7))</f>
        <v/>
      </c>
      <c r="Z7" s="20">
        <f>IF('Daily Closes'!Z7="","",$D7*('Daily Closes'!Z7-$E7))</f>
        <v/>
      </c>
      <c r="AA7" s="20">
        <f>IF('Daily Closes'!AA7="","",$D7*('Daily Closes'!AA7-$E7))</f>
        <v/>
      </c>
    </row>
    <row r="8">
      <c r="A8" s="51">
        <f>'Daily Closes'!A8</f>
        <v/>
      </c>
      <c r="B8" s="16">
        <f>'Daily Closes'!B8</f>
        <v/>
      </c>
      <c r="C8" s="52">
        <f>'Daily Closes'!C8</f>
        <v/>
      </c>
      <c r="D8" s="51">
        <f>'Daily Closes'!D8</f>
        <v/>
      </c>
      <c r="E8" s="18">
        <f>'Daily Closes'!E8</f>
        <v/>
      </c>
      <c r="F8" s="35" t="inlineStr">
        <is>
          <t>—</t>
        </is>
      </c>
      <c r="G8" s="20">
        <f>IF('Daily Closes'!G8="","",$D8*('Daily Closes'!G8-$E8))</f>
        <v/>
      </c>
      <c r="H8" s="20">
        <f>IF('Daily Closes'!H8="","",$D8*('Daily Closes'!H8-$E8))</f>
        <v/>
      </c>
      <c r="I8" s="20">
        <f>IF('Daily Closes'!I8="","",$D8*('Daily Closes'!I8-$E8))</f>
        <v/>
      </c>
      <c r="J8" s="20">
        <f>IF('Daily Closes'!J8="","",$D8*('Daily Closes'!J8-$E8))</f>
        <v/>
      </c>
      <c r="K8" s="20">
        <f>IF('Daily Closes'!K8="","",$D8*('Daily Closes'!K8-$E8))</f>
        <v/>
      </c>
      <c r="L8" s="20">
        <f>IF('Daily Closes'!L8="","",$D8*('Daily Closes'!L8-$E8))</f>
        <v/>
      </c>
      <c r="M8" s="20">
        <f>IF('Daily Closes'!M8="","",$D8*('Daily Closes'!M8-$E8))</f>
        <v/>
      </c>
      <c r="N8" s="20">
        <f>IF('Daily Closes'!N8="","",$D8*('Daily Closes'!N8-$E8))</f>
        <v/>
      </c>
      <c r="O8" s="20">
        <f>IF('Daily Closes'!O8="","",$D8*('Daily Closes'!O8-$E8))</f>
        <v/>
      </c>
      <c r="P8" s="20">
        <f>IF('Daily Closes'!P8="","",$D8*('Daily Closes'!P8-$E8))</f>
        <v/>
      </c>
      <c r="Q8" s="20">
        <f>IF('Daily Closes'!Q8="","",$D8*('Daily Closes'!Q8-$E8))</f>
        <v/>
      </c>
      <c r="R8" s="20">
        <f>IF('Daily Closes'!R8="","",$D8*('Daily Closes'!R8-$E8))</f>
        <v/>
      </c>
      <c r="S8" s="20">
        <f>IF('Daily Closes'!S8="","",$D8*('Daily Closes'!S8-$E8))</f>
        <v/>
      </c>
      <c r="T8" s="20">
        <f>IF('Daily Closes'!T8="","",$D8*('Daily Closes'!T8-$E8))</f>
        <v/>
      </c>
      <c r="U8" s="20">
        <f>IF('Daily Closes'!U8="","",$D8*('Daily Closes'!U8-$E8))</f>
        <v/>
      </c>
      <c r="V8" s="20">
        <f>IF('Daily Closes'!V8="","",$D8*('Daily Closes'!V8-$E8))</f>
        <v/>
      </c>
      <c r="W8" s="20">
        <f>IF('Daily Closes'!W8="","",$D8*('Daily Closes'!W8-$E8))</f>
        <v/>
      </c>
      <c r="X8" s="20">
        <f>IF('Daily Closes'!X8="","",$D8*('Daily Closes'!X8-$E8))</f>
        <v/>
      </c>
      <c r="Y8" s="20">
        <f>IF('Daily Closes'!Y8="","",$D8*('Daily Closes'!Y8-$E8))</f>
        <v/>
      </c>
      <c r="Z8" s="20">
        <f>IF('Daily Closes'!Z8="","",$D8*('Daily Closes'!Z8-$E8))</f>
        <v/>
      </c>
      <c r="AA8" s="20">
        <f>IF('Daily Closes'!AA8="","",$D8*('Daily Closes'!AA8-$E8))</f>
        <v/>
      </c>
    </row>
    <row r="9">
      <c r="A9" s="51">
        <f>'Daily Closes'!A9</f>
        <v/>
      </c>
      <c r="B9" s="16">
        <f>'Daily Closes'!B9</f>
        <v/>
      </c>
      <c r="C9" s="52">
        <f>'Daily Closes'!C9</f>
        <v/>
      </c>
      <c r="D9" s="51">
        <f>'Daily Closes'!D9</f>
        <v/>
      </c>
      <c r="E9" s="18">
        <f>'Daily Closes'!E9</f>
        <v/>
      </c>
      <c r="F9" s="35" t="inlineStr">
        <is>
          <t>—</t>
        </is>
      </c>
      <c r="G9" s="20">
        <f>IF('Daily Closes'!G9="","",$D9*('Daily Closes'!G9-$E9))</f>
        <v/>
      </c>
      <c r="H9" s="20">
        <f>IF('Daily Closes'!H9="","",$D9*('Daily Closes'!H9-$E9))</f>
        <v/>
      </c>
      <c r="I9" s="20">
        <f>IF('Daily Closes'!I9="","",$D9*('Daily Closes'!I9-$E9))</f>
        <v/>
      </c>
      <c r="J9" s="20">
        <f>IF('Daily Closes'!J9="","",$D9*('Daily Closes'!J9-$E9))</f>
        <v/>
      </c>
      <c r="K9" s="20">
        <f>IF('Daily Closes'!K9="","",$D9*('Daily Closes'!K9-$E9))</f>
        <v/>
      </c>
      <c r="L9" s="20">
        <f>IF('Daily Closes'!L9="","",$D9*('Daily Closes'!L9-$E9))</f>
        <v/>
      </c>
      <c r="M9" s="20">
        <f>IF('Daily Closes'!M9="","",$D9*('Daily Closes'!M9-$E9))</f>
        <v/>
      </c>
      <c r="N9" s="20">
        <f>IF('Daily Closes'!N9="","",$D9*('Daily Closes'!N9-$E9))</f>
        <v/>
      </c>
      <c r="O9" s="20">
        <f>IF('Daily Closes'!O9="","",$D9*('Daily Closes'!O9-$E9))</f>
        <v/>
      </c>
      <c r="P9" s="20">
        <f>IF('Daily Closes'!P9="","",$D9*('Daily Closes'!P9-$E9))</f>
        <v/>
      </c>
      <c r="Q9" s="20">
        <f>IF('Daily Closes'!Q9="","",$D9*('Daily Closes'!Q9-$E9))</f>
        <v/>
      </c>
      <c r="R9" s="20">
        <f>IF('Daily Closes'!R9="","",$D9*('Daily Closes'!R9-$E9))</f>
        <v/>
      </c>
      <c r="S9" s="20">
        <f>IF('Daily Closes'!S9="","",$D9*('Daily Closes'!S9-$E9))</f>
        <v/>
      </c>
      <c r="T9" s="20">
        <f>IF('Daily Closes'!T9="","",$D9*('Daily Closes'!T9-$E9))</f>
        <v/>
      </c>
      <c r="U9" s="20">
        <f>IF('Daily Closes'!U9="","",$D9*('Daily Closes'!U9-$E9))</f>
        <v/>
      </c>
      <c r="V9" s="20">
        <f>IF('Daily Closes'!V9="","",$D9*('Daily Closes'!V9-$E9))</f>
        <v/>
      </c>
      <c r="W9" s="20">
        <f>IF('Daily Closes'!W9="","",$D9*('Daily Closes'!W9-$E9))</f>
        <v/>
      </c>
      <c r="X9" s="20">
        <f>IF('Daily Closes'!X9="","",$D9*('Daily Closes'!X9-$E9))</f>
        <v/>
      </c>
      <c r="Y9" s="20">
        <f>IF('Daily Closes'!Y9="","",$D9*('Daily Closes'!Y9-$E9))</f>
        <v/>
      </c>
      <c r="Z9" s="20">
        <f>IF('Daily Closes'!Z9="","",$D9*('Daily Closes'!Z9-$E9))</f>
        <v/>
      </c>
      <c r="AA9" s="20">
        <f>IF('Daily Closes'!AA9="","",$D9*('Daily Closes'!AA9-$E9))</f>
        <v/>
      </c>
    </row>
    <row r="10">
      <c r="A10" s="51">
        <f>'Daily Closes'!A10</f>
        <v/>
      </c>
      <c r="B10" s="16">
        <f>'Daily Closes'!B10</f>
        <v/>
      </c>
      <c r="C10" s="52">
        <f>'Daily Closes'!C10</f>
        <v/>
      </c>
      <c r="D10" s="51">
        <f>'Daily Closes'!D10</f>
        <v/>
      </c>
      <c r="E10" s="18">
        <f>'Daily Closes'!E10</f>
        <v/>
      </c>
      <c r="F10" s="35" t="inlineStr">
        <is>
          <t>—</t>
        </is>
      </c>
      <c r="G10" s="20">
        <f>IF('Daily Closes'!G10="","",$D10*('Daily Closes'!G10-$E10))</f>
        <v/>
      </c>
      <c r="H10" s="20">
        <f>IF('Daily Closes'!H10="","",$D10*('Daily Closes'!H10-$E10))</f>
        <v/>
      </c>
      <c r="I10" s="20">
        <f>IF('Daily Closes'!I10="","",$D10*('Daily Closes'!I10-$E10))</f>
        <v/>
      </c>
      <c r="J10" s="20">
        <f>IF('Daily Closes'!J10="","",$D10*('Daily Closes'!J10-$E10))</f>
        <v/>
      </c>
      <c r="K10" s="20">
        <f>IF('Daily Closes'!K10="","",$D10*('Daily Closes'!K10-$E10))</f>
        <v/>
      </c>
      <c r="L10" s="20">
        <f>IF('Daily Closes'!L10="","",$D10*('Daily Closes'!L10-$E10))</f>
        <v/>
      </c>
      <c r="M10" s="20">
        <f>IF('Daily Closes'!M10="","",$D10*('Daily Closes'!M10-$E10))</f>
        <v/>
      </c>
      <c r="N10" s="20">
        <f>IF('Daily Closes'!N10="","",$D10*('Daily Closes'!N10-$E10))</f>
        <v/>
      </c>
      <c r="O10" s="20">
        <f>IF('Daily Closes'!O10="","",$D10*('Daily Closes'!O10-$E10))</f>
        <v/>
      </c>
      <c r="P10" s="20">
        <f>IF('Daily Closes'!P10="","",$D10*('Daily Closes'!P10-$E10))</f>
        <v/>
      </c>
      <c r="Q10" s="20">
        <f>IF('Daily Closes'!Q10="","",$D10*('Daily Closes'!Q10-$E10))</f>
        <v/>
      </c>
      <c r="R10" s="20">
        <f>IF('Daily Closes'!R10="","",$D10*('Daily Closes'!R10-$E10))</f>
        <v/>
      </c>
      <c r="S10" s="20">
        <f>IF('Daily Closes'!S10="","",$D10*('Daily Closes'!S10-$E10))</f>
        <v/>
      </c>
      <c r="T10" s="20">
        <f>IF('Daily Closes'!T10="","",$D10*('Daily Closes'!T10-$E10))</f>
        <v/>
      </c>
      <c r="U10" s="20">
        <f>IF('Daily Closes'!U10="","",$D10*('Daily Closes'!U10-$E10))</f>
        <v/>
      </c>
      <c r="V10" s="20">
        <f>IF('Daily Closes'!V10="","",$D10*('Daily Closes'!V10-$E10))</f>
        <v/>
      </c>
      <c r="W10" s="20">
        <f>IF('Daily Closes'!W10="","",$D10*('Daily Closes'!W10-$E10))</f>
        <v/>
      </c>
      <c r="X10" s="20">
        <f>IF('Daily Closes'!X10="","",$D10*('Daily Closes'!X10-$E10))</f>
        <v/>
      </c>
      <c r="Y10" s="20">
        <f>IF('Daily Closes'!Y10="","",$D10*('Daily Closes'!Y10-$E10))</f>
        <v/>
      </c>
      <c r="Z10" s="20">
        <f>IF('Daily Closes'!Z10="","",$D10*('Daily Closes'!Z10-$E10))</f>
        <v/>
      </c>
      <c r="AA10" s="20">
        <f>IF('Daily Closes'!AA10="","",$D10*('Daily Closes'!AA10-$E10))</f>
        <v/>
      </c>
    </row>
    <row r="11">
      <c r="A11" s="51">
        <f>'Daily Closes'!A11</f>
        <v/>
      </c>
      <c r="B11" s="16">
        <f>'Daily Closes'!B11</f>
        <v/>
      </c>
      <c r="C11" s="52">
        <f>'Daily Closes'!C11</f>
        <v/>
      </c>
      <c r="D11" s="51">
        <f>'Daily Closes'!D11</f>
        <v/>
      </c>
      <c r="E11" s="18">
        <f>'Daily Closes'!E11</f>
        <v/>
      </c>
      <c r="F11" s="35" t="inlineStr">
        <is>
          <t>—</t>
        </is>
      </c>
      <c r="G11" s="20">
        <f>IF('Daily Closes'!G11="","",$D11*('Daily Closes'!G11-$E11))</f>
        <v/>
      </c>
      <c r="H11" s="20">
        <f>IF('Daily Closes'!H11="","",$D11*('Daily Closes'!H11-$E11))</f>
        <v/>
      </c>
      <c r="I11" s="20">
        <f>IF('Daily Closes'!I11="","",$D11*('Daily Closes'!I11-$E11))</f>
        <v/>
      </c>
      <c r="J11" s="20">
        <f>IF('Daily Closes'!J11="","",$D11*('Daily Closes'!J11-$E11))</f>
        <v/>
      </c>
      <c r="K11" s="20">
        <f>IF('Daily Closes'!K11="","",$D11*('Daily Closes'!K11-$E11))</f>
        <v/>
      </c>
      <c r="L11" s="20">
        <f>IF('Daily Closes'!L11="","",$D11*('Daily Closes'!L11-$E11))</f>
        <v/>
      </c>
      <c r="M11" s="20">
        <f>IF('Daily Closes'!M11="","",$D11*('Daily Closes'!M11-$E11))</f>
        <v/>
      </c>
      <c r="N11" s="20">
        <f>IF('Daily Closes'!N11="","",$D11*('Daily Closes'!N11-$E11))</f>
        <v/>
      </c>
      <c r="O11" s="20">
        <f>IF('Daily Closes'!O11="","",$D11*('Daily Closes'!O11-$E11))</f>
        <v/>
      </c>
      <c r="P11" s="20">
        <f>IF('Daily Closes'!P11="","",$D11*('Daily Closes'!P11-$E11))</f>
        <v/>
      </c>
      <c r="Q11" s="20">
        <f>IF('Daily Closes'!Q11="","",$D11*('Daily Closes'!Q11-$E11))</f>
        <v/>
      </c>
      <c r="R11" s="20">
        <f>IF('Daily Closes'!R11="","",$D11*('Daily Closes'!R11-$E11))</f>
        <v/>
      </c>
      <c r="S11" s="20">
        <f>IF('Daily Closes'!S11="","",$D11*('Daily Closes'!S11-$E11))</f>
        <v/>
      </c>
      <c r="T11" s="20">
        <f>IF('Daily Closes'!T11="","",$D11*('Daily Closes'!T11-$E11))</f>
        <v/>
      </c>
      <c r="U11" s="20">
        <f>IF('Daily Closes'!U11="","",$D11*('Daily Closes'!U11-$E11))</f>
        <v/>
      </c>
      <c r="V11" s="20">
        <f>IF('Daily Closes'!V11="","",$D11*('Daily Closes'!V11-$E11))</f>
        <v/>
      </c>
      <c r="W11" s="20">
        <f>IF('Daily Closes'!W11="","",$D11*('Daily Closes'!W11-$E11))</f>
        <v/>
      </c>
      <c r="X11" s="20">
        <f>IF('Daily Closes'!X11="","",$D11*('Daily Closes'!X11-$E11))</f>
        <v/>
      </c>
      <c r="Y11" s="20">
        <f>IF('Daily Closes'!Y11="","",$D11*('Daily Closes'!Y11-$E11))</f>
        <v/>
      </c>
      <c r="Z11" s="20">
        <f>IF('Daily Closes'!Z11="","",$D11*('Daily Closes'!Z11-$E11))</f>
        <v/>
      </c>
      <c r="AA11" s="20">
        <f>IF('Daily Closes'!AA11="","",$D11*('Daily Closes'!AA11-$E11))</f>
        <v/>
      </c>
    </row>
    <row r="12">
      <c r="A12" s="51">
        <f>'Daily Closes'!A12</f>
        <v/>
      </c>
      <c r="B12" s="16">
        <f>'Daily Closes'!B12</f>
        <v/>
      </c>
      <c r="C12" s="52">
        <f>'Daily Closes'!C12</f>
        <v/>
      </c>
      <c r="D12" s="51">
        <f>'Daily Closes'!D12</f>
        <v/>
      </c>
      <c r="E12" s="18">
        <f>'Daily Closes'!E12</f>
        <v/>
      </c>
      <c r="F12" s="35" t="inlineStr">
        <is>
          <t>—</t>
        </is>
      </c>
      <c r="G12" s="20">
        <f>IF('Daily Closes'!G12="","",$D12*('Daily Closes'!G12-$E12))</f>
        <v/>
      </c>
      <c r="H12" s="20">
        <f>IF('Daily Closes'!H12="","",$D12*('Daily Closes'!H12-$E12))</f>
        <v/>
      </c>
      <c r="I12" s="20">
        <f>IF('Daily Closes'!I12="","",$D12*('Daily Closes'!I12-$E12))</f>
        <v/>
      </c>
      <c r="J12" s="20">
        <f>IF('Daily Closes'!J12="","",$D12*('Daily Closes'!J12-$E12))</f>
        <v/>
      </c>
      <c r="K12" s="20">
        <f>IF('Daily Closes'!K12="","",$D12*('Daily Closes'!K12-$E12))</f>
        <v/>
      </c>
      <c r="L12" s="20">
        <f>IF('Daily Closes'!L12="","",$D12*('Daily Closes'!L12-$E12))</f>
        <v/>
      </c>
      <c r="M12" s="20">
        <f>IF('Daily Closes'!M12="","",$D12*('Daily Closes'!M12-$E12))</f>
        <v/>
      </c>
      <c r="N12" s="20">
        <f>IF('Daily Closes'!N12="","",$D12*('Daily Closes'!N12-$E12))</f>
        <v/>
      </c>
      <c r="O12" s="20">
        <f>IF('Daily Closes'!O12="","",$D12*('Daily Closes'!O12-$E12))</f>
        <v/>
      </c>
      <c r="P12" s="20">
        <f>IF('Daily Closes'!P12="","",$D12*('Daily Closes'!P12-$E12))</f>
        <v/>
      </c>
      <c r="Q12" s="20">
        <f>IF('Daily Closes'!Q12="","",$D12*('Daily Closes'!Q12-$E12))</f>
        <v/>
      </c>
      <c r="R12" s="20">
        <f>IF('Daily Closes'!R12="","",$D12*('Daily Closes'!R12-$E12))</f>
        <v/>
      </c>
      <c r="S12" s="20">
        <f>IF('Daily Closes'!S12="","",$D12*('Daily Closes'!S12-$E12))</f>
        <v/>
      </c>
      <c r="T12" s="20">
        <f>IF('Daily Closes'!T12="","",$D12*('Daily Closes'!T12-$E12))</f>
        <v/>
      </c>
      <c r="U12" s="20">
        <f>IF('Daily Closes'!U12="","",$D12*('Daily Closes'!U12-$E12))</f>
        <v/>
      </c>
      <c r="V12" s="20">
        <f>IF('Daily Closes'!V12="","",$D12*('Daily Closes'!V12-$E12))</f>
        <v/>
      </c>
      <c r="W12" s="20">
        <f>IF('Daily Closes'!W12="","",$D12*('Daily Closes'!W12-$E12))</f>
        <v/>
      </c>
      <c r="X12" s="20">
        <f>IF('Daily Closes'!X12="","",$D12*('Daily Closes'!X12-$E12))</f>
        <v/>
      </c>
      <c r="Y12" s="20">
        <f>IF('Daily Closes'!Y12="","",$D12*('Daily Closes'!Y12-$E12))</f>
        <v/>
      </c>
      <c r="Z12" s="20">
        <f>IF('Daily Closes'!Z12="","",$D12*('Daily Closes'!Z12-$E12))</f>
        <v/>
      </c>
      <c r="AA12" s="20">
        <f>IF('Daily Closes'!AA12="","",$D12*('Daily Closes'!AA12-$E12))</f>
        <v/>
      </c>
    </row>
    <row r="13">
      <c r="A13" s="51">
        <f>'Daily Closes'!A13</f>
        <v/>
      </c>
      <c r="B13" s="16">
        <f>'Daily Closes'!B13</f>
        <v/>
      </c>
      <c r="C13" s="52">
        <f>'Daily Closes'!C13</f>
        <v/>
      </c>
      <c r="D13" s="51">
        <f>'Daily Closes'!D13</f>
        <v/>
      </c>
      <c r="E13" s="18">
        <f>'Daily Closes'!E13</f>
        <v/>
      </c>
      <c r="F13" s="35" t="inlineStr">
        <is>
          <t>—</t>
        </is>
      </c>
      <c r="G13" s="20">
        <f>IF('Daily Closes'!G13="","",$D13*('Daily Closes'!G13-$E13))</f>
        <v/>
      </c>
      <c r="H13" s="20">
        <f>IF('Daily Closes'!H13="","",$D13*('Daily Closes'!H13-$E13))</f>
        <v/>
      </c>
      <c r="I13" s="20">
        <f>IF('Daily Closes'!I13="","",$D13*('Daily Closes'!I13-$E13))</f>
        <v/>
      </c>
      <c r="J13" s="20">
        <f>IF('Daily Closes'!J13="","",$D13*('Daily Closes'!J13-$E13))</f>
        <v/>
      </c>
      <c r="K13" s="20">
        <f>IF('Daily Closes'!K13="","",$D13*('Daily Closes'!K13-$E13))</f>
        <v/>
      </c>
      <c r="L13" s="20">
        <f>IF('Daily Closes'!L13="","",$D13*('Daily Closes'!L13-$E13))</f>
        <v/>
      </c>
      <c r="M13" s="20">
        <f>IF('Daily Closes'!M13="","",$D13*('Daily Closes'!M13-$E13))</f>
        <v/>
      </c>
      <c r="N13" s="20">
        <f>IF('Daily Closes'!N13="","",$D13*('Daily Closes'!N13-$E13))</f>
        <v/>
      </c>
      <c r="O13" s="20">
        <f>IF('Daily Closes'!O13="","",$D13*('Daily Closes'!O13-$E13))</f>
        <v/>
      </c>
      <c r="P13" s="20">
        <f>IF('Daily Closes'!P13="","",$D13*('Daily Closes'!P13-$E13))</f>
        <v/>
      </c>
      <c r="Q13" s="20">
        <f>IF('Daily Closes'!Q13="","",$D13*('Daily Closes'!Q13-$E13))</f>
        <v/>
      </c>
      <c r="R13" s="20">
        <f>IF('Daily Closes'!R13="","",$D13*('Daily Closes'!R13-$E13))</f>
        <v/>
      </c>
      <c r="S13" s="20">
        <f>IF('Daily Closes'!S13="","",$D13*('Daily Closes'!S13-$E13))</f>
        <v/>
      </c>
      <c r="T13" s="20">
        <f>IF('Daily Closes'!T13="","",$D13*('Daily Closes'!T13-$E13))</f>
        <v/>
      </c>
      <c r="U13" s="20">
        <f>IF('Daily Closes'!U13="","",$D13*('Daily Closes'!U13-$E13))</f>
        <v/>
      </c>
      <c r="V13" s="20">
        <f>IF('Daily Closes'!V13="","",$D13*('Daily Closes'!V13-$E13))</f>
        <v/>
      </c>
      <c r="W13" s="20">
        <f>IF('Daily Closes'!W13="","",$D13*('Daily Closes'!W13-$E13))</f>
        <v/>
      </c>
      <c r="X13" s="20">
        <f>IF('Daily Closes'!X13="","",$D13*('Daily Closes'!X13-$E13))</f>
        <v/>
      </c>
      <c r="Y13" s="20">
        <f>IF('Daily Closes'!Y13="","",$D13*('Daily Closes'!Y13-$E13))</f>
        <v/>
      </c>
      <c r="Z13" s="20">
        <f>IF('Daily Closes'!Z13="","",$D13*('Daily Closes'!Z13-$E13))</f>
        <v/>
      </c>
      <c r="AA13" s="20">
        <f>IF('Daily Closes'!AA13="","",$D13*('Daily Closes'!AA13-$E13))</f>
        <v/>
      </c>
    </row>
    <row r="14">
      <c r="A14" s="51">
        <f>'Daily Closes'!A14</f>
        <v/>
      </c>
      <c r="B14" s="16">
        <f>'Daily Closes'!B14</f>
        <v/>
      </c>
      <c r="C14" s="52">
        <f>'Daily Closes'!C14</f>
        <v/>
      </c>
      <c r="D14" s="51">
        <f>'Daily Closes'!D14</f>
        <v/>
      </c>
      <c r="E14" s="18">
        <f>'Daily Closes'!E14</f>
        <v/>
      </c>
      <c r="F14" s="35" t="inlineStr">
        <is>
          <t>—</t>
        </is>
      </c>
      <c r="G14" s="20">
        <f>IF('Daily Closes'!G14="","",$D14*('Daily Closes'!G14-$E14))</f>
        <v/>
      </c>
      <c r="H14" s="20">
        <f>IF('Daily Closes'!H14="","",$D14*('Daily Closes'!H14-$E14))</f>
        <v/>
      </c>
      <c r="I14" s="20">
        <f>IF('Daily Closes'!I14="","",$D14*('Daily Closes'!I14-$E14))</f>
        <v/>
      </c>
      <c r="J14" s="20">
        <f>IF('Daily Closes'!J14="","",$D14*('Daily Closes'!J14-$E14))</f>
        <v/>
      </c>
      <c r="K14" s="20">
        <f>IF('Daily Closes'!K14="","",$D14*('Daily Closes'!K14-$E14))</f>
        <v/>
      </c>
      <c r="L14" s="20">
        <f>IF('Daily Closes'!L14="","",$D14*('Daily Closes'!L14-$E14))</f>
        <v/>
      </c>
      <c r="M14" s="20">
        <f>IF('Daily Closes'!M14="","",$D14*('Daily Closes'!M14-$E14))</f>
        <v/>
      </c>
      <c r="N14" s="20">
        <f>IF('Daily Closes'!N14="","",$D14*('Daily Closes'!N14-$E14))</f>
        <v/>
      </c>
      <c r="O14" s="20">
        <f>IF('Daily Closes'!O14="","",$D14*('Daily Closes'!O14-$E14))</f>
        <v/>
      </c>
      <c r="P14" s="20">
        <f>IF('Daily Closes'!P14="","",$D14*('Daily Closes'!P14-$E14))</f>
        <v/>
      </c>
      <c r="Q14" s="20">
        <f>IF('Daily Closes'!Q14="","",$D14*('Daily Closes'!Q14-$E14))</f>
        <v/>
      </c>
      <c r="R14" s="20">
        <f>IF('Daily Closes'!R14="","",$D14*('Daily Closes'!R14-$E14))</f>
        <v/>
      </c>
      <c r="S14" s="20">
        <f>IF('Daily Closes'!S14="","",$D14*('Daily Closes'!S14-$E14))</f>
        <v/>
      </c>
      <c r="T14" s="20">
        <f>IF('Daily Closes'!T14="","",$D14*('Daily Closes'!T14-$E14))</f>
        <v/>
      </c>
      <c r="U14" s="20">
        <f>IF('Daily Closes'!U14="","",$D14*('Daily Closes'!U14-$E14))</f>
        <v/>
      </c>
      <c r="V14" s="20">
        <f>IF('Daily Closes'!V14="","",$D14*('Daily Closes'!V14-$E14))</f>
        <v/>
      </c>
      <c r="W14" s="20">
        <f>IF('Daily Closes'!W14="","",$D14*('Daily Closes'!W14-$E14))</f>
        <v/>
      </c>
      <c r="X14" s="20">
        <f>IF('Daily Closes'!X14="","",$D14*('Daily Closes'!X14-$E14))</f>
        <v/>
      </c>
      <c r="Y14" s="20">
        <f>IF('Daily Closes'!Y14="","",$D14*('Daily Closes'!Y14-$E14))</f>
        <v/>
      </c>
      <c r="Z14" s="20">
        <f>IF('Daily Closes'!Z14="","",$D14*('Daily Closes'!Z14-$E14))</f>
        <v/>
      </c>
      <c r="AA14" s="20">
        <f>IF('Daily Closes'!AA14="","",$D14*('Daily Closes'!AA14-$E14))</f>
        <v/>
      </c>
    </row>
    <row r="15">
      <c r="A15" s="51">
        <f>'Daily Closes'!A15</f>
        <v/>
      </c>
      <c r="B15" s="16">
        <f>'Daily Closes'!B15</f>
        <v/>
      </c>
      <c r="C15" s="52">
        <f>'Daily Closes'!C15</f>
        <v/>
      </c>
      <c r="D15" s="51">
        <f>'Daily Closes'!D15</f>
        <v/>
      </c>
      <c r="E15" s="18">
        <f>'Daily Closes'!E15</f>
        <v/>
      </c>
      <c r="F15" s="35" t="inlineStr">
        <is>
          <t>—</t>
        </is>
      </c>
      <c r="G15" s="20">
        <f>IF('Daily Closes'!G15="","",$D15*('Daily Closes'!G15-$E15))</f>
        <v/>
      </c>
      <c r="H15" s="20">
        <f>IF('Daily Closes'!H15="","",$D15*('Daily Closes'!H15-$E15))</f>
        <v/>
      </c>
      <c r="I15" s="20">
        <f>IF('Daily Closes'!I15="","",$D15*('Daily Closes'!I15-$E15))</f>
        <v/>
      </c>
      <c r="J15" s="20">
        <f>IF('Daily Closes'!J15="","",$D15*('Daily Closes'!J15-$E15))</f>
        <v/>
      </c>
      <c r="K15" s="20">
        <f>IF('Daily Closes'!K15="","",$D15*('Daily Closes'!K15-$E15))</f>
        <v/>
      </c>
      <c r="L15" s="20">
        <f>IF('Daily Closes'!L15="","",$D15*('Daily Closes'!L15-$E15))</f>
        <v/>
      </c>
      <c r="M15" s="20">
        <f>IF('Daily Closes'!M15="","",$D15*('Daily Closes'!M15-$E15))</f>
        <v/>
      </c>
      <c r="N15" s="20">
        <f>IF('Daily Closes'!N15="","",$D15*('Daily Closes'!N15-$E15))</f>
        <v/>
      </c>
      <c r="O15" s="20">
        <f>IF('Daily Closes'!O15="","",$D15*('Daily Closes'!O15-$E15))</f>
        <v/>
      </c>
      <c r="P15" s="20">
        <f>IF('Daily Closes'!P15="","",$D15*('Daily Closes'!P15-$E15))</f>
        <v/>
      </c>
      <c r="Q15" s="20">
        <f>IF('Daily Closes'!Q15="","",$D15*('Daily Closes'!Q15-$E15))</f>
        <v/>
      </c>
      <c r="R15" s="20">
        <f>IF('Daily Closes'!R15="","",$D15*('Daily Closes'!R15-$E15))</f>
        <v/>
      </c>
      <c r="S15" s="20">
        <f>IF('Daily Closes'!S15="","",$D15*('Daily Closes'!S15-$E15))</f>
        <v/>
      </c>
      <c r="T15" s="20">
        <f>IF('Daily Closes'!T15="","",$D15*('Daily Closes'!T15-$E15))</f>
        <v/>
      </c>
      <c r="U15" s="20">
        <f>IF('Daily Closes'!U15="","",$D15*('Daily Closes'!U15-$E15))</f>
        <v/>
      </c>
      <c r="V15" s="20">
        <f>IF('Daily Closes'!V15="","",$D15*('Daily Closes'!V15-$E15))</f>
        <v/>
      </c>
      <c r="W15" s="20">
        <f>IF('Daily Closes'!W15="","",$D15*('Daily Closes'!W15-$E15))</f>
        <v/>
      </c>
      <c r="X15" s="20">
        <f>IF('Daily Closes'!X15="","",$D15*('Daily Closes'!X15-$E15))</f>
        <v/>
      </c>
      <c r="Y15" s="20">
        <f>IF('Daily Closes'!Y15="","",$D15*('Daily Closes'!Y15-$E15))</f>
        <v/>
      </c>
      <c r="Z15" s="20">
        <f>IF('Daily Closes'!Z15="","",$D15*('Daily Closes'!Z15-$E15))</f>
        <v/>
      </c>
      <c r="AA15" s="20">
        <f>IF('Daily Closes'!AA15="","",$D15*('Daily Closes'!AA15-$E15))</f>
        <v/>
      </c>
    </row>
    <row r="16">
      <c r="B16" s="16" t="inlineStr">
        <is>
          <t>TOTAL</t>
        </is>
      </c>
      <c r="G16" s="48">
        <f>IF(COUNT(G6:G15)=0,"",SUM(G6:G15))</f>
        <v/>
      </c>
      <c r="H16" s="48">
        <f>IF(COUNT(H6:H15)=0,"",SUM(H6:H15))</f>
        <v/>
      </c>
      <c r="I16" s="48">
        <f>IF(COUNT(I6:I15)=0,"",SUM(I6:I15))</f>
        <v/>
      </c>
      <c r="J16" s="48">
        <f>IF(COUNT(J6:J15)=0,"",SUM(J6:J15))</f>
        <v/>
      </c>
      <c r="K16" s="48">
        <f>IF(COUNT(K6:K15)=0,"",SUM(K6:K15))</f>
        <v/>
      </c>
      <c r="L16" s="48">
        <f>IF(COUNT(L6:L15)=0,"",SUM(L6:L15))</f>
        <v/>
      </c>
      <c r="M16" s="48">
        <f>IF(COUNT(M6:M15)=0,"",SUM(M6:M15))</f>
        <v/>
      </c>
      <c r="N16" s="48">
        <f>IF(COUNT(N6:N15)=0,"",SUM(N6:N15))</f>
        <v/>
      </c>
      <c r="O16" s="48">
        <f>IF(COUNT(O6:O15)=0,"",SUM(O6:O15))</f>
        <v/>
      </c>
      <c r="P16" s="48">
        <f>IF(COUNT(P6:P15)=0,"",SUM(P6:P15))</f>
        <v/>
      </c>
      <c r="Q16" s="48">
        <f>IF(COUNT(Q6:Q15)=0,"",SUM(Q6:Q15))</f>
        <v/>
      </c>
      <c r="R16" s="48">
        <f>IF(COUNT(R6:R15)=0,"",SUM(R6:R15))</f>
        <v/>
      </c>
      <c r="S16" s="48">
        <f>IF(COUNT(S6:S15)=0,"",SUM(S6:S15))</f>
        <v/>
      </c>
      <c r="T16" s="48">
        <f>IF(COUNT(T6:T15)=0,"",SUM(T6:T15))</f>
        <v/>
      </c>
      <c r="U16" s="48">
        <f>IF(COUNT(U6:U15)=0,"",SUM(U6:U15))</f>
        <v/>
      </c>
      <c r="V16" s="48">
        <f>IF(COUNT(V6:V15)=0,"",SUM(V6:V15))</f>
        <v/>
      </c>
      <c r="W16" s="48">
        <f>IF(COUNT(W6:W15)=0,"",SUM(W6:W15))</f>
        <v/>
      </c>
      <c r="X16" s="48">
        <f>IF(COUNT(X6:X15)=0,"",SUM(X6:X15))</f>
        <v/>
      </c>
      <c r="Y16" s="48">
        <f>IF(COUNT(Y6:Y15)=0,"",SUM(Y6:Y15))</f>
        <v/>
      </c>
      <c r="Z16" s="48">
        <f>IF(COUNT(Z6:Z15)=0,"",SUM(Z6:Z15))</f>
        <v/>
      </c>
      <c r="AA16" s="48">
        <f>IF(COUNT(AA6:AA15)=0,"",SUM(AA6:AA15))</f>
        <v/>
      </c>
    </row>
  </sheetData>
  <mergeCells count="2">
    <mergeCell ref="A1:AA1"/>
    <mergeCell ref="A2:AA2"/>
  </mergeCells>
  <conditionalFormatting sqref="G6:AA1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worksheet>
</file>

<file path=xl/worksheets/sheet5.xml><?xml version="1.0" encoding="utf-8"?>
<worksheet xmlns="http://schemas.openxmlformats.org/spreadsheetml/2006/main">
  <sheetPr>
    <tabColor rgb="000B1F3A"/>
    <outlinePr summaryBelow="1" summaryRight="1"/>
    <pageSetUpPr fitToPage="1"/>
  </sheetPr>
  <dimension ref="A1:I26"/>
  <sheetViews>
    <sheetView showGridLines="0" workbookViewId="0">
      <pane ySplit="4" topLeftCell="A5" activePane="bottomLeft" state="frozen"/>
      <selection pane="bottomLeft" activeCell="A1" sqref="A1"/>
    </sheetView>
  </sheetViews>
  <sheetFormatPr baseColWidth="8" defaultRowHeight="15"/>
  <cols>
    <col width="6" customWidth="1" min="1" max="1"/>
    <col width="12" customWidth="1" min="2" max="2"/>
    <col width="20" customWidth="1" min="3" max="3"/>
    <col width="18" customWidth="1" min="4" max="4"/>
    <col width="14" customWidth="1" min="5" max="5"/>
    <col width="11" customWidth="1" min="6" max="6"/>
    <col width="10" customWidth="1" min="7" max="7"/>
    <col width="12" customWidth="1" min="8" max="8"/>
    <col width="12" customWidth="1" min="9" max="9"/>
  </cols>
  <sheetData>
    <row r="1" ht="30" customHeight="1">
      <c r="A1" s="1" t="inlineStr">
        <is>
          <t>Portfolio Path — Day by Day</t>
        </is>
      </c>
      <c r="B1" s="2" t="n"/>
      <c r="C1" s="2" t="n"/>
      <c r="D1" s="2" t="n"/>
      <c r="E1" s="2" t="n"/>
      <c r="F1" s="2" t="n"/>
      <c r="G1" s="2" t="n"/>
      <c r="H1" s="2" t="n"/>
      <c r="I1" s="2" t="n"/>
    </row>
    <row r="2" ht="18" customHeight="1">
      <c r="A2" s="3" t="inlineStr">
        <is>
          <t>Value, P&amp;L, return, drawdown and Nifty 50 comparison</t>
        </is>
      </c>
      <c r="B2" s="2" t="n"/>
      <c r="C2" s="2" t="n"/>
      <c r="D2" s="2" t="n"/>
      <c r="E2" s="2" t="n"/>
      <c r="F2" s="2" t="n"/>
      <c r="G2" s="2" t="n"/>
      <c r="H2" s="2" t="n"/>
      <c r="I2" s="2" t="n"/>
    </row>
    <row r="4">
      <c r="A4" s="15" t="inlineStr">
        <is>
          <t>Day</t>
        </is>
      </c>
      <c r="B4" s="15" t="inlineStr">
        <is>
          <t>Date</t>
        </is>
      </c>
      <c r="C4" s="15" t="inlineStr">
        <is>
          <t>Status</t>
        </is>
      </c>
      <c r="D4" s="15" t="inlineStr">
        <is>
          <t>Portfolio Value ₹</t>
        </is>
      </c>
      <c r="E4" s="15" t="inlineStr">
        <is>
          <t>P&amp;L ₹</t>
        </is>
      </c>
      <c r="F4" s="15" t="inlineStr">
        <is>
          <t>Return %</t>
        </is>
      </c>
      <c r="G4" s="15" t="inlineStr">
        <is>
          <t>Daily %</t>
        </is>
      </c>
      <c r="H4" s="15" t="inlineStr">
        <is>
          <t>Drawdown %</t>
        </is>
      </c>
      <c r="I4" s="15" t="inlineStr">
        <is>
          <t>Nifty 50 %</t>
        </is>
      </c>
    </row>
    <row r="5">
      <c r="A5" s="53" t="n">
        <v>0</v>
      </c>
      <c r="B5" s="35" t="inlineStr">
        <is>
          <t>2026-09-28</t>
        </is>
      </c>
      <c r="C5" s="52" t="inlineStr">
        <is>
          <t>Signal</t>
        </is>
      </c>
      <c r="D5" s="20" t="n">
        <v>139903</v>
      </c>
      <c r="E5" s="20" t="n">
        <v>0</v>
      </c>
      <c r="F5" s="19" t="n">
        <v>0</v>
      </c>
      <c r="G5" s="19" t="n"/>
      <c r="H5" s="19" t="n"/>
      <c r="I5" s="19" t="n">
        <v>0</v>
      </c>
    </row>
    <row r="6">
      <c r="A6" s="53" t="n">
        <v>1</v>
      </c>
      <c r="B6" s="35" t="inlineStr">
        <is>
          <t>2026-09-29</t>
        </is>
      </c>
      <c r="C6" s="52" t="inlineStr">
        <is>
          <t>Entry</t>
        </is>
      </c>
      <c r="D6" s="20" t="n">
        <v>145178.6</v>
      </c>
      <c r="E6" s="20" t="n">
        <v>5223.55</v>
      </c>
      <c r="F6" s="19" t="n">
        <v>0.037323</v>
      </c>
      <c r="G6" s="19" t="n"/>
      <c r="H6" s="19" t="n">
        <v>0</v>
      </c>
      <c r="I6" s="19" t="n">
        <v>-0.002812</v>
      </c>
    </row>
    <row r="7">
      <c r="A7" s="53" t="n">
        <v>2</v>
      </c>
      <c r="B7" s="35" t="inlineStr">
        <is>
          <t>2026-09-30</t>
        </is>
      </c>
      <c r="C7" s="52" t="inlineStr">
        <is>
          <t>Hold</t>
        </is>
      </c>
      <c r="D7" s="20" t="n">
        <v>144421.3</v>
      </c>
      <c r="E7" s="20" t="n">
        <v>4466.25</v>
      </c>
      <c r="F7" s="19" t="n">
        <v>0.031912</v>
      </c>
      <c r="G7" s="19" t="n">
        <v>-0.005216</v>
      </c>
      <c r="H7" s="19" t="n">
        <v>-0.005216</v>
      </c>
      <c r="I7" s="19" t="n">
        <v>-0.007015</v>
      </c>
    </row>
    <row r="8">
      <c r="A8" s="53" t="n">
        <v>3</v>
      </c>
      <c r="B8" s="35" t="inlineStr">
        <is>
          <t>2026-10-01</t>
        </is>
      </c>
      <c r="C8" s="52" t="inlineStr">
        <is>
          <t>Hold</t>
        </is>
      </c>
      <c r="D8" s="20" t="n">
        <v>142311.25</v>
      </c>
      <c r="E8" s="20" t="n">
        <v>2356.2</v>
      </c>
      <c r="F8" s="19" t="n">
        <v>0.016835</v>
      </c>
      <c r="G8" s="19" t="n">
        <v>-0.01461</v>
      </c>
      <c r="H8" s="19" t="n">
        <v>-0.019751</v>
      </c>
      <c r="I8" s="19" t="n">
        <v>-0.015729</v>
      </c>
    </row>
    <row r="9">
      <c r="A9" s="53" t="n">
        <v>4</v>
      </c>
      <c r="B9" s="35" t="inlineStr">
        <is>
          <t>2026-10-02</t>
        </is>
      </c>
      <c r="C9" s="52" t="inlineStr">
        <is>
          <t>Hold</t>
        </is>
      </c>
      <c r="D9" s="20" t="n">
        <v>142311.25</v>
      </c>
      <c r="E9" s="20" t="n">
        <v>2356.2</v>
      </c>
      <c r="F9" s="19" t="n">
        <v>0.016835</v>
      </c>
      <c r="G9" s="19" t="n">
        <v>0</v>
      </c>
      <c r="H9" s="19" t="n">
        <v>-0.019751</v>
      </c>
      <c r="I9" s="19" t="n">
        <v>-0.015729</v>
      </c>
    </row>
    <row r="10">
      <c r="A10" s="53" t="n">
        <v>5</v>
      </c>
      <c r="B10" s="35" t="inlineStr">
        <is>
          <t>2026-10-05</t>
        </is>
      </c>
      <c r="C10" s="52" t="inlineStr">
        <is>
          <t>Hold</t>
        </is>
      </c>
      <c r="D10" s="20" t="n">
        <v>144045.15</v>
      </c>
      <c r="E10" s="20" t="n">
        <v>4090.1</v>
      </c>
      <c r="F10" s="19" t="n">
        <v>0.029224</v>
      </c>
      <c r="G10" s="19" t="n">
        <v>0.012184</v>
      </c>
      <c r="H10" s="19" t="n">
        <v>-0.007807</v>
      </c>
      <c r="I10" s="19" t="n">
        <v>-0.009854999999999999</v>
      </c>
    </row>
    <row r="11">
      <c r="A11" s="53" t="n">
        <v>6</v>
      </c>
      <c r="B11" s="35" t="inlineStr">
        <is>
          <t>2026-10-06</t>
        </is>
      </c>
      <c r="C11" s="52" t="inlineStr">
        <is>
          <t>Hold</t>
        </is>
      </c>
      <c r="D11" s="20" t="n">
        <v>148186.35</v>
      </c>
      <c r="E11" s="20" t="n">
        <v>8231.299999999999</v>
      </c>
      <c r="F11" s="19" t="n">
        <v>0.058814</v>
      </c>
      <c r="G11" s="19" t="n">
        <v>0.028749</v>
      </c>
      <c r="H11" s="19" t="n">
        <v>0</v>
      </c>
      <c r="I11" s="19" t="n">
        <v>-0.000182</v>
      </c>
    </row>
    <row r="12">
      <c r="A12" s="53" t="n">
        <v>7</v>
      </c>
      <c r="B12" s="35" t="inlineStr">
        <is>
          <t>2026-10-07</t>
        </is>
      </c>
      <c r="C12" s="52" t="inlineStr">
        <is>
          <t>Hold</t>
        </is>
      </c>
      <c r="D12" s="20" t="n">
        <v>148825.15</v>
      </c>
      <c r="E12" s="20" t="n">
        <v>8870.1</v>
      </c>
      <c r="F12" s="19" t="n">
        <v>0.063378</v>
      </c>
      <c r="G12" s="19" t="n">
        <v>0.004311</v>
      </c>
      <c r="H12" s="19" t="n">
        <v>0</v>
      </c>
      <c r="I12" s="19" t="n">
        <v>-0.007779</v>
      </c>
    </row>
    <row r="13">
      <c r="A13" s="53" t="n">
        <v>8</v>
      </c>
      <c r="B13" s="35" t="inlineStr">
        <is>
          <t>2026-10-08</t>
        </is>
      </c>
      <c r="C13" s="52" t="inlineStr">
        <is>
          <t>Hold</t>
        </is>
      </c>
      <c r="D13" s="20" t="n">
        <v>145212.55</v>
      </c>
      <c r="E13" s="20" t="n">
        <v>5257.5</v>
      </c>
      <c r="F13" s="19" t="n">
        <v>0.037566</v>
      </c>
      <c r="G13" s="19" t="n">
        <v>-0.024274</v>
      </c>
      <c r="H13" s="19" t="n">
        <v>-0.024274</v>
      </c>
      <c r="I13" s="19" t="n">
        <v>-0.024076</v>
      </c>
    </row>
    <row r="14">
      <c r="A14" s="53" t="n">
        <v>9</v>
      </c>
      <c r="B14" s="35" t="inlineStr">
        <is>
          <t>2026-10-09</t>
        </is>
      </c>
      <c r="C14" s="52" t="inlineStr">
        <is>
          <t>Hold</t>
        </is>
      </c>
      <c r="D14" s="20" t="n">
        <v>146665.1</v>
      </c>
      <c r="E14" s="20" t="n">
        <v>6710.05</v>
      </c>
      <c r="F14" s="19" t="n">
        <v>0.047944</v>
      </c>
      <c r="G14" s="19" t="n">
        <v>0.010003</v>
      </c>
      <c r="H14" s="19" t="n">
        <v>-0.014514</v>
      </c>
      <c r="I14" s="19" t="n">
        <v>-0.011405</v>
      </c>
    </row>
    <row r="15">
      <c r="A15" s="53" t="n">
        <v>10</v>
      </c>
      <c r="B15" s="35" t="inlineStr">
        <is>
          <t>2026-10-12</t>
        </is>
      </c>
      <c r="C15" s="52" t="inlineStr">
        <is>
          <t>Hold</t>
        </is>
      </c>
      <c r="D15" s="20" t="n">
        <v>150238.35</v>
      </c>
      <c r="E15" s="20" t="n">
        <v>10283.3</v>
      </c>
      <c r="F15" s="19" t="n">
        <v>0.073476</v>
      </c>
      <c r="G15" s="19" t="n">
        <v>0.024363</v>
      </c>
      <c r="H15" s="19" t="n">
        <v>0</v>
      </c>
      <c r="I15" s="19" t="n">
        <v>-0.018301</v>
      </c>
    </row>
    <row r="16">
      <c r="A16" s="53" t="n">
        <v>11</v>
      </c>
      <c r="B16" s="35" t="inlineStr">
        <is>
          <t>2026-10-13</t>
        </is>
      </c>
      <c r="C16" s="52" t="inlineStr">
        <is>
          <t>Hold</t>
        </is>
      </c>
      <c r="D16" s="20" t="n">
        <v>148485.25</v>
      </c>
      <c r="E16" s="20" t="n">
        <v>8530.200000000001</v>
      </c>
      <c r="F16" s="19" t="n">
        <v>0.06095</v>
      </c>
      <c r="G16" s="19" t="n">
        <v>-0.011669</v>
      </c>
      <c r="H16" s="19" t="n">
        <v>-0.011669</v>
      </c>
      <c r="I16" s="19" t="n">
        <v>-0.002559</v>
      </c>
    </row>
    <row r="17">
      <c r="A17" s="53" t="n">
        <v>12</v>
      </c>
      <c r="B17" s="35" t="inlineStr">
        <is>
          <t>2026-10-14</t>
        </is>
      </c>
      <c r="C17" s="52" t="inlineStr">
        <is>
          <t>Hold</t>
        </is>
      </c>
      <c r="D17" s="20" t="n">
        <v>148334.2</v>
      </c>
      <c r="E17" s="20" t="n">
        <v>8379.15</v>
      </c>
      <c r="F17" s="19" t="n">
        <v>0.05987</v>
      </c>
      <c r="G17" s="19" t="n">
        <v>-0.001017</v>
      </c>
      <c r="H17" s="19" t="n">
        <v>-0.012674</v>
      </c>
      <c r="I17" s="19" t="n">
        <v>-0.006916</v>
      </c>
    </row>
    <row r="18">
      <c r="A18" s="53" t="n">
        <v>13</v>
      </c>
      <c r="B18" s="35" t="inlineStr">
        <is>
          <t>2026-10-15</t>
        </is>
      </c>
      <c r="C18" s="52" t="inlineStr">
        <is>
          <t>Hold</t>
        </is>
      </c>
      <c r="D18" s="20" t="n">
        <v>143337.25</v>
      </c>
      <c r="E18" s="20" t="n">
        <v>3382.2</v>
      </c>
      <c r="F18" s="19" t="n">
        <v>0.024166</v>
      </c>
      <c r="G18" s="19" t="n">
        <v>-0.033687</v>
      </c>
      <c r="H18" s="19" t="n">
        <v>-0.045934</v>
      </c>
      <c r="I18" s="19" t="n">
        <v>0.00953</v>
      </c>
    </row>
    <row r="19">
      <c r="A19" s="53" t="n">
        <v>14</v>
      </c>
      <c r="B19" s="35" t="inlineStr">
        <is>
          <t>2026-10-16</t>
        </is>
      </c>
      <c r="C19" s="52" t="inlineStr">
        <is>
          <t>Hold</t>
        </is>
      </c>
      <c r="D19" s="20" t="n">
        <v>142526.25</v>
      </c>
      <c r="E19" s="20" t="n">
        <v>2571.2</v>
      </c>
      <c r="F19" s="19" t="n">
        <v>0.018372</v>
      </c>
      <c r="G19" s="19" t="n">
        <v>-0.005658</v>
      </c>
      <c r="H19" s="19" t="n">
        <v>-0.051332</v>
      </c>
      <c r="I19" s="19" t="n">
        <v>0.016062</v>
      </c>
    </row>
    <row r="20">
      <c r="A20" s="54" t="n">
        <v>15</v>
      </c>
      <c r="B20" s="55" t="inlineStr">
        <is>
          <t>2026-10-19</t>
        </is>
      </c>
      <c r="C20" s="56" t="inlineStr">
        <is>
          <t>Hold</t>
        </is>
      </c>
      <c r="D20" s="57" t="n">
        <v>140052.45</v>
      </c>
      <c r="E20" s="57" t="n">
        <v>97.40000000000001</v>
      </c>
      <c r="F20" s="58" t="n">
        <v>0.000696</v>
      </c>
      <c r="G20" s="58" t="n">
        <v>-0.017357</v>
      </c>
      <c r="H20" s="58" t="n">
        <v>-0.067798</v>
      </c>
      <c r="I20" s="58" t="n">
        <v>0.004772</v>
      </c>
    </row>
    <row r="21">
      <c r="A21" s="59" t="n">
        <v>16</v>
      </c>
      <c r="B21" s="60" t="inlineStr">
        <is>
          <t>2026-10-22</t>
        </is>
      </c>
      <c r="C21" s="61" t="inlineStr">
        <is>
          <t>Hold (upcoming)</t>
        </is>
      </c>
      <c r="D21" s="62" t="n"/>
      <c r="E21" s="62" t="n"/>
      <c r="F21" s="63" t="n"/>
      <c r="G21" s="63" t="n"/>
      <c r="H21" s="63" t="n"/>
      <c r="I21" s="63" t="n"/>
    </row>
    <row r="22">
      <c r="A22" s="59" t="n">
        <v>17</v>
      </c>
      <c r="B22" s="60" t="inlineStr">
        <is>
          <t>2026-10-23</t>
        </is>
      </c>
      <c r="C22" s="61" t="inlineStr">
        <is>
          <t>Hold (upcoming)</t>
        </is>
      </c>
      <c r="D22" s="62" t="n"/>
      <c r="E22" s="62" t="n"/>
      <c r="F22" s="63" t="n"/>
      <c r="G22" s="63" t="n"/>
      <c r="H22" s="63" t="n"/>
      <c r="I22" s="63" t="n"/>
    </row>
    <row r="23">
      <c r="A23" s="59" t="n">
        <v>18</v>
      </c>
      <c r="B23" s="60" t="inlineStr">
        <is>
          <t>2026-10-26</t>
        </is>
      </c>
      <c r="C23" s="61" t="inlineStr">
        <is>
          <t>Hold (upcoming)</t>
        </is>
      </c>
      <c r="D23" s="62" t="n"/>
      <c r="E23" s="62" t="n"/>
      <c r="F23" s="63" t="n"/>
      <c r="G23" s="63" t="n"/>
      <c r="H23" s="63" t="n"/>
      <c r="I23" s="63" t="n"/>
    </row>
    <row r="24">
      <c r="A24" s="59" t="n">
        <v>19</v>
      </c>
      <c r="B24" s="60" t="inlineStr">
        <is>
          <t>2026-10-27</t>
        </is>
      </c>
      <c r="C24" s="61" t="inlineStr">
        <is>
          <t>Hold (upcoming)</t>
        </is>
      </c>
      <c r="D24" s="62" t="n"/>
      <c r="E24" s="62" t="n"/>
      <c r="F24" s="63" t="n"/>
      <c r="G24" s="63" t="n"/>
      <c r="H24" s="63" t="n"/>
      <c r="I24" s="63" t="n"/>
    </row>
    <row r="25">
      <c r="A25" s="59" t="n">
        <v>20</v>
      </c>
      <c r="B25" s="60" t="inlineStr">
        <is>
          <t>2026-10-28</t>
        </is>
      </c>
      <c r="C25" s="61" t="inlineStr">
        <is>
          <t>Exit reminder (upcoming)</t>
        </is>
      </c>
      <c r="D25" s="62" t="n"/>
      <c r="E25" s="62" t="n"/>
      <c r="F25" s="63" t="n"/>
      <c r="G25" s="63" t="n"/>
      <c r="H25" s="63" t="n"/>
      <c r="I25" s="63" t="n"/>
    </row>
    <row r="26">
      <c r="A26" s="59" t="n">
        <v>21</v>
      </c>
      <c r="B26" s="60" t="inlineStr">
        <is>
          <t>2026-10-29</t>
        </is>
      </c>
      <c r="C26" s="61" t="inlineStr">
        <is>
          <t>Exit (upcoming)</t>
        </is>
      </c>
      <c r="D26" s="62" t="n"/>
      <c r="E26" s="62" t="n"/>
      <c r="F26" s="63" t="n"/>
      <c r="G26" s="63" t="n"/>
      <c r="H26" s="63" t="n"/>
      <c r="I26" s="63" t="n"/>
    </row>
  </sheetData>
  <mergeCells count="2">
    <mergeCell ref="A1:I1"/>
    <mergeCell ref="A2:I2"/>
  </mergeCells>
  <conditionalFormatting sqref="E5:I2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94A3B8"/>
    <outlinePr summaryBelow="1" summaryRight="1"/>
    <pageSetUpPr fitToPage="1"/>
  </sheetPr>
  <dimension ref="A1:P35"/>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Batch Details (from SwingScope HTML)</t>
        </is>
      </c>
      <c r="B1" s="2" t="n"/>
      <c r="C1" s="2" t="n"/>
      <c r="D1" s="2" t="n"/>
      <c r="E1" s="2" t="n"/>
      <c r="F1" s="2" t="n"/>
      <c r="G1" s="2" t="n"/>
      <c r="H1" s="2" t="n"/>
    </row>
    <row r="2" ht="18" customHeight="1">
      <c r="A2" s="3" t="inlineStr">
        <is>
          <t>SwingScope batch 2026-09-28</t>
        </is>
      </c>
      <c r="B2" s="2" t="n"/>
      <c r="C2" s="2" t="n"/>
      <c r="D2" s="2" t="n"/>
      <c r="E2" s="2" t="n"/>
      <c r="F2" s="2" t="n"/>
      <c r="G2" s="2" t="n"/>
      <c r="H2" s="2" t="n"/>
    </row>
    <row r="4">
      <c r="B4" s="22" t="inlineStr">
        <is>
          <t>Batch ID</t>
        </is>
      </c>
      <c r="C4" s="52" t="inlineStr">
        <is>
          <t>2026-09-28</t>
        </is>
      </c>
      <c r="D4" s="64" t="n"/>
      <c r="E4" s="64" t="n"/>
      <c r="F4" s="64" t="n"/>
      <c r="G4" s="64" t="n"/>
      <c r="H4" s="65" t="n"/>
    </row>
    <row r="5">
      <c r="B5" s="22" t="inlineStr">
        <is>
          <t>Signal date (Day 0)</t>
        </is>
      </c>
      <c r="C5" s="52" t="inlineStr">
        <is>
          <t>2026-09-28</t>
        </is>
      </c>
      <c r="D5" s="64" t="n"/>
      <c r="E5" s="64" t="n"/>
      <c r="F5" s="64" t="n"/>
      <c r="G5" s="64" t="n"/>
      <c r="H5" s="65" t="n"/>
    </row>
    <row r="6">
      <c r="B6" s="22" t="inlineStr">
        <is>
          <t>Exit (HTML estimate)</t>
        </is>
      </c>
      <c r="C6" s="52" t="inlineStr">
        <is>
          <t>2026-10-27</t>
        </is>
      </c>
      <c r="D6" s="64" t="n"/>
      <c r="E6" s="64" t="n"/>
      <c r="F6" s="64" t="n"/>
      <c r="G6" s="64" t="n"/>
      <c r="H6" s="65" t="n"/>
    </row>
    <row r="7">
      <c r="B7" s="22" t="inlineStr">
        <is>
          <t>Exit (projected, NSE calendar)</t>
        </is>
      </c>
      <c r="C7" s="52" t="inlineStr">
        <is>
          <t>2026-10-29</t>
        </is>
      </c>
      <c r="D7" s="64" t="n"/>
      <c r="E7" s="64" t="n"/>
      <c r="F7" s="64" t="n"/>
      <c r="G7" s="64" t="n"/>
      <c r="H7" s="65" t="n"/>
    </row>
    <row r="8">
      <c r="B8" s="22" t="inlineStr">
        <is>
          <t>Hold</t>
        </is>
      </c>
      <c r="C8" s="52" t="inlineStr">
        <is>
          <t>21 sessions — no stop, no target</t>
        </is>
      </c>
      <c r="D8" s="64" t="n"/>
      <c r="E8" s="64" t="n"/>
      <c r="F8" s="64" t="n"/>
      <c r="G8" s="64" t="n"/>
      <c r="H8" s="65" t="n"/>
    </row>
    <row r="9">
      <c r="B9" s="22" t="inlineStr">
        <is>
          <t>Universe</t>
        </is>
      </c>
      <c r="C9" s="52" t="inlineStr">
        <is>
          <t>liquidity top 400 of all NSE stocks</t>
        </is>
      </c>
      <c r="D9" s="64" t="n"/>
      <c r="E9" s="64" t="n"/>
      <c r="F9" s="64" t="n"/>
      <c r="G9" s="64" t="n"/>
      <c r="H9" s="65" t="n"/>
    </row>
    <row r="10">
      <c r="B10" s="22" t="inlineStr">
        <is>
          <t>Capital committed (at signal close)</t>
        </is>
      </c>
      <c r="C10" s="66" t="n">
        <v>139903</v>
      </c>
      <c r="D10" s="64" t="n"/>
      <c r="E10" s="64" t="n"/>
      <c r="F10" s="64" t="n"/>
      <c r="G10" s="64" t="n"/>
      <c r="H10" s="65" t="n"/>
    </row>
    <row r="11">
      <c r="B11" s="22" t="inlineStr">
        <is>
          <t>Estimated costs</t>
        </is>
      </c>
      <c r="C11" s="66" t="n">
        <v>859</v>
      </c>
      <c r="D11" s="64" t="n"/>
      <c r="E11" s="64" t="n"/>
      <c r="F11" s="64" t="n"/>
      <c r="G11" s="64" t="n"/>
      <c r="H11" s="65" t="n"/>
    </row>
    <row r="12">
      <c r="B12" s="22" t="inlineStr">
        <is>
          <t>Cost %</t>
        </is>
      </c>
      <c r="C12" s="52" t="inlineStr">
        <is>
          <t>0.6%</t>
        </is>
      </c>
      <c r="D12" s="64" t="n"/>
      <c r="E12" s="64" t="n"/>
      <c r="F12" s="64" t="n"/>
      <c r="G12" s="64" t="n"/>
      <c r="H12" s="65" t="n"/>
    </row>
    <row r="13">
      <c r="B13" s="22" t="inlineStr">
        <is>
          <t>Market regime</t>
        </is>
      </c>
      <c r="C13" s="52" t="inlineStr">
        <is>
          <t>Down — the signal's weakest regime historically</t>
        </is>
      </c>
      <c r="D13" s="64" t="n"/>
      <c r="E13" s="64" t="n"/>
      <c r="F13" s="64" t="n"/>
      <c r="G13" s="64" t="n"/>
      <c r="H13" s="65" t="n"/>
    </row>
    <row r="14">
      <c r="B14" s="22" t="inlineStr">
        <is>
          <t>Stocks with a warning</t>
        </is>
      </c>
      <c r="C14" s="52" t="inlineStr">
        <is>
          <t>0 of 10</t>
        </is>
      </c>
      <c r="D14" s="64" t="n"/>
      <c r="E14" s="64" t="n"/>
      <c r="F14" s="64" t="n"/>
      <c r="G14" s="64" t="n"/>
      <c r="H14" s="65" t="n"/>
    </row>
    <row r="17">
      <c r="B17" s="15" t="inlineStr">
        <is>
          <t>#</t>
        </is>
      </c>
      <c r="C17" s="15" t="inlineStr">
        <is>
          <t>Symbol</t>
        </is>
      </c>
      <c r="D17" s="15" t="inlineStr">
        <is>
          <t>ISIN</t>
        </is>
      </c>
      <c r="E17" s="15" t="inlineStr">
        <is>
          <t>Qty</t>
        </is>
      </c>
      <c r="F17" s="15" t="inlineStr">
        <is>
          <t>Signal close</t>
        </is>
      </c>
      <c r="G17" s="15" t="inlineStr">
        <is>
          <t>Amount</t>
        </is>
      </c>
      <c r="H17" s="15" t="inlineStr">
        <is>
          <t>12-1 %</t>
        </is>
      </c>
      <c r="I17" s="15" t="inlineStr">
        <is>
          <t>6-1 %</t>
        </is>
      </c>
      <c r="J17" s="15" t="inlineStr">
        <is>
          <t>3-1 %</t>
        </is>
      </c>
      <c r="K17" s="15" t="inlineStr">
        <is>
          <t>Vol %</t>
        </is>
      </c>
      <c r="L17" s="15" t="inlineStr">
        <is>
          <t>Traded daily (cr)</t>
        </is>
      </c>
      <c r="M17" s="15" t="inlineStr">
        <is>
          <t>From 12m high %</t>
        </is>
      </c>
      <c r="N17" s="15" t="inlineStr">
        <is>
          <t>Signal rank</t>
        </is>
      </c>
      <c r="O17" s="15" t="inlineStr">
        <is>
          <t>Data quality</t>
        </is>
      </c>
      <c r="P17" s="15" t="inlineStr">
        <is>
          <t>Watch</t>
        </is>
      </c>
    </row>
    <row r="18">
      <c r="B18" s="51" t="n">
        <v>1</v>
      </c>
      <c r="C18" s="52" t="inlineStr">
        <is>
          <t>TDPOWERSYS</t>
        </is>
      </c>
      <c r="D18" s="52" t="inlineStr">
        <is>
          <t>INE419M01035</t>
        </is>
      </c>
      <c r="E18" s="51" t="n">
        <v>20</v>
      </c>
      <c r="F18" s="18" t="n">
        <v>722</v>
      </c>
      <c r="G18" s="18" t="n">
        <v>14440</v>
      </c>
      <c r="H18" s="51" t="n">
        <v>177</v>
      </c>
      <c r="I18" s="51" t="n">
        <v>72.2</v>
      </c>
      <c r="J18" s="51" t="n">
        <v>19.6</v>
      </c>
      <c r="K18" s="51" t="n">
        <v>60.1</v>
      </c>
      <c r="L18" s="51" t="n">
        <v>128</v>
      </c>
      <c r="M18" s="51" t="n">
        <v>-10.3</v>
      </c>
      <c r="N18" s="51" t="n">
        <v>6</v>
      </c>
      <c r="O18" s="52" t="inlineStr">
        <is>
          <t>Green</t>
        </is>
      </c>
      <c r="P18" s="52" t="inlineStr">
        <is>
          <t>Nothing flagged</t>
        </is>
      </c>
    </row>
    <row r="19">
      <c r="B19" s="51" t="n">
        <v>2</v>
      </c>
      <c r="C19" s="52" t="inlineStr">
        <is>
          <t>AEROFLEX</t>
        </is>
      </c>
      <c r="D19" s="52" t="inlineStr">
        <is>
          <t>INE024001021</t>
        </is>
      </c>
      <c r="E19" s="51" t="n">
        <v>29</v>
      </c>
      <c r="F19" s="18" t="n">
        <v>513.4</v>
      </c>
      <c r="G19" s="18" t="n">
        <v>14889</v>
      </c>
      <c r="H19" s="51" t="n">
        <v>175</v>
      </c>
      <c r="I19" s="51" t="n">
        <v>107</v>
      </c>
      <c r="J19" s="51" t="n">
        <v>10.7</v>
      </c>
      <c r="K19" s="51" t="n">
        <v>67.3</v>
      </c>
      <c r="L19" s="51" t="n">
        <v>53</v>
      </c>
      <c r="M19" s="51" t="n">
        <v>-10.5</v>
      </c>
      <c r="N19" s="51" t="n">
        <v>7</v>
      </c>
      <c r="O19" s="52" t="inlineStr">
        <is>
          <t>Green</t>
        </is>
      </c>
      <c r="P19" s="52" t="inlineStr">
        <is>
          <t>Nothing flagged</t>
        </is>
      </c>
    </row>
    <row r="20">
      <c r="B20" s="51" t="n">
        <v>3</v>
      </c>
      <c r="C20" s="52" t="inlineStr">
        <is>
          <t>ATHERENERG</t>
        </is>
      </c>
      <c r="D20" s="52" t="inlineStr">
        <is>
          <t>INE0LEZ01016</t>
        </is>
      </c>
      <c r="E20" s="51" t="n">
        <v>10</v>
      </c>
      <c r="F20" s="18" t="n">
        <v>1454.9</v>
      </c>
      <c r="G20" s="18" t="n">
        <v>14549</v>
      </c>
      <c r="H20" s="51" t="n">
        <v>166</v>
      </c>
      <c r="I20" s="51" t="n">
        <v>97.5</v>
      </c>
      <c r="J20" s="51" t="n">
        <v>31.1</v>
      </c>
      <c r="K20" s="51" t="n">
        <v>49.4</v>
      </c>
      <c r="L20" s="51" t="n">
        <v>493</v>
      </c>
      <c r="M20" s="51" t="n">
        <v>-15.7</v>
      </c>
      <c r="N20" s="51" t="n">
        <v>9</v>
      </c>
      <c r="O20" s="52" t="inlineStr">
        <is>
          <t>Green</t>
        </is>
      </c>
      <c r="P20" s="52" t="inlineStr">
        <is>
          <t>Nothing flagged</t>
        </is>
      </c>
    </row>
    <row r="21">
      <c r="B21" s="51" t="n">
        <v>4</v>
      </c>
      <c r="C21" s="52" t="inlineStr">
        <is>
          <t>THANGAMAYL</t>
        </is>
      </c>
      <c r="D21" s="52" t="inlineStr">
        <is>
          <t>INE085J01014</t>
        </is>
      </c>
      <c r="E21" s="51" t="n">
        <v>2</v>
      </c>
      <c r="F21" s="18" t="n">
        <v>5011.5</v>
      </c>
      <c r="G21" s="18" t="n">
        <v>10023</v>
      </c>
      <c r="H21" s="51" t="n">
        <v>154</v>
      </c>
      <c r="I21" s="51" t="n">
        <v>66.3</v>
      </c>
      <c r="J21" s="51" t="n">
        <v>-14</v>
      </c>
      <c r="K21" s="51" t="n">
        <v>59.8</v>
      </c>
      <c r="L21" s="51" t="n">
        <v>71</v>
      </c>
      <c r="M21" s="51" t="n">
        <v>-31.4</v>
      </c>
      <c r="N21" s="51" t="n">
        <v>11</v>
      </c>
      <c r="O21" s="52" t="inlineStr">
        <is>
          <t>Green</t>
        </is>
      </c>
      <c r="P21" s="52" t="inlineStr">
        <is>
          <t>Nothing flagged</t>
        </is>
      </c>
    </row>
    <row r="22">
      <c r="B22" s="51" t="n">
        <v>5</v>
      </c>
      <c r="C22" s="52" t="inlineStr">
        <is>
          <t>RRKABEL</t>
        </is>
      </c>
      <c r="D22" s="52" t="inlineStr">
        <is>
          <t>INE777K01022</t>
        </is>
      </c>
      <c r="E22" s="51" t="n">
        <v>6</v>
      </c>
      <c r="F22" s="18" t="n">
        <v>2459.8</v>
      </c>
      <c r="G22" s="18" t="n">
        <v>14759</v>
      </c>
      <c r="H22" s="51" t="n">
        <v>126</v>
      </c>
      <c r="I22" s="51" t="n">
        <v>110</v>
      </c>
      <c r="J22" s="51" t="n">
        <v>18.2</v>
      </c>
      <c r="K22" s="51" t="n">
        <v>44</v>
      </c>
      <c r="L22" s="51" t="n">
        <v>93</v>
      </c>
      <c r="M22" s="51" t="n">
        <v>-16</v>
      </c>
      <c r="N22" s="51" t="n">
        <v>15</v>
      </c>
      <c r="O22" s="52" t="inlineStr">
        <is>
          <t>Green</t>
        </is>
      </c>
      <c r="P22" s="52" t="inlineStr">
        <is>
          <t>Nothing flagged</t>
        </is>
      </c>
    </row>
    <row r="23">
      <c r="B23" s="51" t="n">
        <v>6</v>
      </c>
      <c r="C23" s="52" t="inlineStr">
        <is>
          <t>ACUTAAS</t>
        </is>
      </c>
      <c r="D23" s="52" t="inlineStr">
        <is>
          <t>INE00FF01025</t>
        </is>
      </c>
      <c r="E23" s="51" t="n">
        <v>4</v>
      </c>
      <c r="F23" s="18" t="n">
        <v>3214.4</v>
      </c>
      <c r="G23" s="18" t="n">
        <v>12858</v>
      </c>
      <c r="H23" s="51" t="n">
        <v>126</v>
      </c>
      <c r="I23" s="51" t="n">
        <v>36.7</v>
      </c>
      <c r="J23" s="51" t="n">
        <v>-5.6</v>
      </c>
      <c r="K23" s="51" t="n">
        <v>46.7</v>
      </c>
      <c r="L23" s="51" t="n">
        <v>101</v>
      </c>
      <c r="M23" s="51" t="n">
        <v>-13</v>
      </c>
      <c r="N23" s="51" t="n">
        <v>16</v>
      </c>
      <c r="O23" s="52" t="inlineStr">
        <is>
          <t>Green</t>
        </is>
      </c>
      <c r="P23" s="52" t="inlineStr">
        <is>
          <t>Nothing flagged</t>
        </is>
      </c>
    </row>
    <row r="24">
      <c r="B24" s="51" t="n">
        <v>7</v>
      </c>
      <c r="C24" s="52" t="inlineStr">
        <is>
          <t>DIACABS</t>
        </is>
      </c>
      <c r="D24" s="52" t="inlineStr">
        <is>
          <t>INE989C01038</t>
        </is>
      </c>
      <c r="E24" s="51" t="n">
        <v>44</v>
      </c>
      <c r="F24" s="18" t="n">
        <v>339.25</v>
      </c>
      <c r="G24" s="18" t="n">
        <v>14927</v>
      </c>
      <c r="H24" s="51" t="n">
        <v>124</v>
      </c>
      <c r="I24" s="51" t="n">
        <v>180</v>
      </c>
      <c r="J24" s="51" t="n">
        <v>61.7</v>
      </c>
      <c r="K24" s="51" t="n">
        <v>53.6</v>
      </c>
      <c r="L24" s="51" t="n">
        <v>51</v>
      </c>
      <c r="M24" s="51" t="n">
        <v>-14.1</v>
      </c>
      <c r="N24" s="51" t="n">
        <v>17</v>
      </c>
      <c r="O24" s="52" t="inlineStr">
        <is>
          <t>Green</t>
        </is>
      </c>
      <c r="P24" s="52" t="inlineStr">
        <is>
          <t>Nothing flagged</t>
        </is>
      </c>
    </row>
    <row r="25">
      <c r="B25" s="51" t="n">
        <v>8</v>
      </c>
      <c r="C25" s="52" t="inlineStr">
        <is>
          <t>KIRLOSENG</t>
        </is>
      </c>
      <c r="D25" s="52" t="inlineStr">
        <is>
          <t>INE146L01010</t>
        </is>
      </c>
      <c r="E25" s="51" t="n">
        <v>7</v>
      </c>
      <c r="F25" s="18" t="n">
        <v>2141.2</v>
      </c>
      <c r="G25" s="18" t="n">
        <v>14988</v>
      </c>
      <c r="H25" s="51" t="n">
        <v>123</v>
      </c>
      <c r="I25" s="51" t="n">
        <v>58.2</v>
      </c>
      <c r="J25" s="51" t="n">
        <v>-11.2</v>
      </c>
      <c r="K25" s="51" t="n">
        <v>49.9</v>
      </c>
      <c r="L25" s="51" t="n">
        <v>87</v>
      </c>
      <c r="M25" s="51" t="n">
        <v>-16.5</v>
      </c>
      <c r="N25" s="51" t="n">
        <v>18</v>
      </c>
      <c r="O25" s="52" t="inlineStr">
        <is>
          <t>Green</t>
        </is>
      </c>
      <c r="P25" s="52" t="inlineStr">
        <is>
          <t>Nothing flagged</t>
        </is>
      </c>
    </row>
    <row r="26">
      <c r="B26" s="51" t="n">
        <v>9</v>
      </c>
      <c r="C26" s="52" t="inlineStr">
        <is>
          <t>E2E</t>
        </is>
      </c>
      <c r="D26" s="52" t="inlineStr">
        <is>
          <t>INE255Z01027</t>
        </is>
      </c>
      <c r="E26" s="51" t="n">
        <v>23</v>
      </c>
      <c r="F26" s="18" t="n">
        <v>625.9</v>
      </c>
      <c r="G26" s="18" t="n">
        <v>14396</v>
      </c>
      <c r="H26" s="51" t="n">
        <v>109</v>
      </c>
      <c r="I26" s="51" t="n">
        <v>186</v>
      </c>
      <c r="J26" s="51" t="n">
        <v>56</v>
      </c>
      <c r="K26" s="51" t="n">
        <v>56.2</v>
      </c>
      <c r="L26" s="51" t="n">
        <v>49</v>
      </c>
      <c r="M26" s="51" t="n">
        <v>-8.800000000000001</v>
      </c>
      <c r="N26" s="51" t="n">
        <v>20</v>
      </c>
      <c r="O26" s="52" t="inlineStr">
        <is>
          <t>Green</t>
        </is>
      </c>
      <c r="P26" s="52" t="inlineStr">
        <is>
          <t>Nothing flagged</t>
        </is>
      </c>
    </row>
    <row r="27">
      <c r="B27" s="51" t="n">
        <v>10</v>
      </c>
      <c r="C27" s="52" t="inlineStr">
        <is>
          <t>LAURUSLABS</t>
        </is>
      </c>
      <c r="D27" s="52" t="inlineStr">
        <is>
          <t>INE947Q01028</t>
        </is>
      </c>
      <c r="E27" s="51" t="n">
        <v>7</v>
      </c>
      <c r="F27" s="18" t="n">
        <v>2010.7</v>
      </c>
      <c r="G27" s="18" t="n">
        <v>14075</v>
      </c>
      <c r="H27" s="51" t="n">
        <v>109</v>
      </c>
      <c r="I27" s="51" t="n">
        <v>94.40000000000001</v>
      </c>
      <c r="J27" s="51" t="n">
        <v>27.2</v>
      </c>
      <c r="K27" s="51" t="n">
        <v>28.1</v>
      </c>
      <c r="L27" s="51" t="n">
        <v>300</v>
      </c>
      <c r="M27" s="51" t="n">
        <v>-1.1</v>
      </c>
      <c r="N27" s="51" t="n">
        <v>21</v>
      </c>
      <c r="O27" s="52" t="inlineStr">
        <is>
          <t>Green</t>
        </is>
      </c>
      <c r="P27" s="52" t="inlineStr">
        <is>
          <t>Nothing flagged</t>
        </is>
      </c>
    </row>
    <row r="30">
      <c r="B30" s="14" t="inlineStr">
        <is>
          <t>Evidence behind the rule (backtest, from HTML)</t>
        </is>
      </c>
    </row>
    <row r="31" ht="60" customHeight="1">
      <c r="B31" s="67" t="inlineStr">
        <is>
          <t>Backtest, 2017–2026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t>
        </is>
      </c>
    </row>
    <row r="32" ht="60" customHeight="1">
      <c r="B32" s="67" t="inlineStr">
        <is>
          <t>Live record | No results yet | The first live result arrives when this system finishes its first batch. Live results are kept apart from the backtest and never mixed in.</t>
        </is>
      </c>
    </row>
    <row r="34">
      <c r="B34" s="14" t="inlineStr">
        <is>
          <t>Corporate actions (splits, bonuses, dividends)</t>
        </is>
      </c>
    </row>
    <row r="35">
      <c r="B35" s="28" t="inlineStr">
        <is>
          <t>None recorded during this hold.</t>
        </is>
      </c>
    </row>
  </sheetData>
  <mergeCells count="15">
    <mergeCell ref="C11:H11"/>
    <mergeCell ref="C6:H6"/>
    <mergeCell ref="C10:H10"/>
    <mergeCell ref="C14:H14"/>
    <mergeCell ref="C5:H5"/>
    <mergeCell ref="A2:H2"/>
    <mergeCell ref="C9:H9"/>
    <mergeCell ref="C13:H13"/>
    <mergeCell ref="B31:P31"/>
    <mergeCell ref="C8:H8"/>
    <mergeCell ref="C4:H4"/>
    <mergeCell ref="B32:P32"/>
    <mergeCell ref="A1:H1"/>
    <mergeCell ref="C12:H12"/>
    <mergeCell ref="C7:H7"/>
  </mergeCells>
  <pageMargins left="0.75" right="0.75" top="1" bottom="1" header="0.5" footer="0.5"/>
  <pageSetup orientation="landscape" fitToWidth="1"/>
</worksheet>
</file>

<file path=xl/worksheets/sheet7.xml><?xml version="1.0" encoding="utf-8"?>
<worksheet xmlns="http://schemas.openxmlformats.org/spreadsheetml/2006/main">
  <sheetPr>
    <tabColor rgb="008B5CF6"/>
    <outlinePr summaryBelow="1" summaryRight="1"/>
    <pageSetUpPr fitToPage="1"/>
  </sheetPr>
  <dimension ref="A1:I61"/>
  <sheetViews>
    <sheetView showGridLines="0" workbookViewId="0">
      <pane ySplit="4" topLeftCell="A5"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2" customWidth="1" min="5" max="5"/>
    <col width="58" customWidth="1" min="6" max="6"/>
    <col width="15" customWidth="1" min="7" max="7"/>
    <col width="16" customWidth="1" min="8" max="8"/>
  </cols>
  <sheetData>
    <row r="1" ht="30" customHeight="1">
      <c r="A1" s="1" t="inlineStr">
        <is>
          <t>Stock-by-Stock Research &amp; Swing-Trade Shortlist</t>
        </is>
      </c>
      <c r="B1" s="2" t="n"/>
      <c r="C1" s="2" t="n"/>
      <c r="D1" s="2" t="n"/>
      <c r="E1" s="2" t="n"/>
      <c r="F1" s="2" t="n"/>
      <c r="G1" s="2" t="n"/>
      <c r="H1" s="2" t="n"/>
      <c r="I1" s="2" t="n"/>
    </row>
    <row r="2" ht="18" customHeight="1">
      <c r="A2" s="3" t="inlineStr">
        <is>
          <t>Views from your research notes · written 2026-09-28 13:27</t>
        </is>
      </c>
      <c r="B2" s="2" t="n"/>
      <c r="C2" s="2" t="n"/>
      <c r="D2" s="2" t="n"/>
      <c r="E2" s="2" t="n"/>
      <c r="F2" s="2" t="n"/>
      <c r="G2" s="2" t="n"/>
      <c r="H2" s="2" t="n"/>
      <c r="I2" s="2" t="n"/>
    </row>
    <row r="4">
      <c r="A4" s="15" t="inlineStr">
        <is>
          <t>Rank</t>
        </is>
      </c>
      <c r="B4" s="15" t="inlineStr">
        <is>
          <t>Symbol</t>
        </is>
      </c>
      <c r="C4" s="15" t="inlineStr">
        <is>
          <t>Company</t>
        </is>
      </c>
      <c r="D4" s="15" t="inlineStr">
        <is>
          <t>View</t>
        </is>
      </c>
      <c r="E4" s="15" t="inlineStr">
        <is>
          <t>Conviction</t>
        </is>
      </c>
      <c r="F4" s="15" t="inlineStr">
        <is>
          <t>Why</t>
        </is>
      </c>
      <c r="G4" s="15" t="inlineStr">
        <is>
          <t>Since entry %</t>
        </is>
      </c>
      <c r="H4" s="15" t="inlineStr">
        <is>
          <t>Call check</t>
        </is>
      </c>
    </row>
    <row r="5" ht="30" customHeight="1">
      <c r="A5" s="51" t="n">
        <v>1</v>
      </c>
      <c r="B5" s="16" t="inlineStr">
        <is>
          <t>LAURUSLABS</t>
        </is>
      </c>
      <c r="C5" s="52" t="inlineStr">
        <is>
          <t>Laurus Labs</t>
        </is>
      </c>
      <c r="D5" s="68" t="inlineStr">
        <is>
          <t>Bullish</t>
        </is>
      </c>
      <c r="E5" s="69" t="n">
        <v>2</v>
      </c>
      <c r="F5" s="70" t="inlineStr">
        <is>
          <t>Relative strength near highs, lowest volatility, defensive sector</t>
        </is>
      </c>
      <c r="G5" s="19" t="n">
        <v>0.02390260800712629</v>
      </c>
      <c r="H5" s="52" t="inlineStr">
        <is>
          <t>✓ On track</t>
        </is>
      </c>
    </row>
    <row r="6" ht="30" customHeight="1">
      <c r="A6" s="51" t="n">
        <v>2</v>
      </c>
      <c r="B6" s="16" t="inlineStr">
        <is>
          <t>TDPOWERSYS</t>
        </is>
      </c>
      <c r="C6" s="52" t="inlineStr">
        <is>
          <t>TD Power Systems</t>
        </is>
      </c>
      <c r="D6" s="71" t="inlineStr">
        <is>
          <t>Bullish</t>
        </is>
      </c>
      <c r="E6" s="69" t="n">
        <v>1.5</v>
      </c>
      <c r="F6" s="70" t="inlineStr">
        <is>
          <t>Guidance raised, shallow pullback. Check for a fundraise.</t>
        </is>
      </c>
      <c r="G6" s="19" t="n">
        <v>0.02503477051460368</v>
      </c>
      <c r="H6" s="52" t="inlineStr">
        <is>
          <t>✓ On track</t>
        </is>
      </c>
    </row>
    <row r="7" ht="30" customHeight="1">
      <c r="A7" s="51" t="n">
        <v>3</v>
      </c>
      <c r="B7" s="16" t="inlineStr">
        <is>
          <t>ATHERENERG</t>
        </is>
      </c>
      <c r="C7" s="52" t="inlineStr">
        <is>
          <t>Ather Energy</t>
        </is>
      </c>
      <c r="D7" s="71" t="inlineStr">
        <is>
          <t>Bullish</t>
        </is>
      </c>
      <c r="E7" s="69" t="n">
        <v>1.25</v>
      </c>
      <c r="F7" s="70" t="inlineStr">
        <is>
          <t>Strong catalysts and brokers, but still pulling back</t>
        </is>
      </c>
      <c r="G7" s="19" t="n">
        <v>-0.0008218052321600222</v>
      </c>
      <c r="H7" s="52" t="inlineStr">
        <is>
          <t>✗ Off track</t>
        </is>
      </c>
    </row>
    <row r="8" ht="30" customHeight="1">
      <c r="A8" s="51" t="n">
        <v>4</v>
      </c>
      <c r="B8" s="16" t="inlineStr">
        <is>
          <t>RRKABEL</t>
        </is>
      </c>
      <c r="C8" s="52" t="inlineStr">
        <is>
          <t>RR Kabel</t>
        </is>
      </c>
      <c r="D8" s="72" t="inlineStr">
        <is>
          <t>Moderately bullish</t>
        </is>
      </c>
      <c r="E8" s="69" t="n">
        <v>1</v>
      </c>
      <c r="F8" s="70" t="inlineStr">
        <is>
          <t>Strong Q1, moderate volatility</t>
        </is>
      </c>
      <c r="G8" s="19" t="n">
        <v>-0.02927067241239123</v>
      </c>
      <c r="H8" s="52" t="inlineStr">
        <is>
          <t>✗ Off track</t>
        </is>
      </c>
    </row>
    <row r="9" ht="30" customHeight="1">
      <c r="A9" s="51" t="n">
        <v>5</v>
      </c>
      <c r="B9" s="16" t="inlineStr">
        <is>
          <t>AEROFLEX</t>
        </is>
      </c>
      <c r="C9" s="52" t="inlineStr">
        <is>
          <t>Aeroflex Industries</t>
        </is>
      </c>
      <c r="D9" s="71" t="inlineStr">
        <is>
          <t>Bullish, risky</t>
        </is>
      </c>
      <c r="E9" s="69" t="n">
        <v>1.25</v>
      </c>
      <c r="F9" s="70" t="inlineStr">
        <is>
          <t>Strong growth, expensive, volatile, thin liquidity</t>
        </is>
      </c>
      <c r="G9" s="19" t="n">
        <v>-0.01193037355759829</v>
      </c>
      <c r="H9" s="52" t="inlineStr">
        <is>
          <t>✗ Off track</t>
        </is>
      </c>
    </row>
    <row r="10" ht="30" customHeight="1">
      <c r="A10" s="51" t="n">
        <v>6</v>
      </c>
      <c r="B10" s="16" t="inlineStr">
        <is>
          <t>E2E</t>
        </is>
      </c>
      <c r="C10" s="52" t="inlineStr">
        <is>
          <t>E2E Networks</t>
        </is>
      </c>
      <c r="D10" s="73" t="inlineStr">
        <is>
          <t>Speculative</t>
        </is>
      </c>
      <c r="E10" s="69" t="n">
        <v>0.5</v>
      </c>
      <c r="F10" s="70" t="inlineStr">
        <is>
          <t>Big revenue jump, P/E near 400</t>
        </is>
      </c>
      <c r="G10" s="19" t="n">
        <v>0.06553143410539919</v>
      </c>
      <c r="H10" s="52" t="inlineStr">
        <is>
          <t>↑ Beat call</t>
        </is>
      </c>
    </row>
    <row r="11" ht="30" customHeight="1">
      <c r="A11" s="51" t="n">
        <v>7</v>
      </c>
      <c r="B11" s="16" t="inlineStr">
        <is>
          <t>ACUTAAS</t>
        </is>
      </c>
      <c r="C11" s="52" t="inlineStr">
        <is>
          <t>Acutaas Chemicals</t>
        </is>
      </c>
      <c r="D11" s="74" t="inlineStr">
        <is>
          <t>Neutral</t>
        </is>
      </c>
      <c r="E11" s="69" t="n">
        <v>0</v>
      </c>
      <c r="F11" s="70" t="inlineStr">
        <is>
          <t>No catalyst, sideways trend</t>
        </is>
      </c>
      <c r="G11" s="19" t="n">
        <v>-0.01112462006079029</v>
      </c>
      <c r="H11" s="52" t="inlineStr">
        <is>
          <t>• Neutral call</t>
        </is>
      </c>
    </row>
    <row r="12" ht="30" customHeight="1">
      <c r="A12" s="51" t="n">
        <v>8</v>
      </c>
      <c r="B12" s="16" t="inlineStr">
        <is>
          <t>DIACABS</t>
        </is>
      </c>
      <c r="C12" s="52" t="inlineStr">
        <is>
          <t>Diamond Power Infra</t>
        </is>
      </c>
      <c r="D12" s="75" t="inlineStr">
        <is>
          <t>Neutral to bearish</t>
        </is>
      </c>
      <c r="E12" s="69" t="n">
        <v>-1</v>
      </c>
      <c r="F12" s="70" t="inlineStr">
        <is>
          <t>Extended, weak balance sheet</t>
        </is>
      </c>
      <c r="G12" s="19" t="n">
        <v>0.02656574651231836</v>
      </c>
      <c r="H12" s="52" t="inlineStr">
        <is>
          <t>✗ Off track</t>
        </is>
      </c>
    </row>
    <row r="13" ht="30" customHeight="1">
      <c r="A13" s="51" t="n">
        <v>9</v>
      </c>
      <c r="B13" s="16" t="inlineStr">
        <is>
          <t>KIRLOSENG</t>
        </is>
      </c>
      <c r="C13" s="52" t="inlineStr">
        <is>
          <t>Kirloskar Oil Engines</t>
        </is>
      </c>
      <c r="D13" s="75" t="inlineStr">
        <is>
          <t>Neutral to bearish</t>
        </is>
      </c>
      <c r="E13" s="69" t="n">
        <v>-1</v>
      </c>
      <c r="F13" s="70" t="inlineStr">
        <is>
          <t>Margins and momentum fading</t>
        </is>
      </c>
      <c r="G13" s="19" t="n">
        <v>-0.07846067625630482</v>
      </c>
      <c r="H13" s="52" t="inlineStr">
        <is>
          <t>✓ On track</t>
        </is>
      </c>
    </row>
    <row r="14" ht="30" customHeight="1">
      <c r="A14" s="51" t="n">
        <v>10</v>
      </c>
      <c r="B14" s="16" t="inlineStr">
        <is>
          <t>THANGAMAYL</t>
        </is>
      </c>
      <c r="C14" s="52" t="inlineStr">
        <is>
          <t>Thangamayil Jewellery</t>
        </is>
      </c>
      <c r="D14" s="76" t="inlineStr">
        <is>
          <t>Bearish</t>
        </is>
      </c>
      <c r="E14" s="69" t="n">
        <v>-2</v>
      </c>
      <c r="F14" s="70" t="inlineStr">
        <is>
          <t>Downtrend, avoid</t>
        </is>
      </c>
      <c r="G14" s="19" t="n">
        <v>0.001497005988023936</v>
      </c>
      <c r="H14" s="52" t="inlineStr">
        <is>
          <t>✗ Off track</t>
        </is>
      </c>
    </row>
    <row r="16">
      <c r="A16" s="77" t="inlineStr">
        <is>
          <t>STOCK BY STOCK — catalysts, risks and sources</t>
        </is>
      </c>
    </row>
    <row r="17">
      <c r="A17" s="15" t="inlineStr">
        <is>
          <t>Rank</t>
        </is>
      </c>
      <c r="B17" s="15" t="inlineStr">
        <is>
          <t>Symbol</t>
        </is>
      </c>
      <c r="C17" s="15" t="inlineStr">
        <is>
          <t>Company</t>
        </is>
      </c>
      <c r="D17" s="15" t="inlineStr">
        <is>
          <t>Type</t>
        </is>
      </c>
      <c r="E17" s="15" t="inlineStr">
        <is>
          <t>Point</t>
        </is>
      </c>
      <c r="F17" s="15" t="inlineStr"/>
      <c r="G17" s="15" t="inlineStr">
        <is>
          <t>Source</t>
        </is>
      </c>
      <c r="H17" s="15" t="inlineStr">
        <is>
          <t>Link</t>
        </is>
      </c>
    </row>
    <row r="18" ht="44" customHeight="1">
      <c r="A18" s="51" t="n">
        <v>1</v>
      </c>
      <c r="B18" s="52" t="inlineStr">
        <is>
          <t>LAURUSLABS</t>
        </is>
      </c>
      <c r="C18" s="52" t="inlineStr">
        <is>
          <t>Laurus Labs</t>
        </is>
      </c>
      <c r="D18" s="78" t="inlineStr">
        <is>
          <t>Catalyst</t>
        </is>
      </c>
      <c r="E18" s="70" t="inlineStr">
        <is>
          <t>Its close is only 1.1% below its 12-month high, and its volatility is the lowest of the ten (28%).</t>
        </is>
      </c>
      <c r="F18" s="65" t="n"/>
      <c r="G18" s="52" t="inlineStr"/>
      <c r="H18" s="52" t="n"/>
    </row>
    <row r="19" ht="30" customHeight="1">
      <c r="A19" s="51" t="n">
        <v>1</v>
      </c>
      <c r="B19" s="52" t="inlineStr">
        <is>
          <t>LAURUSLABS</t>
        </is>
      </c>
      <c r="C19" s="52" t="inlineStr">
        <is>
          <t>Laurus Labs</t>
        </is>
      </c>
      <c r="D19" s="78" t="inlineStr">
        <is>
          <t>Catalyst</t>
        </is>
      </c>
      <c r="E19" s="70" t="inlineStr">
        <is>
          <t>FY26 profit after tax was ₹740 crore vs ₹380 crore the year before.</t>
        </is>
      </c>
      <c r="F19" s="65" t="n"/>
      <c r="G19" s="52" t="inlineStr">
        <is>
          <t>torusdigital</t>
        </is>
      </c>
      <c r="H19" s="79" t="inlineStr">
        <is>
          <t>open ↗</t>
        </is>
      </c>
    </row>
    <row r="20" ht="30" customHeight="1">
      <c r="A20" s="51" t="n">
        <v>1</v>
      </c>
      <c r="B20" s="52" t="inlineStr">
        <is>
          <t>LAURUSLABS</t>
        </is>
      </c>
      <c r="C20" s="52" t="inlineStr">
        <is>
          <t>Laurus Labs</t>
        </is>
      </c>
      <c r="D20" s="78" t="inlineStr">
        <is>
          <t>Catalyst</t>
        </is>
      </c>
      <c r="E20" s="70" t="inlineStr">
        <is>
          <t>It is up about 94% in six months and holding near highs while the index falls.</t>
        </is>
      </c>
      <c r="F20" s="65" t="n"/>
      <c r="G20" s="52" t="inlineStr">
        <is>
          <t>anandrathi</t>
        </is>
      </c>
      <c r="H20" s="79" t="inlineStr">
        <is>
          <t>open ↗</t>
        </is>
      </c>
    </row>
    <row r="21" ht="30" customHeight="1">
      <c r="A21" s="51" t="n">
        <v>1</v>
      </c>
      <c r="B21" s="52" t="inlineStr">
        <is>
          <t>LAURUSLABS</t>
        </is>
      </c>
      <c r="C21" s="52" t="inlineStr">
        <is>
          <t>Laurus Labs</t>
        </is>
      </c>
      <c r="D21" s="78" t="inlineStr">
        <is>
          <t>Catalyst</t>
        </is>
      </c>
      <c r="E21" s="70" t="inlineStr">
        <is>
          <t>Pharma is also defensive in a risk-off tape.</t>
        </is>
      </c>
      <c r="F21" s="65" t="n"/>
      <c r="G21" s="52" t="inlineStr">
        <is>
          <t>anandrathi</t>
        </is>
      </c>
      <c r="H21" s="79" t="inlineStr">
        <is>
          <t>open ↗</t>
        </is>
      </c>
    </row>
    <row r="22" ht="30" customHeight="1">
      <c r="A22" s="51" t="n">
        <v>1</v>
      </c>
      <c r="B22" s="52" t="inlineStr">
        <is>
          <t>LAURUSLABS</t>
        </is>
      </c>
      <c r="C22" s="52" t="inlineStr">
        <is>
          <t>Laurus Labs</t>
        </is>
      </c>
      <c r="D22" s="80" t="inlineStr">
        <is>
          <t>Risk</t>
        </is>
      </c>
      <c r="E22" s="70" t="inlineStr">
        <is>
          <t>P/E is high, so it can still pull back.</t>
        </is>
      </c>
      <c r="F22" s="65" t="n"/>
      <c r="G22" s="52" t="inlineStr">
        <is>
          <t>anandrathi</t>
        </is>
      </c>
      <c r="H22" s="79" t="inlineStr">
        <is>
          <t>open ↗</t>
        </is>
      </c>
    </row>
    <row r="23" ht="30" customHeight="1">
      <c r="A23" s="51" t="n">
        <v>2</v>
      </c>
      <c r="B23" s="52" t="inlineStr">
        <is>
          <t>TDPOWERSYS</t>
        </is>
      </c>
      <c r="C23" s="52" t="inlineStr">
        <is>
          <t>TD Power Systems</t>
        </is>
      </c>
      <c r="D23" s="81" t="inlineStr">
        <is>
          <t>Context</t>
        </is>
      </c>
      <c r="E23" s="70" t="inlineStr">
        <is>
          <t>The stock is 10% below its high, a shallow pullback within a strong uptrend.</t>
        </is>
      </c>
      <c r="F23" s="65" t="n"/>
      <c r="G23" s="52" t="inlineStr"/>
      <c r="H23" s="52" t="n"/>
    </row>
    <row r="24" ht="30" customHeight="1">
      <c r="A24" s="51" t="n">
        <v>2</v>
      </c>
      <c r="B24" s="52" t="inlineStr">
        <is>
          <t>TDPOWERSYS</t>
        </is>
      </c>
      <c r="C24" s="52" t="inlineStr">
        <is>
          <t>TD Power Systems</t>
        </is>
      </c>
      <c r="D24" s="78" t="inlineStr">
        <is>
          <t>Catalyst</t>
        </is>
      </c>
      <c r="E24" s="70" t="inlineStr">
        <is>
          <t>Q1 FY27 revenue rose about 72% YoY.</t>
        </is>
      </c>
      <c r="F24" s="65" t="n"/>
      <c r="G24" s="52" t="inlineStr">
        <is>
          <t>5paisa</t>
        </is>
      </c>
      <c r="H24" s="79" t="inlineStr">
        <is>
          <t>open ↗</t>
        </is>
      </c>
    </row>
    <row r="25" ht="30" customHeight="1">
      <c r="A25" s="51" t="n">
        <v>2</v>
      </c>
      <c r="B25" s="52" t="inlineStr">
        <is>
          <t>TDPOWERSYS</t>
        </is>
      </c>
      <c r="C25" s="52" t="inlineStr">
        <is>
          <t>TD Power Systems</t>
        </is>
      </c>
      <c r="D25" s="78" t="inlineStr">
        <is>
          <t>Catalyst</t>
        </is>
      </c>
      <c r="E25" s="70" t="inlineStr">
        <is>
          <t>It raised its FY27 revenue guidance to ₹2,600 crore.</t>
        </is>
      </c>
      <c r="F25" s="65" t="n"/>
      <c r="G25" s="52" t="inlineStr">
        <is>
          <t>fyers</t>
        </is>
      </c>
      <c r="H25" s="79" t="inlineStr">
        <is>
          <t>open ↗</t>
        </is>
      </c>
    </row>
    <row r="26" ht="44" customHeight="1">
      <c r="A26" s="51" t="n">
        <v>2</v>
      </c>
      <c r="B26" s="52" t="inlineStr">
        <is>
          <t>TDPOWERSYS</t>
        </is>
      </c>
      <c r="C26" s="52" t="inlineStr">
        <is>
          <t>TD Power Systems</t>
        </is>
      </c>
      <c r="D26" s="80" t="inlineStr">
        <is>
          <t>Risk</t>
        </is>
      </c>
      <c r="E26" s="70" t="inlineStr">
        <is>
          <t>A board meeting on 14 Aug was set to consider raising funds, so check whether a dilutive QIP is pending.</t>
        </is>
      </c>
      <c r="F26" s="65" t="n"/>
      <c r="G26" s="52" t="inlineStr">
        <is>
          <t>5paisa</t>
        </is>
      </c>
      <c r="H26" s="79" t="inlineStr">
        <is>
          <t>open ↗</t>
        </is>
      </c>
    </row>
    <row r="27" ht="30" customHeight="1">
      <c r="A27" s="51" t="n">
        <v>2</v>
      </c>
      <c r="B27" s="52" t="inlineStr">
        <is>
          <t>TDPOWERSYS</t>
        </is>
      </c>
      <c r="C27" s="52" t="inlineStr">
        <is>
          <t>TD Power Systems</t>
        </is>
      </c>
      <c r="D27" s="80" t="inlineStr">
        <is>
          <t>Risk</t>
        </is>
      </c>
      <c r="E27" s="70" t="inlineStr">
        <is>
          <t>Valuation is stretched (P/E around 70).</t>
        </is>
      </c>
      <c r="F27" s="65" t="n"/>
      <c r="G27" s="52" t="inlineStr">
        <is>
          <t>5paisa</t>
        </is>
      </c>
      <c r="H27" s="79" t="inlineStr">
        <is>
          <t>open ↗</t>
        </is>
      </c>
    </row>
    <row r="28" ht="30" customHeight="1">
      <c r="A28" s="51" t="n">
        <v>3</v>
      </c>
      <c r="B28" s="52" t="inlineStr">
        <is>
          <t>ATHERENERG</t>
        </is>
      </c>
      <c r="C28" s="52" t="inlineStr">
        <is>
          <t>Ather Energy</t>
        </is>
      </c>
      <c r="D28" s="78" t="inlineStr">
        <is>
          <t>Catalyst</t>
        </is>
      </c>
      <c r="E28" s="70" t="inlineStr">
        <is>
          <t>Q1 revenue grew 89% and the loss narrowed 71%.</t>
        </is>
      </c>
      <c r="F28" s="65" t="n"/>
      <c r="G28" s="52" t="inlineStr">
        <is>
          <t>indmoney</t>
        </is>
      </c>
      <c r="H28" s="79" t="inlineStr">
        <is>
          <t>open ↗</t>
        </is>
      </c>
    </row>
    <row r="29" ht="30" customHeight="1">
      <c r="A29" s="51" t="n">
        <v>3</v>
      </c>
      <c r="B29" s="52" t="inlineStr">
        <is>
          <t>ATHERENERG</t>
        </is>
      </c>
      <c r="C29" s="52" t="inlineStr">
        <is>
          <t>Ather Energy</t>
        </is>
      </c>
      <c r="D29" s="78" t="inlineStr">
        <is>
          <t>Catalyst</t>
        </is>
      </c>
      <c r="E29" s="70" t="inlineStr">
        <is>
          <t>It was also added to the MSCI India Domestic Small Cap Index.</t>
        </is>
      </c>
      <c r="F29" s="65" t="n"/>
      <c r="G29" s="52" t="inlineStr">
        <is>
          <t>indmoney</t>
        </is>
      </c>
      <c r="H29" s="79" t="inlineStr">
        <is>
          <t>open ↗</t>
        </is>
      </c>
    </row>
    <row r="30" ht="30" customHeight="1">
      <c r="A30" s="51" t="n">
        <v>3</v>
      </c>
      <c r="B30" s="52" t="inlineStr">
        <is>
          <t>ATHERENERG</t>
        </is>
      </c>
      <c r="C30" s="52" t="inlineStr">
        <is>
          <t>Ather Energy</t>
        </is>
      </c>
      <c r="D30" s="78" t="inlineStr">
        <is>
          <t>Catalyst</t>
        </is>
      </c>
      <c r="E30" s="70" t="inlineStr">
        <is>
          <t>Hero MotoCorp is lifting its stake to about 32.8%.</t>
        </is>
      </c>
      <c r="F30" s="65" t="n"/>
      <c r="G30" s="52" t="inlineStr">
        <is>
          <t>freepressjournal</t>
        </is>
      </c>
      <c r="H30" s="79" t="inlineStr">
        <is>
          <t>open ↗</t>
        </is>
      </c>
    </row>
    <row r="31" ht="30" customHeight="1">
      <c r="A31" s="51" t="n">
        <v>3</v>
      </c>
      <c r="B31" s="52" t="inlineStr">
        <is>
          <t>ATHERENERG</t>
        </is>
      </c>
      <c r="C31" s="52" t="inlineStr">
        <is>
          <t>Ather Energy</t>
        </is>
      </c>
      <c r="D31" s="78" t="inlineStr">
        <is>
          <t>Catalyst</t>
        </is>
      </c>
      <c r="E31" s="70" t="inlineStr">
        <is>
          <t>A global broker raised its target to ₹1,926.</t>
        </is>
      </c>
      <c r="F31" s="65" t="n"/>
      <c r="G31" s="52" t="inlineStr">
        <is>
          <t>hdfcsky</t>
        </is>
      </c>
      <c r="H31" s="79" t="inlineStr">
        <is>
          <t>open ↗</t>
        </is>
      </c>
    </row>
    <row r="32" ht="44" customHeight="1">
      <c r="A32" s="51" t="n">
        <v>3</v>
      </c>
      <c r="B32" s="52" t="inlineStr">
        <is>
          <t>ATHERENERG</t>
        </is>
      </c>
      <c r="C32" s="52" t="inlineStr">
        <is>
          <t>Ather Energy</t>
        </is>
      </c>
      <c r="D32" s="81" t="inlineStr">
        <is>
          <t>Context</t>
        </is>
      </c>
      <c r="E32" s="70" t="inlineStr">
        <is>
          <t>The stock has slid about 16% from its early-September high, so the story is intact but the price is digesting a big run.</t>
        </is>
      </c>
      <c r="F32" s="65" t="n"/>
      <c r="G32" s="52" t="inlineStr"/>
      <c r="H32" s="52" t="n"/>
    </row>
    <row r="33" ht="30" customHeight="1">
      <c r="A33" s="51" t="n">
        <v>3</v>
      </c>
      <c r="B33" s="52" t="inlineStr">
        <is>
          <t>ATHERENERG</t>
        </is>
      </c>
      <c r="C33" s="52" t="inlineStr">
        <is>
          <t>Ather Energy</t>
        </is>
      </c>
      <c r="D33" s="78" t="inlineStr">
        <is>
          <t>Catalyst</t>
        </is>
      </c>
      <c r="E33" s="70" t="inlineStr">
        <is>
          <t>High oil prices are a tailwind for the EV theme.</t>
        </is>
      </c>
      <c r="F33" s="65" t="n"/>
      <c r="G33" s="52" t="inlineStr"/>
      <c r="H33" s="52" t="n"/>
    </row>
    <row r="34" ht="30" customHeight="1">
      <c r="A34" s="51" t="n">
        <v>4</v>
      </c>
      <c r="B34" s="52" t="inlineStr">
        <is>
          <t>RRKABEL</t>
        </is>
      </c>
      <c r="C34" s="52" t="inlineStr">
        <is>
          <t>RR Kabel</t>
        </is>
      </c>
      <c r="D34" s="78" t="inlineStr">
        <is>
          <t>Catalyst</t>
        </is>
      </c>
      <c r="E34" s="70" t="inlineStr">
        <is>
          <t>Q1 PAT jumped 129% and EBITDA doubled.</t>
        </is>
      </c>
      <c r="F34" s="65" t="n"/>
      <c r="G34" s="52" t="inlineStr">
        <is>
          <t>5paisa</t>
        </is>
      </c>
      <c r="H34" s="79" t="inlineStr">
        <is>
          <t>open ↗</t>
        </is>
      </c>
    </row>
    <row r="35" ht="30" customHeight="1">
      <c r="A35" s="51" t="n">
        <v>4</v>
      </c>
      <c r="B35" s="52" t="inlineStr">
        <is>
          <t>RRKABEL</t>
        </is>
      </c>
      <c r="C35" s="52" t="inlineStr">
        <is>
          <t>RR Kabel</t>
        </is>
      </c>
      <c r="D35" s="78" t="inlineStr">
        <is>
          <t>Catalyst</t>
        </is>
      </c>
      <c r="E35" s="70" t="inlineStr">
        <is>
          <t>CLSA initiated at Outperform with a ₹2,850 target.</t>
        </is>
      </c>
      <c r="F35" s="65" t="n"/>
      <c r="G35" s="52" t="inlineStr">
        <is>
          <t>fyers</t>
        </is>
      </c>
      <c r="H35" s="79" t="inlineStr">
        <is>
          <t>open ↗</t>
        </is>
      </c>
    </row>
    <row r="36" ht="30" customHeight="1">
      <c r="A36" s="51" t="n">
        <v>4</v>
      </c>
      <c r="B36" s="52" t="inlineStr">
        <is>
          <t>RRKABEL</t>
        </is>
      </c>
      <c r="C36" s="52" t="inlineStr">
        <is>
          <t>RR Kabel</t>
        </is>
      </c>
      <c r="D36" s="81" t="inlineStr">
        <is>
          <t>Context</t>
        </is>
      </c>
      <c r="E36" s="70" t="inlineStr">
        <is>
          <t>The stock is 16% off its high, so it is consolidating.</t>
        </is>
      </c>
      <c r="F36" s="65" t="n"/>
      <c r="G36" s="52" t="inlineStr"/>
      <c r="H36" s="52" t="n"/>
    </row>
    <row r="37" ht="30" customHeight="1">
      <c r="A37" s="51" t="n">
        <v>4</v>
      </c>
      <c r="B37" s="52" t="inlineStr">
        <is>
          <t>RRKABEL</t>
        </is>
      </c>
      <c r="C37" s="52" t="inlineStr">
        <is>
          <t>RR Kabel</t>
        </is>
      </c>
      <c r="D37" s="78" t="inlineStr">
        <is>
          <t>Catalyst</t>
        </is>
      </c>
      <c r="E37" s="70" t="inlineStr">
        <is>
          <t>Volatility is moderate (44%), which is better than most here.</t>
        </is>
      </c>
      <c r="F37" s="65" t="n"/>
      <c r="G37" s="52" t="inlineStr"/>
      <c r="H37" s="52" t="n"/>
    </row>
    <row r="38" ht="30" customHeight="1">
      <c r="A38" s="51" t="n">
        <v>5</v>
      </c>
      <c r="B38" s="52" t="inlineStr">
        <is>
          <t>AEROFLEX</t>
        </is>
      </c>
      <c r="C38" s="52" t="inlineStr">
        <is>
          <t>Aeroflex Industries</t>
        </is>
      </c>
      <c r="D38" s="78" t="inlineStr">
        <is>
          <t>Catalyst</t>
        </is>
      </c>
      <c r="E38" s="70" t="inlineStr">
        <is>
          <t>Q1 FY27 revenue grew 72.4% and PAT rose 162%.</t>
        </is>
      </c>
      <c r="F38" s="65" t="n"/>
      <c r="G38" s="52" t="inlineStr">
        <is>
          <t>sahi</t>
        </is>
      </c>
      <c r="H38" s="79" t="inlineStr">
        <is>
          <t>open ↗</t>
        </is>
      </c>
    </row>
    <row r="39" ht="30" customHeight="1">
      <c r="A39" s="51" t="n">
        <v>5</v>
      </c>
      <c r="B39" s="52" t="inlineStr">
        <is>
          <t>AEROFLEX</t>
        </is>
      </c>
      <c r="C39" s="52" t="inlineStr">
        <is>
          <t>Aeroflex Industries</t>
        </is>
      </c>
      <c r="D39" s="78" t="inlineStr">
        <is>
          <t>Catalyst</t>
        </is>
      </c>
      <c r="E39" s="70" t="inlineStr">
        <is>
          <t>Liquid-cooling skid capacity was raised 50%, with further expansion planned.</t>
        </is>
      </c>
      <c r="F39" s="65" t="n"/>
      <c r="G39" s="52" t="inlineStr">
        <is>
          <t>sahi</t>
        </is>
      </c>
      <c r="H39" s="79" t="inlineStr">
        <is>
          <t>open ↗</t>
        </is>
      </c>
    </row>
    <row r="40" ht="44" customHeight="1">
      <c r="A40" s="51" t="n">
        <v>5</v>
      </c>
      <c r="B40" s="52" t="inlineStr">
        <is>
          <t>AEROFLEX</t>
        </is>
      </c>
      <c r="C40" s="52" t="inlineStr">
        <is>
          <t>Aeroflex Industries</t>
        </is>
      </c>
      <c r="D40" s="80" t="inlineStr">
        <is>
          <t>Risk</t>
        </is>
      </c>
      <c r="E40" s="70" t="inlineStr">
        <is>
          <t>P/E is about 102, volatility is the highest of the ten (67%), and liquidity is thin (₹53 cr/day).</t>
        </is>
      </c>
      <c r="F40" s="65" t="n"/>
      <c r="G40" s="52" t="inlineStr">
        <is>
          <t>share</t>
        </is>
      </c>
      <c r="H40" s="79" t="inlineStr">
        <is>
          <t>open ↗</t>
        </is>
      </c>
    </row>
    <row r="41" ht="30" customHeight="1">
      <c r="A41" s="51" t="n">
        <v>5</v>
      </c>
      <c r="B41" s="52" t="inlineStr">
        <is>
          <t>AEROFLEX</t>
        </is>
      </c>
      <c r="C41" s="52" t="inlineStr">
        <is>
          <t>Aeroflex Industries</t>
        </is>
      </c>
      <c r="D41" s="80" t="inlineStr">
        <is>
          <t>Risk</t>
        </is>
      </c>
      <c r="E41" s="70" t="inlineStr">
        <is>
          <t>That makes it the most fragile in a falling market.</t>
        </is>
      </c>
      <c r="F41" s="65" t="n"/>
      <c r="G41" s="52" t="inlineStr">
        <is>
          <t>share</t>
        </is>
      </c>
      <c r="H41" s="79" t="inlineStr">
        <is>
          <t>open ↗</t>
        </is>
      </c>
    </row>
    <row r="42" ht="44" customHeight="1">
      <c r="A42" s="51" t="n">
        <v>6</v>
      </c>
      <c r="B42" s="52" t="inlineStr">
        <is>
          <t>E2E</t>
        </is>
      </c>
      <c r="C42" s="52" t="inlineStr">
        <is>
          <t>E2E Networks</t>
        </is>
      </c>
      <c r="D42" s="78" t="inlineStr">
        <is>
          <t>Catalyst</t>
        </is>
      </c>
      <c r="E42" s="70" t="inlineStr">
        <is>
          <t>Q1 revenue was ₹156.76 crore vs ₹36.11 crore a year earlier, with a profit of ₹43.88 crore, on GPU cluster expansion.</t>
        </is>
      </c>
      <c r="F42" s="65" t="n"/>
      <c r="G42" s="52" t="inlineStr">
        <is>
          <t>angelone</t>
        </is>
      </c>
      <c r="H42" s="79" t="inlineStr">
        <is>
          <t>open ↗</t>
        </is>
      </c>
    </row>
    <row r="43" ht="30" customHeight="1">
      <c r="A43" s="51" t="n">
        <v>6</v>
      </c>
      <c r="B43" s="52" t="inlineStr">
        <is>
          <t>E2E</t>
        </is>
      </c>
      <c r="C43" s="52" t="inlineStr">
        <is>
          <t>E2E Networks</t>
        </is>
      </c>
      <c r="D43" s="80" t="inlineStr">
        <is>
          <t>Risk</t>
        </is>
      </c>
      <c r="E43" s="70" t="inlineStr">
        <is>
          <t>P/E is about 398 and the stock fell 11.8% in the month to 18 Sep.</t>
        </is>
      </c>
      <c r="F43" s="65" t="n"/>
      <c r="G43" s="52" t="inlineStr">
        <is>
          <t>anandrathi</t>
        </is>
      </c>
      <c r="H43" s="79" t="inlineStr">
        <is>
          <t>open ↗</t>
        </is>
      </c>
    </row>
    <row r="44" ht="30" customHeight="1">
      <c r="A44" s="51" t="n">
        <v>6</v>
      </c>
      <c r="B44" s="52" t="inlineStr">
        <is>
          <t>E2E</t>
        </is>
      </c>
      <c r="C44" s="52" t="inlineStr">
        <is>
          <t>E2E Networks</t>
        </is>
      </c>
      <c r="D44" s="81" t="inlineStr">
        <is>
          <t>Context</t>
        </is>
      </c>
      <c r="E44" s="70" t="inlineStr">
        <is>
          <t>It has bounced since.</t>
        </is>
      </c>
      <c r="F44" s="65" t="n"/>
      <c r="G44" s="52" t="inlineStr">
        <is>
          <t>anandrathi</t>
        </is>
      </c>
      <c r="H44" s="79" t="inlineStr">
        <is>
          <t>open ↗</t>
        </is>
      </c>
    </row>
    <row r="45" ht="30" customHeight="1">
      <c r="A45" s="51" t="n">
        <v>6</v>
      </c>
      <c r="B45" s="52" t="inlineStr">
        <is>
          <t>E2E</t>
        </is>
      </c>
      <c r="C45" s="52" t="inlineStr">
        <is>
          <t>E2E Networks</t>
        </is>
      </c>
      <c r="D45" s="80" t="inlineStr">
        <is>
          <t>Risk</t>
        </is>
      </c>
      <c r="E45" s="70" t="inlineStr">
        <is>
          <t>It is an AI-theme stock with thin liquidity and gap risk in both directions.</t>
        </is>
      </c>
      <c r="F45" s="65" t="n"/>
      <c r="G45" s="52" t="inlineStr"/>
      <c r="H45" s="52" t="n"/>
    </row>
    <row r="46" ht="44" customHeight="1">
      <c r="A46" s="51" t="n">
        <v>7</v>
      </c>
      <c r="B46" s="52" t="inlineStr">
        <is>
          <t>ACUTAAS</t>
        </is>
      </c>
      <c r="C46" s="52" t="inlineStr">
        <is>
          <t>Acutaas Chemicals</t>
        </is>
      </c>
      <c r="D46" s="78" t="inlineStr">
        <is>
          <t>Catalyst</t>
        </is>
      </c>
      <c r="E46" s="70" t="inlineStr">
        <is>
          <t>It received PLI approval for an electrolyte additives plan and commissioned a high-potency API pilot plant.</t>
        </is>
      </c>
      <c r="F46" s="65" t="n"/>
      <c r="G46" s="52" t="inlineStr">
        <is>
          <t>fyers</t>
        </is>
      </c>
      <c r="H46" s="79" t="inlineStr">
        <is>
          <t>open ↗</t>
        </is>
      </c>
    </row>
    <row r="47" ht="44" customHeight="1">
      <c r="A47" s="51" t="n">
        <v>7</v>
      </c>
      <c r="B47" s="52" t="inlineStr">
        <is>
          <t>ACUTAAS</t>
        </is>
      </c>
      <c r="C47" s="52" t="inlineStr">
        <is>
          <t>Acutaas Chemicals</t>
        </is>
      </c>
      <c r="D47" s="80" t="inlineStr">
        <is>
          <t>Risk</t>
        </is>
      </c>
      <c r="E47" s="70" t="inlineStr">
        <is>
          <t>Quarterly revenue and profit were lower sequentially (₹327 cr and ₹76 cr in Jun vs ₹436 cr and ₹137 cr in Mar).</t>
        </is>
      </c>
      <c r="F47" s="65" t="n"/>
      <c r="G47" s="52" t="inlineStr">
        <is>
          <t>anandrathi</t>
        </is>
      </c>
      <c r="H47" s="79" t="inlineStr">
        <is>
          <t>open ↗</t>
        </is>
      </c>
    </row>
    <row r="48" ht="30" customHeight="1">
      <c r="A48" s="51" t="n">
        <v>7</v>
      </c>
      <c r="B48" s="52" t="inlineStr">
        <is>
          <t>ACUTAAS</t>
        </is>
      </c>
      <c r="C48" s="52" t="inlineStr">
        <is>
          <t>Acutaas Chemicals</t>
        </is>
      </c>
      <c r="D48" s="80" t="inlineStr">
        <is>
          <t>Risk</t>
        </is>
      </c>
      <c r="E48" s="70" t="inlineStr">
        <is>
          <t>The 6-1 return is negative.</t>
        </is>
      </c>
      <c r="F48" s="65" t="n"/>
      <c r="G48" s="52" t="inlineStr">
        <is>
          <t>anandrathi</t>
        </is>
      </c>
      <c r="H48" s="79" t="inlineStr">
        <is>
          <t>open ↗</t>
        </is>
      </c>
    </row>
    <row r="49" ht="30" customHeight="1">
      <c r="A49" s="51" t="n">
        <v>7</v>
      </c>
      <c r="B49" s="52" t="inlineStr">
        <is>
          <t>ACUTAAS</t>
        </is>
      </c>
      <c r="C49" s="52" t="inlineStr">
        <is>
          <t>Acutaas Chemicals</t>
        </is>
      </c>
      <c r="D49" s="80" t="inlineStr">
        <is>
          <t>Risk</t>
        </is>
      </c>
      <c r="E49" s="70" t="inlineStr">
        <is>
          <t>The price has moved sideways since June.</t>
        </is>
      </c>
      <c r="F49" s="65" t="n"/>
      <c r="G49" s="52" t="inlineStr"/>
      <c r="H49" s="52" t="n"/>
    </row>
    <row r="50" ht="30" customHeight="1">
      <c r="A50" s="51" t="n">
        <v>7</v>
      </c>
      <c r="B50" s="52" t="inlineStr">
        <is>
          <t>ACUTAAS</t>
        </is>
      </c>
      <c r="C50" s="52" t="inlineStr">
        <is>
          <t>Acutaas Chemicals</t>
        </is>
      </c>
      <c r="D50" s="80" t="inlineStr">
        <is>
          <t>Risk</t>
        </is>
      </c>
      <c r="E50" s="70" t="inlineStr">
        <is>
          <t>There is no clear trigger for a 21-day move.</t>
        </is>
      </c>
      <c r="F50" s="65" t="n"/>
      <c r="G50" s="52" t="inlineStr"/>
      <c r="H50" s="52" t="n"/>
    </row>
    <row r="51" ht="30" customHeight="1">
      <c r="A51" s="51" t="n">
        <v>8</v>
      </c>
      <c r="B51" s="52" t="inlineStr">
        <is>
          <t>DIACABS</t>
        </is>
      </c>
      <c r="C51" s="52" t="inlineStr">
        <is>
          <t>Diamond Power Infra</t>
        </is>
      </c>
      <c r="D51" s="80" t="inlineStr">
        <is>
          <t>Risk</t>
        </is>
      </c>
      <c r="E51" s="70" t="inlineStr">
        <is>
          <t>It hit a 52-week high of about ₹395 on 17 Sep, up 202% in six months, with a P/E near 128.</t>
        </is>
      </c>
      <c r="F51" s="65" t="n"/>
      <c r="G51" s="52" t="inlineStr">
        <is>
          <t>anandrathi</t>
        </is>
      </c>
      <c r="H51" s="79" t="inlineStr">
        <is>
          <t>open ↗</t>
        </is>
      </c>
    </row>
    <row r="52" ht="30" customHeight="1">
      <c r="A52" s="51" t="n">
        <v>8</v>
      </c>
      <c r="B52" s="52" t="inlineStr">
        <is>
          <t>DIACABS</t>
        </is>
      </c>
      <c r="C52" s="52" t="inlineStr">
        <is>
          <t>Diamond Power Infra</t>
        </is>
      </c>
      <c r="D52" s="80" t="inlineStr">
        <is>
          <t>Risk</t>
        </is>
      </c>
      <c r="E52" s="70" t="inlineStr">
        <is>
          <t>Book value per share was negative in the July data.</t>
        </is>
      </c>
      <c r="F52" s="65" t="n"/>
      <c r="G52" s="52" t="inlineStr">
        <is>
          <t>bajajfinserv</t>
        </is>
      </c>
      <c r="H52" s="79" t="inlineStr">
        <is>
          <t>open ↗</t>
        </is>
      </c>
    </row>
    <row r="53" ht="30" customHeight="1">
      <c r="A53" s="51" t="n">
        <v>8</v>
      </c>
      <c r="B53" s="52" t="inlineStr">
        <is>
          <t>DIACABS</t>
        </is>
      </c>
      <c r="C53" s="52" t="inlineStr">
        <is>
          <t>Diamond Power Infra</t>
        </is>
      </c>
      <c r="D53" s="80" t="inlineStr">
        <is>
          <t>Risk</t>
        </is>
      </c>
      <c r="E53" s="70" t="inlineStr">
        <is>
          <t>It is now 14% off that high.</t>
        </is>
      </c>
      <c r="F53" s="65" t="n"/>
      <c r="G53" s="52" t="inlineStr"/>
      <c r="H53" s="52" t="n"/>
    </row>
    <row r="54" ht="44" customHeight="1">
      <c r="A54" s="51" t="n">
        <v>8</v>
      </c>
      <c r="B54" s="52" t="inlineStr">
        <is>
          <t>DIACABS</t>
        </is>
      </c>
      <c r="C54" s="52" t="inlineStr">
        <is>
          <t>Diamond Power Infra</t>
        </is>
      </c>
      <c r="D54" s="81" t="inlineStr">
        <is>
          <t>Context</t>
        </is>
      </c>
      <c r="E54" s="70" t="inlineStr">
        <is>
          <t>The T&amp;D order-book story is real, but the valuation and balance sheet make it a momentum-only trade.</t>
        </is>
      </c>
      <c r="F54" s="65" t="n"/>
      <c r="G54" s="52" t="inlineStr"/>
      <c r="H54" s="52" t="n"/>
    </row>
    <row r="55" ht="44" customHeight="1">
      <c r="A55" s="51" t="n">
        <v>9</v>
      </c>
      <c r="B55" s="52" t="inlineStr">
        <is>
          <t>KIRLOSENG</t>
        </is>
      </c>
      <c r="C55" s="52" t="inlineStr">
        <is>
          <t>Kirloskar Oil Engines</t>
        </is>
      </c>
      <c r="D55" s="80" t="inlineStr">
        <is>
          <t>Risk</t>
        </is>
      </c>
      <c r="E55" s="70" t="inlineStr">
        <is>
          <t>June-quarter revenue was ₹1,482 cr vs ₹1,284 cr a year ago, but EBITDA slipped to ₹176 cr from ₹184 cr, so margins are compressing.</t>
        </is>
      </c>
      <c r="F55" s="65" t="n"/>
      <c r="G55" s="52" t="inlineStr">
        <is>
          <t>anandrathi</t>
        </is>
      </c>
      <c r="H55" s="79" t="inlineStr">
        <is>
          <t>open ↗</t>
        </is>
      </c>
    </row>
    <row r="56" ht="30" customHeight="1">
      <c r="A56" s="51" t="n">
        <v>9</v>
      </c>
      <c r="B56" s="52" t="inlineStr">
        <is>
          <t>KIRLOSENG</t>
        </is>
      </c>
      <c r="C56" s="52" t="inlineStr">
        <is>
          <t>Kirloskar Oil Engines</t>
        </is>
      </c>
      <c r="D56" s="80" t="inlineStr">
        <is>
          <t>Risk</t>
        </is>
      </c>
      <c r="E56" s="70" t="inlineStr">
        <is>
          <t>The 6-1 return is −11% and the stock is 16.5% below its high.</t>
        </is>
      </c>
      <c r="F56" s="65" t="n"/>
      <c r="G56" s="52" t="inlineStr"/>
      <c r="H56" s="52" t="n"/>
    </row>
    <row r="57" ht="30" customHeight="1">
      <c r="A57" s="51" t="n">
        <v>9</v>
      </c>
      <c r="B57" s="52" t="inlineStr">
        <is>
          <t>KIRLOSENG</t>
        </is>
      </c>
      <c r="C57" s="52" t="inlineStr">
        <is>
          <t>Kirloskar Oil Engines</t>
        </is>
      </c>
      <c r="D57" s="80" t="inlineStr">
        <is>
          <t>Risk</t>
        </is>
      </c>
      <c r="E57" s="70" t="inlineStr">
        <is>
          <t>Momentum is fading.</t>
        </is>
      </c>
      <c r="F57" s="65" t="n"/>
      <c r="G57" s="52" t="inlineStr"/>
      <c r="H57" s="52" t="n"/>
    </row>
    <row r="58" ht="30" customHeight="1">
      <c r="A58" s="51" t="n">
        <v>10</v>
      </c>
      <c r="B58" s="52" t="inlineStr">
        <is>
          <t>THANGAMAYL</t>
        </is>
      </c>
      <c r="C58" s="52" t="inlineStr">
        <is>
          <t>Thangamayil Jewellery</t>
        </is>
      </c>
      <c r="D58" s="81" t="inlineStr">
        <is>
          <t>Context</t>
        </is>
      </c>
      <c r="E58" s="70" t="inlineStr">
        <is>
          <t>It hit a high of ₹7,429 and traded near ₹5,085 on 22 Sep.</t>
        </is>
      </c>
      <c r="F58" s="65" t="n"/>
      <c r="G58" s="52" t="inlineStr">
        <is>
          <t>anandrathi</t>
        </is>
      </c>
      <c r="H58" s="79" t="inlineStr">
        <is>
          <t>open ↗</t>
        </is>
      </c>
    </row>
    <row r="59" ht="30" customHeight="1">
      <c r="A59" s="51" t="n">
        <v>10</v>
      </c>
      <c r="B59" s="52" t="inlineStr">
        <is>
          <t>THANGAMAYL</t>
        </is>
      </c>
      <c r="C59" s="52" t="inlineStr">
        <is>
          <t>Thangamayil Jewellery</t>
        </is>
      </c>
      <c r="D59" s="80" t="inlineStr">
        <is>
          <t>Risk</t>
        </is>
      </c>
      <c r="E59" s="70" t="inlineStr">
        <is>
          <t>It is now about 31% below the peak.</t>
        </is>
      </c>
      <c r="F59" s="65" t="n"/>
      <c r="G59" s="52" t="inlineStr">
        <is>
          <t>anandrathi</t>
        </is>
      </c>
      <c r="H59" s="79" t="inlineStr">
        <is>
          <t>open ↗</t>
        </is>
      </c>
    </row>
    <row r="60" ht="30" customHeight="1">
      <c r="A60" s="51" t="n">
        <v>10</v>
      </c>
      <c r="B60" s="52" t="inlineStr">
        <is>
          <t>THANGAMAYL</t>
        </is>
      </c>
      <c r="C60" s="52" t="inlineStr">
        <is>
          <t>Thangamayil Jewellery</t>
        </is>
      </c>
      <c r="D60" s="80" t="inlineStr">
        <is>
          <t>Risk</t>
        </is>
      </c>
      <c r="E60" s="70" t="inlineStr">
        <is>
          <t>Q1 EBITDA (₹145 cr) fell from ₹214 cr in the March quarter.</t>
        </is>
      </c>
      <c r="F60" s="65" t="n"/>
      <c r="G60" s="52" t="inlineStr">
        <is>
          <t>anandrathi</t>
        </is>
      </c>
      <c r="H60" s="79" t="inlineStr">
        <is>
          <t>open ↗</t>
        </is>
      </c>
    </row>
    <row r="61" ht="44" customHeight="1">
      <c r="A61" s="51" t="n">
        <v>10</v>
      </c>
      <c r="B61" s="52" t="inlineStr">
        <is>
          <t>THANGAMAYL</t>
        </is>
      </c>
      <c r="C61" s="52" t="inlineStr">
        <is>
          <t>Thangamayil Jewellery</t>
        </is>
      </c>
      <c r="D61" s="80" t="inlineStr">
        <is>
          <t>Risk</t>
        </is>
      </c>
      <c r="E61" s="70" t="inlineStr">
        <is>
          <t>It has the weakest chart in the batch: a clear downtrend, a negative 6-1 return, and a gold-price-sensitive business.</t>
        </is>
      </c>
      <c r="F61" s="65" t="n"/>
      <c r="G61" s="52" t="inlineStr"/>
      <c r="H61" s="52" t="n"/>
    </row>
  </sheetData>
  <mergeCells count="46">
    <mergeCell ref="E43:F43"/>
    <mergeCell ref="E50:F50"/>
    <mergeCell ref="E55:F55"/>
    <mergeCell ref="E24:F24"/>
    <mergeCell ref="E33:F33"/>
    <mergeCell ref="E42:F42"/>
    <mergeCell ref="E23:F23"/>
    <mergeCell ref="E52:F52"/>
    <mergeCell ref="E48:F48"/>
    <mergeCell ref="E39:F39"/>
    <mergeCell ref="E44:F44"/>
    <mergeCell ref="E35:F35"/>
    <mergeCell ref="E51:F51"/>
    <mergeCell ref="E20:F20"/>
    <mergeCell ref="A2:I2"/>
    <mergeCell ref="E38:F38"/>
    <mergeCell ref="E29:F29"/>
    <mergeCell ref="E19:F19"/>
    <mergeCell ref="E28:F28"/>
    <mergeCell ref="E60:F60"/>
    <mergeCell ref="E40:F40"/>
    <mergeCell ref="E31:F31"/>
    <mergeCell ref="E56:F56"/>
    <mergeCell ref="E34:F34"/>
    <mergeCell ref="E59:F59"/>
    <mergeCell ref="E30:F30"/>
    <mergeCell ref="E46:F46"/>
    <mergeCell ref="E58:F58"/>
    <mergeCell ref="E49:F49"/>
    <mergeCell ref="E27:F27"/>
    <mergeCell ref="E45:F45"/>
    <mergeCell ref="E36:F36"/>
    <mergeCell ref="E61:F61"/>
    <mergeCell ref="E26:F26"/>
    <mergeCell ref="E57:F57"/>
    <mergeCell ref="E54:F54"/>
    <mergeCell ref="E32:F32"/>
    <mergeCell ref="E25:F25"/>
    <mergeCell ref="E41:F41"/>
    <mergeCell ref="A1:I1"/>
    <mergeCell ref="E37:F37"/>
    <mergeCell ref="E22:F22"/>
    <mergeCell ref="E53:F53"/>
    <mergeCell ref="E18:F18"/>
    <mergeCell ref="E47:F47"/>
    <mergeCell ref="E21:F21"/>
  </mergeCells>
  <conditionalFormatting sqref="E5:E14">
    <cfRule type="dataBar" priority="1">
      <dataBar showValue="1">
        <cfvo type="num" val="-2"/>
        <cfvo type="num" val="2"/>
        <color rgb="001F9D63"/>
      </dataBar>
    </cfRule>
  </conditionalFormatting>
  <conditionalFormatting sqref="G5:G14">
    <cfRule type="cellIs" priority="2" operator="greaterThan" dxfId="2">
      <formula>0</formula>
    </cfRule>
    <cfRule type="cellIs" priority="3" operator="lessThan" dxfId="3">
      <formula>0</formula>
    </cfRule>
  </conditionalFormatting>
  <hyperlinks>
    <hyperlink xmlns:r="http://schemas.openxmlformats.org/officeDocument/2006/relationships" ref="H19" r:id="rId1"/>
    <hyperlink xmlns:r="http://schemas.openxmlformats.org/officeDocument/2006/relationships" ref="H20" r:id="rId2"/>
    <hyperlink xmlns:r="http://schemas.openxmlformats.org/officeDocument/2006/relationships" ref="H21" r:id="rId3"/>
    <hyperlink xmlns:r="http://schemas.openxmlformats.org/officeDocument/2006/relationships" ref="H22" r:id="rId4"/>
    <hyperlink xmlns:r="http://schemas.openxmlformats.org/officeDocument/2006/relationships" ref="H24" r:id="rId5"/>
    <hyperlink xmlns:r="http://schemas.openxmlformats.org/officeDocument/2006/relationships" ref="H25" r:id="rId6"/>
    <hyperlink xmlns:r="http://schemas.openxmlformats.org/officeDocument/2006/relationships" ref="H26" r:id="rId7"/>
    <hyperlink xmlns:r="http://schemas.openxmlformats.org/officeDocument/2006/relationships" ref="H27" r:id="rId8"/>
    <hyperlink xmlns:r="http://schemas.openxmlformats.org/officeDocument/2006/relationships" ref="H28" r:id="rId9"/>
    <hyperlink xmlns:r="http://schemas.openxmlformats.org/officeDocument/2006/relationships" ref="H29" r:id="rId10"/>
    <hyperlink xmlns:r="http://schemas.openxmlformats.org/officeDocument/2006/relationships" ref="H30" r:id="rId11"/>
    <hyperlink xmlns:r="http://schemas.openxmlformats.org/officeDocument/2006/relationships" ref="H31" r:id="rId12"/>
    <hyperlink xmlns:r="http://schemas.openxmlformats.org/officeDocument/2006/relationships" ref="H34" r:id="rId13"/>
    <hyperlink xmlns:r="http://schemas.openxmlformats.org/officeDocument/2006/relationships" ref="H35" r:id="rId14"/>
    <hyperlink xmlns:r="http://schemas.openxmlformats.org/officeDocument/2006/relationships" ref="H38" r:id="rId15"/>
    <hyperlink xmlns:r="http://schemas.openxmlformats.org/officeDocument/2006/relationships" ref="H39" r:id="rId16"/>
    <hyperlink xmlns:r="http://schemas.openxmlformats.org/officeDocument/2006/relationships" ref="H40" r:id="rId17"/>
    <hyperlink xmlns:r="http://schemas.openxmlformats.org/officeDocument/2006/relationships" ref="H41" r:id="rId18"/>
    <hyperlink xmlns:r="http://schemas.openxmlformats.org/officeDocument/2006/relationships" ref="H42" r:id="rId19"/>
    <hyperlink xmlns:r="http://schemas.openxmlformats.org/officeDocument/2006/relationships" ref="H43" r:id="rId20"/>
    <hyperlink xmlns:r="http://schemas.openxmlformats.org/officeDocument/2006/relationships" ref="H44" r:id="rId21"/>
    <hyperlink xmlns:r="http://schemas.openxmlformats.org/officeDocument/2006/relationships" ref="H46" r:id="rId22"/>
    <hyperlink xmlns:r="http://schemas.openxmlformats.org/officeDocument/2006/relationships" ref="H47" r:id="rId23"/>
    <hyperlink xmlns:r="http://schemas.openxmlformats.org/officeDocument/2006/relationships" ref="H48" r:id="rId24"/>
    <hyperlink xmlns:r="http://schemas.openxmlformats.org/officeDocument/2006/relationships" ref="H51" r:id="rId25"/>
    <hyperlink xmlns:r="http://schemas.openxmlformats.org/officeDocument/2006/relationships" ref="H52" r:id="rId26"/>
    <hyperlink xmlns:r="http://schemas.openxmlformats.org/officeDocument/2006/relationships" ref="H55" r:id="rId27"/>
    <hyperlink xmlns:r="http://schemas.openxmlformats.org/officeDocument/2006/relationships" ref="H58" r:id="rId28"/>
    <hyperlink xmlns:r="http://schemas.openxmlformats.org/officeDocument/2006/relationships" ref="H59" r:id="rId29"/>
    <hyperlink xmlns:r="http://schemas.openxmlformats.org/officeDocument/2006/relationships" ref="H60" r:id="rId30"/>
  </hyperlinks>
  <pageMargins left="0.75" right="0.75" top="1" bottom="1" header="0.5" footer="0.5"/>
  <pageSetup orientation="landscape" fitToWidth="1"/>
</worksheet>
</file>

<file path=xl/worksheets/sheet8.xml><?xml version="1.0" encoding="utf-8"?>
<worksheet xmlns="http://schemas.openxmlformats.org/spreadsheetml/2006/main">
  <sheetPr>
    <tabColor rgb="0094A3B8"/>
    <outlinePr summaryBelow="1" summaryRight="1"/>
    <pageSetUpPr fitToPage="1"/>
  </sheetPr>
  <dimension ref="A1:G167"/>
  <sheetViews>
    <sheetView showGridLines="0" workbookViewId="0">
      <pane ySplit="4" topLeftCell="A5" activePane="bottomLeft" state="frozen"/>
      <selection pane="bottomLeft" activeCell="A1" sqref="A1"/>
    </sheetView>
  </sheetViews>
  <sheetFormatPr baseColWidth="8" defaultRowHeight="15"/>
  <cols>
    <col width="13" customWidth="1" min="1" max="1"/>
    <col width="17" customWidth="1" min="2" max="2"/>
    <col width="80" customWidth="1" min="3" max="3"/>
    <col width="20" customWidth="1" min="4" max="4"/>
    <col width="10" customWidth="1" min="5" max="5"/>
    <col width="10" customWidth="1" min="6" max="6"/>
    <col width="9" customWidth="1" min="7" max="7"/>
  </cols>
  <sheetData>
    <row r="1" ht="30" customHeight="1">
      <c r="A1" s="1" t="inlineStr">
        <is>
          <t>Positive News &amp; Sentiment</t>
        </is>
      </c>
      <c r="B1" s="2" t="n"/>
      <c r="C1" s="2" t="n"/>
      <c r="D1" s="2" t="n"/>
      <c r="E1" s="2" t="n"/>
      <c r="F1" s="2" t="n"/>
      <c r="G1" s="2" t="n"/>
    </row>
    <row r="2" ht="18" customHeight="1">
      <c r="A2" s="3" t="inlineStr">
        <is>
          <t>Fetched 2026-10-19 18:48</t>
        </is>
      </c>
      <c r="B2" s="2" t="n"/>
      <c r="C2" s="2" t="n"/>
      <c r="D2" s="2" t="n"/>
      <c r="E2" s="2" t="n"/>
      <c r="F2" s="2" t="n"/>
      <c r="G2" s="2" t="n"/>
    </row>
    <row r="4">
      <c r="A4" s="15" t="inlineStr">
        <is>
          <t>Symbol</t>
        </is>
      </c>
      <c r="B4" s="15" t="inlineStr">
        <is>
          <t>Published</t>
        </is>
      </c>
      <c r="C4" s="15" t="inlineStr">
        <is>
          <t>Headline</t>
        </is>
      </c>
      <c r="D4" s="15" t="inlineStr">
        <is>
          <t>Source</t>
        </is>
      </c>
      <c r="E4" s="15" t="inlineStr">
        <is>
          <t>Sentiment</t>
        </is>
      </c>
      <c r="F4" s="15" t="inlineStr">
        <is>
          <t>Label</t>
        </is>
      </c>
      <c r="G4" s="15" t="inlineStr">
        <is>
          <t>Link</t>
        </is>
      </c>
    </row>
    <row r="5">
      <c r="A5" s="52" t="inlineStr">
        <is>
          <t>MARKET</t>
        </is>
      </c>
      <c r="B5" s="52" t="inlineStr">
        <is>
          <t>2026-10-19 15:14</t>
        </is>
      </c>
      <c r="C5" s="52" t="inlineStr">
        <is>
          <t>🚨 Finance Minister Nirmala Sitharaman has attributed part of the underperformance of Indian equities to the ease with which investors can exit their positions, even as she maintained that the country's economic fundamentals remain sound. “Because of the ea</t>
        </is>
      </c>
      <c r="D5" s="52" t="inlineStr">
        <is>
          <t>LinkedIn</t>
        </is>
      </c>
      <c r="E5" s="82" t="n">
        <v>0.361</v>
      </c>
      <c r="F5" s="52" t="inlineStr">
        <is>
          <t>Positive</t>
        </is>
      </c>
      <c r="G5" s="83" t="inlineStr">
        <is>
          <t>open ↗</t>
        </is>
      </c>
    </row>
    <row r="6">
      <c r="A6" s="52" t="inlineStr">
        <is>
          <t>LAURUSLABS</t>
        </is>
      </c>
      <c r="B6" s="52" t="inlineStr">
        <is>
          <t>2026-10-19 14:13</t>
        </is>
      </c>
      <c r="C6" s="52" t="inlineStr">
        <is>
          <t>Laurus Labs - PC Jeweller among 8 stocks that hit 52-week high and rallied up to 42% in a month</t>
        </is>
      </c>
      <c r="D6" s="52" t="inlineStr">
        <is>
          <t>The Economic Times</t>
        </is>
      </c>
      <c r="E6" s="82" t="n">
        <v>0.052</v>
      </c>
      <c r="F6" s="52" t="inlineStr">
        <is>
          <t>Neutral</t>
        </is>
      </c>
      <c r="G6" s="83" t="inlineStr">
        <is>
          <t>open ↗</t>
        </is>
      </c>
    </row>
    <row r="7">
      <c r="A7" s="52" t="inlineStr">
        <is>
          <t>MARKET</t>
        </is>
      </c>
      <c r="B7" s="52" t="inlineStr">
        <is>
          <t>2026-10-19 13:26</t>
        </is>
      </c>
      <c r="C7" s="52" t="inlineStr">
        <is>
          <t>Sensex, Nifty fall over 1% each as selling in private banks and elevated oil prices rattle markets</t>
        </is>
      </c>
      <c r="D7" s="52" t="inlineStr">
        <is>
          <t>The New Indian Express</t>
        </is>
      </c>
      <c r="E7" s="82" t="n">
        <v>0.077</v>
      </c>
      <c r="F7" s="52" t="inlineStr">
        <is>
          <t>Neutral</t>
        </is>
      </c>
      <c r="G7" s="83" t="inlineStr">
        <is>
          <t>open ↗</t>
        </is>
      </c>
    </row>
    <row r="8">
      <c r="A8" s="52" t="inlineStr">
        <is>
          <t>MARKET</t>
        </is>
      </c>
      <c r="B8" s="52" t="inlineStr">
        <is>
          <t>2026-10-19 13:06</t>
        </is>
      </c>
      <c r="C8" s="52" t="inlineStr">
        <is>
          <t>Nifty Sensex Today: Stock Market Crashes as Sensex Falls 876 Points, Nifty Drops 1.11%; Banking and IT Stocks Lead the Losses</t>
        </is>
      </c>
      <c r="D8" s="52" t="inlineStr">
        <is>
          <t>India Infoline</t>
        </is>
      </c>
      <c r="E8" s="82" t="n">
        <v>-0</v>
      </c>
      <c r="F8" s="52" t="inlineStr">
        <is>
          <t>Neutral</t>
        </is>
      </c>
      <c r="G8" s="83" t="inlineStr">
        <is>
          <t>open ↗</t>
        </is>
      </c>
    </row>
    <row r="9">
      <c r="A9" s="52" t="inlineStr">
        <is>
          <t>DIACABS</t>
        </is>
      </c>
      <c r="B9" s="52" t="inlineStr">
        <is>
          <t>2026-10-19 12:29</t>
        </is>
      </c>
      <c r="C9" s="52" t="inlineStr">
        <is>
          <t>Diamond Power Infrastructure (NSE:DIACABS): Who Is the New CFO Appointed on 19 October 2026?</t>
        </is>
      </c>
      <c r="D9" s="52" t="inlineStr">
        <is>
          <t>Kalkine India</t>
        </is>
      </c>
      <c r="E9" s="82" t="n">
        <v>0.34</v>
      </c>
      <c r="F9" s="52" t="inlineStr">
        <is>
          <t>Positive</t>
        </is>
      </c>
      <c r="G9" s="83" t="inlineStr">
        <is>
          <t>open ↗</t>
        </is>
      </c>
    </row>
    <row r="10">
      <c r="A10" s="52" t="inlineStr">
        <is>
          <t>MARKET</t>
        </is>
      </c>
      <c r="B10" s="52" t="inlineStr">
        <is>
          <t>2026-10-19 11:35</t>
        </is>
      </c>
      <c r="C10" s="52" t="inlineStr">
        <is>
          <t>Manic Monday at Indian stock market: Sensex, Nifty bleed - ₹3.6 lakh cr gone in 6 hours | What went wrong? Big reasons</t>
        </is>
      </c>
      <c r="D10" s="52" t="inlineStr">
        <is>
          <t>Livemint</t>
        </is>
      </c>
      <c r="E10" s="82" t="n">
        <v>-0.103</v>
      </c>
      <c r="F10" s="52" t="inlineStr">
        <is>
          <t>Neutral</t>
        </is>
      </c>
      <c r="G10" s="83" t="inlineStr">
        <is>
          <t>open ↗</t>
        </is>
      </c>
    </row>
    <row r="11">
      <c r="A11" s="52" t="inlineStr">
        <is>
          <t>MARKET</t>
        </is>
      </c>
      <c r="B11" s="52" t="inlineStr">
        <is>
          <t>2026-10-19 11:26</t>
        </is>
      </c>
      <c r="C11" s="52" t="inlineStr">
        <is>
          <t>Share Market Today: Nifty 50, Bank Nifty | Oct 19, 2026</t>
        </is>
      </c>
      <c r="D11" s="52" t="inlineStr">
        <is>
          <t>Liquide Blog</t>
        </is>
      </c>
      <c r="E11" s="82" t="n">
        <v>0.66</v>
      </c>
      <c r="F11" s="52" t="inlineStr">
        <is>
          <t>Positive</t>
        </is>
      </c>
      <c r="G11" s="83" t="inlineStr">
        <is>
          <t>open ↗</t>
        </is>
      </c>
    </row>
    <row r="12">
      <c r="A12" s="52" t="inlineStr">
        <is>
          <t>MARKET</t>
        </is>
      </c>
      <c r="B12" s="52" t="inlineStr">
        <is>
          <t>2026-10-19 11:11</t>
        </is>
      </c>
      <c r="C12" s="52" t="inlineStr">
        <is>
          <t>Sensex, Nifty Tank As Crude Prices Surge And Corporate Earnings Disappoint</t>
        </is>
      </c>
      <c r="D12" s="52" t="inlineStr">
        <is>
          <t>ETV Bharat</t>
        </is>
      </c>
      <c r="E12" s="82" t="n">
        <v>-0.128</v>
      </c>
      <c r="F12" s="52" t="inlineStr">
        <is>
          <t>Neutral</t>
        </is>
      </c>
      <c r="G12" s="83" t="inlineStr">
        <is>
          <t>open ↗</t>
        </is>
      </c>
    </row>
    <row r="13">
      <c r="A13" s="52" t="inlineStr">
        <is>
          <t>MARKET</t>
        </is>
      </c>
      <c r="B13" s="52" t="inlineStr">
        <is>
          <t>2026-10-19 10:33</t>
        </is>
      </c>
      <c r="C13" s="52" t="inlineStr">
        <is>
          <t>Sensex Today Tanks 876 Points | Nifty Below 28,900 | 3 Reasons Why Indian Share Markets Are Falling</t>
        </is>
      </c>
      <c r="D13" s="52" t="inlineStr">
        <is>
          <t>Equitymaster</t>
        </is>
      </c>
      <c r="E13" s="82" t="n">
        <v>-0.273</v>
      </c>
      <c r="F13" s="52" t="inlineStr">
        <is>
          <t>Negative</t>
        </is>
      </c>
      <c r="G13" s="83" t="inlineStr">
        <is>
          <t>open ↗</t>
        </is>
      </c>
    </row>
    <row r="14">
      <c r="A14" s="52" t="inlineStr">
        <is>
          <t>MARKET</t>
        </is>
      </c>
      <c r="B14" s="52" t="inlineStr">
        <is>
          <t>2026-10-19 10:19</t>
        </is>
      </c>
      <c r="C14" s="52" t="inlineStr">
        <is>
          <t>Taking Stock: Market snaps 2-day gains; Nifty below 22,900, Sensex tanks 876 pts</t>
        </is>
      </c>
      <c r="D14" s="52" t="inlineStr">
        <is>
          <t>Moneycontrol.com</t>
        </is>
      </c>
      <c r="E14" s="82" t="n">
        <v>0.273</v>
      </c>
      <c r="F14" s="52" t="inlineStr">
        <is>
          <t>Positive</t>
        </is>
      </c>
      <c r="G14" s="83" t="inlineStr">
        <is>
          <t>open ↗</t>
        </is>
      </c>
    </row>
    <row r="15">
      <c r="A15" s="52" t="inlineStr">
        <is>
          <t>MARKET</t>
        </is>
      </c>
      <c r="B15" s="52" t="inlineStr">
        <is>
          <t>2026-10-19 10:06</t>
        </is>
      </c>
      <c r="C15" s="52" t="inlineStr">
        <is>
          <t>Sensex, Nifty end in red as private banks, IT stocks drag markets</t>
        </is>
      </c>
      <c r="D15" s="52" t="inlineStr">
        <is>
          <t>India Today</t>
        </is>
      </c>
      <c r="E15" s="82" t="n">
        <v>0.202</v>
      </c>
      <c r="F15" s="52" t="inlineStr">
        <is>
          <t>Positive</t>
        </is>
      </c>
      <c r="G15" s="83" t="inlineStr">
        <is>
          <t>open ↗</t>
        </is>
      </c>
    </row>
    <row r="16">
      <c r="A16" s="52" t="inlineStr">
        <is>
          <t>MARKET</t>
        </is>
      </c>
      <c r="B16" s="52" t="inlineStr">
        <is>
          <t>2026-10-19 10:04</t>
        </is>
      </c>
      <c r="C16" s="52" t="inlineStr">
        <is>
          <t>Why Is Stock Market Down Today? Sensex, Nifty Crash: 3 Reasons</t>
        </is>
      </c>
      <c r="D16" s="52" t="inlineStr">
        <is>
          <t>Univest</t>
        </is>
      </c>
      <c r="E16" s="82" t="n">
        <v>-0.273</v>
      </c>
      <c r="F16" s="52" t="inlineStr">
        <is>
          <t>Negative</t>
        </is>
      </c>
      <c r="G16" s="83" t="inlineStr">
        <is>
          <t>open ↗</t>
        </is>
      </c>
    </row>
    <row r="17">
      <c r="A17" s="52" t="inlineStr">
        <is>
          <t>MARKET</t>
        </is>
      </c>
      <c r="B17" s="52" t="inlineStr">
        <is>
          <t>2026-10-19 09:40</t>
        </is>
      </c>
      <c r="C17" s="52" t="inlineStr">
        <is>
          <t>Why Is The Indian Stock Market Falling Today? From Oil Prices To Weak Global Cues; List Of 3 Reasons Behind The Fall</t>
        </is>
      </c>
      <c r="D17" s="52" t="inlineStr">
        <is>
          <t>Jagran Josh</t>
        </is>
      </c>
      <c r="E17" s="82" t="n">
        <v>-0.681</v>
      </c>
      <c r="F17" s="52" t="inlineStr">
        <is>
          <t>Negative</t>
        </is>
      </c>
      <c r="G17" s="83" t="inlineStr">
        <is>
          <t>open ↗</t>
        </is>
      </c>
    </row>
    <row r="18">
      <c r="A18" s="52" t="inlineStr">
        <is>
          <t>MARKET</t>
        </is>
      </c>
      <c r="B18" s="52" t="inlineStr">
        <is>
          <t>2026-10-19 09:26</t>
        </is>
      </c>
      <c r="C18" s="52" t="inlineStr">
        <is>
          <t>Stock market holiday tomorrow on Dussehra: Are BSE, NSE open or closed for trading on Tuesday 20 Oct? Check calendar</t>
        </is>
      </c>
      <c r="D18" s="52" t="inlineStr">
        <is>
          <t>Livemint</t>
        </is>
      </c>
      <c r="E18" s="82" t="n">
        <v>0.402</v>
      </c>
      <c r="F18" s="52" t="inlineStr">
        <is>
          <t>Positive</t>
        </is>
      </c>
      <c r="G18" s="83" t="inlineStr">
        <is>
          <t>open ↗</t>
        </is>
      </c>
    </row>
    <row r="19">
      <c r="A19" s="52" t="inlineStr">
        <is>
          <t>AEROFLEX</t>
        </is>
      </c>
      <c r="B19" s="52" t="inlineStr">
        <is>
          <t>2026-10-19 09:06</t>
        </is>
      </c>
      <c r="C19" s="52" t="inlineStr">
        <is>
          <t>Aeroflex Industries Ltd granted a patent for its innovative technology</t>
        </is>
      </c>
      <c r="D19" s="52" t="inlineStr">
        <is>
          <t>EquityBulls</t>
        </is>
      </c>
      <c r="E19" s="82" t="n">
        <v>0.599</v>
      </c>
      <c r="F19" s="52" t="inlineStr">
        <is>
          <t>Positive</t>
        </is>
      </c>
      <c r="G19" s="83" t="inlineStr">
        <is>
          <t>open ↗</t>
        </is>
      </c>
    </row>
    <row r="20">
      <c r="A20" s="52" t="inlineStr">
        <is>
          <t>AEROFLEX</t>
        </is>
      </c>
      <c r="B20" s="52" t="inlineStr">
        <is>
          <t>2026-10-19 08:51</t>
        </is>
      </c>
      <c r="C20" s="52" t="inlineStr">
        <is>
          <t>Aeroflex Industries secures patent for innovative engineering technology</t>
        </is>
      </c>
      <c r="D20" s="52" t="inlineStr">
        <is>
          <t>Business Upturn</t>
        </is>
      </c>
      <c r="E20" s="82" t="n">
        <v>0.6909999999999999</v>
      </c>
      <c r="F20" s="52" t="inlineStr">
        <is>
          <t>Positive</t>
        </is>
      </c>
      <c r="G20" s="83" t="inlineStr">
        <is>
          <t>open ↗</t>
        </is>
      </c>
    </row>
    <row r="21">
      <c r="A21" s="52" t="inlineStr">
        <is>
          <t>MARKET</t>
        </is>
      </c>
      <c r="B21" s="52" t="inlineStr">
        <is>
          <t>2026-10-19 08:34</t>
        </is>
      </c>
      <c r="C21" s="52" t="inlineStr">
        <is>
          <t>Stock market crash today: Sensex plunges over 900 points, Nifty50 below 22,900 - top reasons for fall</t>
        </is>
      </c>
      <c r="D21" s="52" t="inlineStr">
        <is>
          <t>The Times of India</t>
        </is>
      </c>
      <c r="E21" s="82" t="n">
        <v>-0.836</v>
      </c>
      <c r="F21" s="52" t="inlineStr">
        <is>
          <t>Negative</t>
        </is>
      </c>
      <c r="G21" s="83" t="inlineStr">
        <is>
          <t>open ↗</t>
        </is>
      </c>
    </row>
    <row r="22">
      <c r="A22" s="52" t="inlineStr">
        <is>
          <t>MARKET</t>
        </is>
      </c>
      <c r="B22" s="52" t="inlineStr">
        <is>
          <t>2026-10-19 08:19</t>
        </is>
      </c>
      <c r="C22" s="52" t="inlineStr">
        <is>
          <t>Sensex, Nifty crash: Why is stock market down today? Massive wealth eroded; investors lose ₹4 lakh crore - Top 3 reasons</t>
        </is>
      </c>
      <c r="D22" s="52" t="inlineStr">
        <is>
          <t>Livemint</t>
        </is>
      </c>
      <c r="E22" s="82" t="n">
        <v>0.052</v>
      </c>
      <c r="F22" s="52" t="inlineStr">
        <is>
          <t>Neutral</t>
        </is>
      </c>
      <c r="G22" s="83" t="inlineStr">
        <is>
          <t>open ↗</t>
        </is>
      </c>
    </row>
    <row r="23">
      <c r="A23" s="52" t="inlineStr">
        <is>
          <t>AEROFLEX</t>
        </is>
      </c>
      <c r="B23" s="52" t="inlineStr">
        <is>
          <t>2026-10-19 08:10</t>
        </is>
      </c>
      <c r="C23" s="52" t="inlineStr">
        <is>
          <t>Aeroflex Industries Patent: 3D Braided Hose Tech Granted</t>
        </is>
      </c>
      <c r="D23" s="52" t="inlineStr">
        <is>
          <t>Kalkine India</t>
        </is>
      </c>
      <c r="E23" s="82" t="n">
        <v>0.25</v>
      </c>
      <c r="F23" s="52" t="inlineStr">
        <is>
          <t>Positive</t>
        </is>
      </c>
      <c r="G23" s="83" t="inlineStr">
        <is>
          <t>open ↗</t>
        </is>
      </c>
    </row>
    <row r="24">
      <c r="A24" s="52" t="inlineStr">
        <is>
          <t>MARKET</t>
        </is>
      </c>
      <c r="B24" s="52" t="inlineStr">
        <is>
          <t>2026-10-19 08:07</t>
        </is>
      </c>
      <c r="C24" s="52" t="inlineStr">
        <is>
          <t>Sensex crashes 1,000 points: Why is stock market down today?</t>
        </is>
      </c>
      <c r="D24" s="52" t="inlineStr">
        <is>
          <t>India Today</t>
        </is>
      </c>
      <c r="E24" s="82" t="n">
        <v>0</v>
      </c>
      <c r="F24" s="52" t="inlineStr">
        <is>
          <t>Neutral</t>
        </is>
      </c>
      <c r="G24" s="83" t="inlineStr">
        <is>
          <t>open ↗</t>
        </is>
      </c>
    </row>
    <row r="25">
      <c r="A25" s="52" t="inlineStr">
        <is>
          <t>MARKET</t>
        </is>
      </c>
      <c r="B25" s="52" t="inlineStr">
        <is>
          <t>2026-10-19 08:06</t>
        </is>
      </c>
      <c r="C25" s="52" t="inlineStr">
        <is>
          <t>Stock Market Crash: Investors Lose Rs 5 Lakh Crore As Sensex, Nifty Tank. 3 Reasons Why Market Are Falling Today</t>
        </is>
      </c>
      <c r="D25" s="52" t="inlineStr">
        <is>
          <t>NDTV</t>
        </is>
      </c>
      <c r="E25" s="82" t="n">
        <v>-0.66</v>
      </c>
      <c r="F25" s="52" t="inlineStr">
        <is>
          <t>Negative</t>
        </is>
      </c>
      <c r="G25" s="83" t="inlineStr">
        <is>
          <t>open ↗</t>
        </is>
      </c>
    </row>
    <row r="26">
      <c r="A26" s="52" t="inlineStr">
        <is>
          <t>E2E</t>
        </is>
      </c>
      <c r="B26" s="52" t="inlineStr">
        <is>
          <t>2026-10-19 07:40</t>
        </is>
      </c>
      <c r="C26" s="52" t="inlineStr">
        <is>
          <t>E2E Networks AI Cloud Infrastructure and GPU Services Explained</t>
        </is>
      </c>
      <c r="D26" s="52" t="inlineStr">
        <is>
          <t>Kalkine India</t>
        </is>
      </c>
      <c r="E26" s="82" t="n">
        <v>0</v>
      </c>
      <c r="F26" s="52" t="inlineStr">
        <is>
          <t>Neutral</t>
        </is>
      </c>
      <c r="G26" s="83" t="inlineStr">
        <is>
          <t>open ↗</t>
        </is>
      </c>
    </row>
    <row r="27">
      <c r="A27" s="52" t="inlineStr">
        <is>
          <t>MARKET</t>
        </is>
      </c>
      <c r="B27" s="52" t="inlineStr">
        <is>
          <t>2026-10-19 07:21</t>
        </is>
      </c>
      <c r="C27" s="52" t="inlineStr">
        <is>
          <t>Three Reasons Why Markets Are Falling Today: Sensex Slumps 700 Points, Nifty Cracks Below 23,000</t>
        </is>
      </c>
      <c r="D27" s="52" t="inlineStr">
        <is>
          <t>NDTV Profit</t>
        </is>
      </c>
      <c r="E27" s="82" t="n">
        <v>-0.273</v>
      </c>
      <c r="F27" s="52" t="inlineStr">
        <is>
          <t>Negative</t>
        </is>
      </c>
      <c r="G27" s="83" t="inlineStr">
        <is>
          <t>open ↗</t>
        </is>
      </c>
    </row>
    <row r="28">
      <c r="A28" s="52" t="inlineStr">
        <is>
          <t>LAURUSLABS</t>
        </is>
      </c>
      <c r="B28" s="52" t="inlineStr">
        <is>
          <t>2026-10-19 07:20</t>
        </is>
      </c>
      <c r="C28" s="52" t="inlineStr">
        <is>
          <t>Laurus Labs zooms 128% from March low; hits new high in weak market</t>
        </is>
      </c>
      <c r="D28" s="52" t="inlineStr">
        <is>
          <t>Business Standard</t>
        </is>
      </c>
      <c r="E28" s="82" t="n">
        <v>-0.542</v>
      </c>
      <c r="F28" s="52" t="inlineStr">
        <is>
          <t>Negative</t>
        </is>
      </c>
      <c r="G28" s="83" t="inlineStr">
        <is>
          <t>open ↗</t>
        </is>
      </c>
    </row>
    <row r="29">
      <c r="A29" s="52" t="inlineStr">
        <is>
          <t>MARKET</t>
        </is>
      </c>
      <c r="B29" s="52" t="inlineStr">
        <is>
          <t>2026-10-19 07:15</t>
        </is>
      </c>
      <c r="C29" s="52" t="inlineStr">
        <is>
          <t>Sensex tanks 1020 pts intraday: Bank stocks, FPI selling among key factors</t>
        </is>
      </c>
      <c r="D29" s="52" t="inlineStr">
        <is>
          <t>Business Standard</t>
        </is>
      </c>
      <c r="E29" s="82" t="n">
        <v>-0.494</v>
      </c>
      <c r="F29" s="52" t="inlineStr">
        <is>
          <t>Negative</t>
        </is>
      </c>
      <c r="G29" s="83" t="inlineStr">
        <is>
          <t>open ↗</t>
        </is>
      </c>
    </row>
    <row r="30">
      <c r="A30" s="52" t="inlineStr">
        <is>
          <t>MARKET</t>
        </is>
      </c>
      <c r="B30" s="52" t="inlineStr">
        <is>
          <t>2026-10-19 06:36</t>
        </is>
      </c>
      <c r="C30" s="52" t="inlineStr">
        <is>
          <t>Indian Stock Market Declines as Sensex Drops Over 400 Points</t>
        </is>
      </c>
      <c r="D30" s="52" t="inlineStr">
        <is>
          <t>India News Network</t>
        </is>
      </c>
      <c r="E30" s="82" t="n">
        <v>-0.382</v>
      </c>
      <c r="F30" s="52" t="inlineStr">
        <is>
          <t>Negative</t>
        </is>
      </c>
      <c r="G30" s="83" t="inlineStr">
        <is>
          <t>open ↗</t>
        </is>
      </c>
    </row>
    <row r="31">
      <c r="A31" s="52" t="inlineStr">
        <is>
          <t>MARKET</t>
        </is>
      </c>
      <c r="B31" s="52" t="inlineStr">
        <is>
          <t>2026-10-19 05:29</t>
        </is>
      </c>
      <c r="C31" s="52" t="inlineStr">
        <is>
          <t>Dussehra Stock Market Holiday: October 20 or 21? When will NSE, BSE remain closed?</t>
        </is>
      </c>
      <c r="D31" s="52" t="inlineStr">
        <is>
          <t>Moneycontrol.com</t>
        </is>
      </c>
      <c r="E31" s="82" t="n">
        <v>0.47</v>
      </c>
      <c r="F31" s="52" t="inlineStr">
        <is>
          <t>Positive</t>
        </is>
      </c>
      <c r="G31" s="83" t="inlineStr">
        <is>
          <t>open ↗</t>
        </is>
      </c>
    </row>
    <row r="32">
      <c r="A32" s="52" t="inlineStr">
        <is>
          <t>MARKET</t>
        </is>
      </c>
      <c r="B32" s="52" t="inlineStr">
        <is>
          <t>2026-10-19 05:21</t>
        </is>
      </c>
      <c r="C32" s="52" t="inlineStr">
        <is>
          <t>Stock Markets Today: Sensex, Nifty Down in Volatile Trade</t>
        </is>
      </c>
      <c r="D32" s="52" t="inlineStr">
        <is>
          <t>Rediff</t>
        </is>
      </c>
      <c r="E32" s="82" t="n">
        <v>0.402</v>
      </c>
      <c r="F32" s="52" t="inlineStr">
        <is>
          <t>Positive</t>
        </is>
      </c>
      <c r="G32" s="83" t="inlineStr">
        <is>
          <t>open ↗</t>
        </is>
      </c>
    </row>
    <row r="33">
      <c r="A33" s="52" t="inlineStr">
        <is>
          <t>MARKET</t>
        </is>
      </c>
      <c r="B33" s="52" t="inlineStr">
        <is>
          <t>2026-10-19 05:16</t>
        </is>
      </c>
      <c r="C33" s="52" t="inlineStr">
        <is>
          <t>Easy exits hurting Indian stocks: Nirmala Sitharaman explains why equities are underperforming</t>
        </is>
      </c>
      <c r="D33" s="52" t="inlineStr">
        <is>
          <t>The Economic Times</t>
        </is>
      </c>
      <c r="E33" s="82" t="n">
        <v>0.052</v>
      </c>
      <c r="F33" s="52" t="inlineStr">
        <is>
          <t>Neutral</t>
        </is>
      </c>
      <c r="G33" s="83" t="inlineStr">
        <is>
          <t>open ↗</t>
        </is>
      </c>
    </row>
    <row r="34">
      <c r="A34" s="52" t="inlineStr">
        <is>
          <t>MARKET</t>
        </is>
      </c>
      <c r="B34" s="52" t="inlineStr">
        <is>
          <t>2026-10-19 05:06</t>
        </is>
      </c>
      <c r="C34" s="52" t="inlineStr">
        <is>
          <t>Stock markets trim most of sharp early losses amid buying in SBI, Reliance Industries</t>
        </is>
      </c>
      <c r="D34" s="52" t="inlineStr">
        <is>
          <t>DD News</t>
        </is>
      </c>
      <c r="E34" s="82" t="n">
        <v>-0.421</v>
      </c>
      <c r="F34" s="52" t="inlineStr">
        <is>
          <t>Negative</t>
        </is>
      </c>
      <c r="G34" s="83" t="inlineStr">
        <is>
          <t>open ↗</t>
        </is>
      </c>
    </row>
    <row r="35">
      <c r="A35" s="52" t="inlineStr">
        <is>
          <t>MARKET</t>
        </is>
      </c>
      <c r="B35" s="52" t="inlineStr">
        <is>
          <t>2026-10-19 05:01</t>
        </is>
      </c>
      <c r="C35" s="52" t="inlineStr">
        <is>
          <t>Sensex, Nifty Mixed at Open Amid Weak Asian Markets</t>
        </is>
      </c>
      <c r="D35" s="52" t="inlineStr">
        <is>
          <t>HDFC Sky</t>
        </is>
      </c>
      <c r="E35" s="82" t="n">
        <v>0.026</v>
      </c>
      <c r="F35" s="52" t="inlineStr">
        <is>
          <t>Neutral</t>
        </is>
      </c>
      <c r="G35" s="83" t="inlineStr">
        <is>
          <t>open ↗</t>
        </is>
      </c>
    </row>
    <row r="36">
      <c r="A36" s="52" t="inlineStr">
        <is>
          <t>LAURUSLABS</t>
        </is>
      </c>
      <c r="B36" s="52" t="inlineStr">
        <is>
          <t>2026-10-19 04:51</t>
        </is>
      </c>
      <c r="C36" s="52" t="inlineStr">
        <is>
          <t>Top Hyderabad-based Stocks 2026: Divi's Labs, Laurus Labs, NMDC</t>
        </is>
      </c>
      <c r="D36" s="52" t="inlineStr">
        <is>
          <t>Univest</t>
        </is>
      </c>
      <c r="E36" s="82" t="n">
        <v>0.202</v>
      </c>
      <c r="F36" s="52" t="inlineStr">
        <is>
          <t>Positive</t>
        </is>
      </c>
      <c r="G36" s="83" t="inlineStr">
        <is>
          <t>open ↗</t>
        </is>
      </c>
    </row>
    <row r="37">
      <c r="A37" s="52" t="inlineStr">
        <is>
          <t>MARKET</t>
        </is>
      </c>
      <c r="B37" s="52" t="inlineStr">
        <is>
          <t>2026-10-19 04:36</t>
        </is>
      </c>
      <c r="C37" s="52" t="inlineStr">
        <is>
          <t>Sensex, Nifty open flat as high crude oil prices offset banking stocks gains</t>
        </is>
      </c>
      <c r="D37" s="52" t="inlineStr">
        <is>
          <t>ChiniMandi</t>
        </is>
      </c>
      <c r="E37" s="82" t="n">
        <v>0.34</v>
      </c>
      <c r="F37" s="52" t="inlineStr">
        <is>
          <t>Positive</t>
        </is>
      </c>
      <c r="G37" s="83" t="inlineStr">
        <is>
          <t>open ↗</t>
        </is>
      </c>
    </row>
    <row r="38">
      <c r="A38" s="52" t="inlineStr">
        <is>
          <t>MARKET</t>
        </is>
      </c>
      <c r="B38" s="52" t="inlineStr">
        <is>
          <t>2026-10-19 04:34</t>
        </is>
      </c>
      <c r="C38" s="52" t="inlineStr">
        <is>
          <t>Stock Market Down: Bulls lose ground! Sensex sinks nearly 900 points, Nifty ends below 22,900; 5 key trigg</t>
        </is>
      </c>
      <c r="D38" s="52" t="inlineStr">
        <is>
          <t>The Economic Times</t>
        </is>
      </c>
      <c r="E38" s="82" t="n">
        <v>-0.509</v>
      </c>
      <c r="F38" s="52" t="inlineStr">
        <is>
          <t>Negative</t>
        </is>
      </c>
      <c r="G38" s="83" t="inlineStr">
        <is>
          <t>open ↗</t>
        </is>
      </c>
    </row>
    <row r="39">
      <c r="A39" s="52" t="inlineStr">
        <is>
          <t>MARKET</t>
        </is>
      </c>
      <c r="B39" s="52" t="inlineStr">
        <is>
          <t>2026-10-19 04:25</t>
        </is>
      </c>
      <c r="C39" s="52" t="inlineStr">
        <is>
          <t>Sensex Today Trades Lower | Nifty Below 23,050 | HDFC Bank &amp; Axis Bank Top Losers</t>
        </is>
      </c>
      <c r="D39" s="52" t="inlineStr">
        <is>
          <t>Equitymaster</t>
        </is>
      </c>
      <c r="E39" s="82" t="n">
        <v>-0.178</v>
      </c>
      <c r="F39" s="52" t="inlineStr">
        <is>
          <t>Neutral</t>
        </is>
      </c>
      <c r="G39" s="83" t="inlineStr">
        <is>
          <t>open ↗</t>
        </is>
      </c>
    </row>
    <row r="40">
      <c r="A40" s="52" t="inlineStr">
        <is>
          <t>MARKET</t>
        </is>
      </c>
      <c r="B40" s="52" t="inlineStr">
        <is>
          <t>2026-10-19 04:20</t>
        </is>
      </c>
      <c r="C40" s="52" t="inlineStr">
        <is>
          <t>Stock Market This Week: Top 7 Factors for Sensex and Nifty</t>
        </is>
      </c>
      <c r="D40" s="52" t="inlineStr">
        <is>
          <t>Univest</t>
        </is>
      </c>
      <c r="E40" s="82" t="n">
        <v>0.542</v>
      </c>
      <c r="F40" s="52" t="inlineStr">
        <is>
          <t>Positive</t>
        </is>
      </c>
      <c r="G40" s="83" t="inlineStr">
        <is>
          <t>open ↗</t>
        </is>
      </c>
    </row>
    <row r="41">
      <c r="A41" s="52" t="inlineStr">
        <is>
          <t>MARKET</t>
        </is>
      </c>
      <c r="B41" s="52" t="inlineStr">
        <is>
          <t>2026-10-19 03:59</t>
        </is>
      </c>
      <c r="C41" s="52" t="inlineStr">
        <is>
          <t>Markets Today: Sensex Falls Over 100 Points, Nifty Opens Near 23,150; India VIX Rises 2.6%</t>
        </is>
      </c>
      <c r="D41" s="52" t="inlineStr">
        <is>
          <t>News18</t>
        </is>
      </c>
      <c r="E41" s="82" t="n">
        <v>0.026</v>
      </c>
      <c r="F41" s="52" t="inlineStr">
        <is>
          <t>Neutral</t>
        </is>
      </c>
      <c r="G41" s="83" t="inlineStr">
        <is>
          <t>open ↗</t>
        </is>
      </c>
    </row>
    <row r="42">
      <c r="A42" s="52" t="inlineStr">
        <is>
          <t>MARKET</t>
        </is>
      </c>
      <c r="B42" s="52" t="inlineStr">
        <is>
          <t>2026-10-19 01:38</t>
        </is>
      </c>
      <c r="C42" s="52" t="inlineStr">
        <is>
          <t>Stock Market Today: Gift Nifty, Banks Q2 Results To Oil Prices; Five Key Factors For Sensex, Nifty 50 On October 19</t>
        </is>
      </c>
      <c r="D42" s="52" t="inlineStr">
        <is>
          <t>NDTV Profit</t>
        </is>
      </c>
      <c r="E42" s="82" t="n">
        <v>0.8070000000000001</v>
      </c>
      <c r="F42" s="52" t="inlineStr">
        <is>
          <t>Positive</t>
        </is>
      </c>
      <c r="G42" s="83" t="inlineStr">
        <is>
          <t>open ↗</t>
        </is>
      </c>
    </row>
    <row r="43">
      <c r="A43" s="52" t="inlineStr">
        <is>
          <t>MARKET</t>
        </is>
      </c>
      <c r="B43" s="52" t="inlineStr">
        <is>
          <t>2026-10-19 01:19</t>
        </is>
      </c>
      <c r="C43" s="52" t="inlineStr">
        <is>
          <t>Stock market outlook today, 19 Oct: Sensex, Nifty prediction - DJIA, S&amp;P, NASDAQ, GIFT Nifty, Kospi, Nikkei, Taiwan cues</t>
        </is>
      </c>
      <c r="D43" s="52" t="inlineStr">
        <is>
          <t>Livemint</t>
        </is>
      </c>
      <c r="E43" s="82" t="n">
        <v>0.842</v>
      </c>
      <c r="F43" s="52" t="inlineStr">
        <is>
          <t>Positive</t>
        </is>
      </c>
      <c r="G43" s="83" t="inlineStr">
        <is>
          <t>open ↗</t>
        </is>
      </c>
    </row>
    <row r="44">
      <c r="A44" s="52" t="inlineStr">
        <is>
          <t>MARKET</t>
        </is>
      </c>
      <c r="B44" s="52" t="inlineStr">
        <is>
          <t>2026-10-18 12:37</t>
        </is>
      </c>
      <c r="C44" s="52" t="inlineStr">
        <is>
          <t>Stock market this week with top 7 factors for Sensex, Nifty: Reliance Jio IPO, crude volatility, FII selling, Q2 results</t>
        </is>
      </c>
      <c r="D44" s="52" t="inlineStr">
        <is>
          <t>Livemint</t>
        </is>
      </c>
      <c r="E44" s="82" t="n">
        <v>-0.052</v>
      </c>
      <c r="F44" s="52" t="inlineStr">
        <is>
          <t>Neutral</t>
        </is>
      </c>
      <c r="G44" s="83" t="inlineStr">
        <is>
          <t>open ↗</t>
        </is>
      </c>
    </row>
    <row r="45">
      <c r="A45" s="52" t="inlineStr">
        <is>
          <t>MARKET</t>
        </is>
      </c>
      <c r="B45" s="52" t="inlineStr">
        <is>
          <t>2026-10-18 09:46</t>
        </is>
      </c>
      <c r="C45" s="52" t="inlineStr">
        <is>
          <t>Share Market News: Nifty 50 Outlook &amp; Prediction</t>
        </is>
      </c>
      <c r="D45" s="52" t="inlineStr">
        <is>
          <t>Liquide Blog</t>
        </is>
      </c>
      <c r="E45" s="82" t="n">
        <v>0.402</v>
      </c>
      <c r="F45" s="52" t="inlineStr">
        <is>
          <t>Positive</t>
        </is>
      </c>
      <c r="G45" s="83" t="inlineStr">
        <is>
          <t>open ↗</t>
        </is>
      </c>
    </row>
    <row r="46">
      <c r="A46" s="52" t="inlineStr">
        <is>
          <t>E2E</t>
        </is>
      </c>
      <c r="B46" s="52" t="inlineStr">
        <is>
          <t>2026-10-18 09:01</t>
        </is>
      </c>
      <c r="C46" s="52" t="inlineStr">
        <is>
          <t>E2E Networks Publishes Q2 FY26 Unaudited Financial Results</t>
        </is>
      </c>
      <c r="D46" s="52" t="inlineStr">
        <is>
          <t>The Globe and Mail</t>
        </is>
      </c>
      <c r="E46" s="82" t="n">
        <v>0</v>
      </c>
      <c r="F46" s="52" t="inlineStr">
        <is>
          <t>Neutral</t>
        </is>
      </c>
      <c r="G46" s="83" t="inlineStr">
        <is>
          <t>open ↗</t>
        </is>
      </c>
    </row>
    <row r="47">
      <c r="A47" s="52" t="inlineStr">
        <is>
          <t>ATHERENERG</t>
        </is>
      </c>
      <c r="B47" s="52" t="inlineStr">
        <is>
          <t>2026-10-17 18:06</t>
        </is>
      </c>
      <c r="C47" s="52" t="inlineStr">
        <is>
          <t>ATHERENERG Share Price Today - Ather Energy on NSE/BSE</t>
        </is>
      </c>
      <c r="D47" s="52" t="inlineStr">
        <is>
          <t>scanx.trade</t>
        </is>
      </c>
      <c r="E47" s="82" t="n">
        <v>0.273</v>
      </c>
      <c r="F47" s="52" t="inlineStr">
        <is>
          <t>Positive</t>
        </is>
      </c>
      <c r="G47" s="83" t="inlineStr">
        <is>
          <t>open ↗</t>
        </is>
      </c>
    </row>
    <row r="48">
      <c r="A48" s="52" t="inlineStr">
        <is>
          <t>ACUTAAS</t>
        </is>
      </c>
      <c r="B48" s="52" t="inlineStr">
        <is>
          <t>2026-10-17 09:58</t>
        </is>
      </c>
      <c r="C48" s="52" t="inlineStr">
        <is>
          <t>Acutaas Chemicals completes acquisition of Enchem Ami Organics</t>
        </is>
      </c>
      <c r="D48" s="52" t="inlineStr">
        <is>
          <t>scanx.trade</t>
        </is>
      </c>
      <c r="E48" s="82" t="n">
        <v>0</v>
      </c>
      <c r="F48" s="52" t="inlineStr">
        <is>
          <t>Neutral</t>
        </is>
      </c>
      <c r="G48" s="83" t="inlineStr">
        <is>
          <t>open ↗</t>
        </is>
      </c>
    </row>
    <row r="49">
      <c r="A49" s="52" t="inlineStr">
        <is>
          <t>E2E</t>
        </is>
      </c>
      <c r="B49" s="52" t="inlineStr">
        <is>
          <t>2026-10-17 09:32</t>
        </is>
      </c>
      <c r="C49" s="52" t="inlineStr">
        <is>
          <t>E2E Networks pays ₹10,000 fine to exchanges for compliance delay</t>
        </is>
      </c>
      <c r="D49" s="52" t="inlineStr">
        <is>
          <t>scanx.trade</t>
        </is>
      </c>
      <c r="E49" s="82" t="n">
        <v>-0.128</v>
      </c>
      <c r="F49" s="52" t="inlineStr">
        <is>
          <t>Neutral</t>
        </is>
      </c>
      <c r="G49" s="83" t="inlineStr">
        <is>
          <t>open ↗</t>
        </is>
      </c>
    </row>
    <row r="50">
      <c r="A50" s="52" t="inlineStr">
        <is>
          <t>MARKET</t>
        </is>
      </c>
      <c r="B50" s="52" t="inlineStr">
        <is>
          <t>2026-10-17 07:33</t>
        </is>
      </c>
      <c r="C50" s="52" t="inlineStr">
        <is>
          <t>Stock market holiday on Dussehra 2026? Are NSE, BSE open or closed for trading on October 20 Tuesday? Calendar</t>
        </is>
      </c>
      <c r="D50" s="52" t="inlineStr">
        <is>
          <t>Livemint</t>
        </is>
      </c>
      <c r="E50" s="82" t="n">
        <v>0.47</v>
      </c>
      <c r="F50" s="52" t="inlineStr">
        <is>
          <t>Positive</t>
        </is>
      </c>
      <c r="G50" s="83" t="inlineStr">
        <is>
          <t>open ↗</t>
        </is>
      </c>
    </row>
    <row r="51">
      <c r="A51" s="52" t="inlineStr">
        <is>
          <t>E2E</t>
        </is>
      </c>
      <c r="B51" s="52" t="inlineStr">
        <is>
          <t>2026-10-17 07:00</t>
        </is>
      </c>
      <c r="C51" s="52" t="inlineStr">
        <is>
          <t>Indian Listed New-Age Tech Company Tracker: Market Cap, Revenue &amp; More</t>
        </is>
      </c>
      <c r="D51" s="52" t="inlineStr">
        <is>
          <t>Inc42</t>
        </is>
      </c>
      <c r="E51" s="82" t="n">
        <v>0</v>
      </c>
      <c r="F51" s="52" t="inlineStr">
        <is>
          <t>Neutral</t>
        </is>
      </c>
      <c r="G51" s="83" t="inlineStr">
        <is>
          <t>open ↗</t>
        </is>
      </c>
    </row>
    <row r="52">
      <c r="A52" s="52" t="inlineStr">
        <is>
          <t>E2E</t>
        </is>
      </c>
      <c r="B52" s="52" t="inlineStr">
        <is>
          <t>2026-10-16 21:00</t>
        </is>
      </c>
      <c r="C52" s="52" t="inlineStr">
        <is>
          <t>E2E Networks Ltd (NSE:E2E) Q2 2027 Earnings Call Highlights: Revenue Surges 411% YoY on ...</t>
        </is>
      </c>
      <c r="D52" s="52" t="inlineStr">
        <is>
          <t>Yahoo Finance</t>
        </is>
      </c>
      <c r="E52" s="82" t="n">
        <v>0.494</v>
      </c>
      <c r="F52" s="52" t="inlineStr">
        <is>
          <t>Positive</t>
        </is>
      </c>
      <c r="G52" s="83" t="inlineStr">
        <is>
          <t>open ↗</t>
        </is>
      </c>
    </row>
    <row r="53">
      <c r="A53" s="52" t="inlineStr">
        <is>
          <t>E2E</t>
        </is>
      </c>
      <c r="B53" s="52" t="inlineStr">
        <is>
          <t>2026-10-16 17:21</t>
        </is>
      </c>
      <c r="C53" s="52" t="inlineStr">
        <is>
          <t>E2E Networks fined ₹10,000 by NSE and BSE for non-compliance</t>
        </is>
      </c>
      <c r="D53" s="52" t="inlineStr">
        <is>
          <t>Business Upturn</t>
        </is>
      </c>
      <c r="E53" s="82" t="n">
        <v>0</v>
      </c>
      <c r="F53" s="52" t="inlineStr">
        <is>
          <t>Neutral</t>
        </is>
      </c>
      <c r="G53" s="83" t="inlineStr">
        <is>
          <t>open ↗</t>
        </is>
      </c>
    </row>
    <row r="54">
      <c r="A54" s="52" t="inlineStr">
        <is>
          <t>E2E</t>
        </is>
      </c>
      <c r="B54" s="52" t="inlineStr">
        <is>
          <t>2026-10-16 16:44</t>
        </is>
      </c>
      <c r="C54" s="52" t="inlineStr">
        <is>
          <t>From 50% Slump To 250% Rally: What's Behind This Small-Cap Multibagger AI Stock's Upwing?</t>
        </is>
      </c>
      <c r="D54" s="52" t="inlineStr">
        <is>
          <t>NDTV Profit</t>
        </is>
      </c>
      <c r="E54" s="82" t="n">
        <v>0.421</v>
      </c>
      <c r="F54" s="52" t="inlineStr">
        <is>
          <t>Positive</t>
        </is>
      </c>
      <c r="G54" s="83" t="inlineStr">
        <is>
          <t>open ↗</t>
        </is>
      </c>
    </row>
    <row r="55">
      <c r="A55" s="52" t="inlineStr">
        <is>
          <t>E2E</t>
        </is>
      </c>
      <c r="B55" s="52" t="inlineStr">
        <is>
          <t>2026-10-16 15:01</t>
        </is>
      </c>
      <c r="C55" s="52" t="inlineStr">
        <is>
          <t>This small-cap AI stock has surged 250% in 2026: What is behind its stellar market performance?</t>
        </is>
      </c>
      <c r="D55" s="52" t="inlineStr">
        <is>
          <t>Livemint</t>
        </is>
      </c>
      <c r="E55" s="82" t="n">
        <v>0</v>
      </c>
      <c r="F55" s="52" t="inlineStr">
        <is>
          <t>Neutral</t>
        </is>
      </c>
      <c r="G55" s="83" t="inlineStr">
        <is>
          <t>open ↗</t>
        </is>
      </c>
    </row>
    <row r="56">
      <c r="A56" s="52" t="inlineStr">
        <is>
          <t>LAURUSLABS</t>
        </is>
      </c>
      <c r="B56" s="52" t="inlineStr">
        <is>
          <t>2026-10-16 14:03</t>
        </is>
      </c>
      <c r="C56" s="52" t="inlineStr">
        <is>
          <t>Laurus Labs Limited (LAURUSLABS.NS) Stock Price, News, Quote &amp; History</t>
        </is>
      </c>
      <c r="D56" s="52" t="inlineStr">
        <is>
          <t>Yahoo! Finance Canada</t>
        </is>
      </c>
      <c r="E56" s="82" t="n">
        <v>-0.226</v>
      </c>
      <c r="F56" s="52" t="inlineStr">
        <is>
          <t>Negative</t>
        </is>
      </c>
      <c r="G56" s="83" t="inlineStr">
        <is>
          <t>open ↗</t>
        </is>
      </c>
    </row>
    <row r="57">
      <c r="A57" s="52" t="inlineStr">
        <is>
          <t>LAURUSLABS</t>
        </is>
      </c>
      <c r="B57" s="52" t="inlineStr">
        <is>
          <t>2026-10-16 13:14</t>
        </is>
      </c>
      <c r="C57" s="52" t="inlineStr">
        <is>
          <t>Laurus Labs - Kotak Mahindra Bank among 5 stocks that hit 52-week highs &amp; rallied up to 15% in a month</t>
        </is>
      </c>
      <c r="D57" s="52" t="inlineStr">
        <is>
          <t>The Economic Times</t>
        </is>
      </c>
      <c r="E57" s="82" t="n">
        <v>-0.153</v>
      </c>
      <c r="F57" s="52" t="inlineStr">
        <is>
          <t>Neutral</t>
        </is>
      </c>
      <c r="G57" s="83" t="inlineStr">
        <is>
          <t>open ↗</t>
        </is>
      </c>
    </row>
    <row r="58">
      <c r="A58" s="52" t="inlineStr">
        <is>
          <t>E2E</t>
        </is>
      </c>
      <c r="B58" s="52" t="inlineStr">
        <is>
          <t>2026-10-16 11:53</t>
        </is>
      </c>
      <c r="C58" s="52" t="inlineStr">
        <is>
          <t>E2E Networks Q2 FY27 slides: revenue surges 411% on GPU expansion</t>
        </is>
      </c>
      <c r="D58" s="52" t="inlineStr">
        <is>
          <t>Investing.com India</t>
        </is>
      </c>
      <c r="E58" s="82" t="n">
        <v>0.6909999999999999</v>
      </c>
      <c r="F58" s="52" t="inlineStr">
        <is>
          <t>Positive</t>
        </is>
      </c>
      <c r="G58" s="83" t="inlineStr">
        <is>
          <t>open ↗</t>
        </is>
      </c>
    </row>
    <row r="59">
      <c r="A59" s="52" t="inlineStr">
        <is>
          <t>MARKET</t>
        </is>
      </c>
      <c r="B59" s="52" t="inlineStr">
        <is>
          <t>2026-10-16 11:22</t>
        </is>
      </c>
      <c r="C59" s="52" t="inlineStr">
        <is>
          <t>Indian Equities Extend Gains, IT Sector Leads Rally on Strong Earnings</t>
        </is>
      </c>
      <c r="D59" s="52" t="inlineStr">
        <is>
          <t>Rediff</t>
        </is>
      </c>
      <c r="E59" s="82" t="n">
        <v>0.836</v>
      </c>
      <c r="F59" s="52" t="inlineStr">
        <is>
          <t>Positive</t>
        </is>
      </c>
      <c r="G59" s="83" t="inlineStr">
        <is>
          <t>open ↗</t>
        </is>
      </c>
    </row>
    <row r="60">
      <c r="A60" s="52" t="inlineStr">
        <is>
          <t>MARKET</t>
        </is>
      </c>
      <c r="B60" s="52" t="inlineStr">
        <is>
          <t>2026-10-16 11:17</t>
        </is>
      </c>
      <c r="C60" s="52" t="inlineStr">
        <is>
          <t>Sensex, Nifty extend gains for second day as IT stocks rally</t>
        </is>
      </c>
      <c r="D60" s="52" t="inlineStr">
        <is>
          <t>The New Indian Express</t>
        </is>
      </c>
      <c r="E60" s="82" t="n">
        <v>0.84</v>
      </c>
      <c r="F60" s="52" t="inlineStr">
        <is>
          <t>Positive</t>
        </is>
      </c>
      <c r="G60" s="83" t="inlineStr">
        <is>
          <t>open ↗</t>
        </is>
      </c>
    </row>
    <row r="61">
      <c r="A61" s="52" t="inlineStr">
        <is>
          <t>E2E</t>
        </is>
      </c>
      <c r="B61" s="52" t="inlineStr">
        <is>
          <t>2026-10-16 11:06</t>
        </is>
      </c>
      <c r="C61" s="52" t="inlineStr">
        <is>
          <t>E2E Networks (NSE:E2E) Earnings Recovery and AI Cloud Business</t>
        </is>
      </c>
      <c r="D61" s="52" t="inlineStr">
        <is>
          <t>Kalkine India</t>
        </is>
      </c>
      <c r="E61" s="82" t="n">
        <v>0</v>
      </c>
      <c r="F61" s="52" t="inlineStr">
        <is>
          <t>Neutral</t>
        </is>
      </c>
      <c r="G61" s="83" t="inlineStr">
        <is>
          <t>open ↗</t>
        </is>
      </c>
    </row>
    <row r="62">
      <c r="A62" s="52" t="inlineStr">
        <is>
          <t>MARKET</t>
        </is>
      </c>
      <c r="B62" s="52" t="inlineStr">
        <is>
          <t>2026-10-16 10:56</t>
        </is>
      </c>
      <c r="C62" s="52" t="inlineStr">
        <is>
          <t>Sensex, Nifty Rise Again; IT Stocks Lead Rally</t>
        </is>
      </c>
      <c r="D62" s="52" t="inlineStr">
        <is>
          <t>HDFC Sky</t>
        </is>
      </c>
      <c r="E62" s="82" t="n">
        <v>0.6909999999999999</v>
      </c>
      <c r="F62" s="52" t="inlineStr">
        <is>
          <t>Positive</t>
        </is>
      </c>
      <c r="G62" s="83" t="inlineStr">
        <is>
          <t>open ↗</t>
        </is>
      </c>
    </row>
    <row r="63">
      <c r="A63" s="52" t="inlineStr">
        <is>
          <t>MARKET</t>
        </is>
      </c>
      <c r="B63" s="52" t="inlineStr">
        <is>
          <t>2026-10-16 10:51</t>
        </is>
      </c>
      <c r="C63" s="52" t="inlineStr">
        <is>
          <t>Sensex Today Ends 417 Points Higher | Nifty Above 23,100 | Solara Active Pharma Sciences Up 9%</t>
        </is>
      </c>
      <c r="D63" s="52" t="inlineStr">
        <is>
          <t>Equitymaster</t>
        </is>
      </c>
      <c r="E63" s="82" t="n">
        <v>0.66</v>
      </c>
      <c r="F63" s="52" t="inlineStr">
        <is>
          <t>Positive</t>
        </is>
      </c>
      <c r="G63" s="83" t="inlineStr">
        <is>
          <t>open ↗</t>
        </is>
      </c>
    </row>
    <row r="64">
      <c r="A64" s="52" t="inlineStr">
        <is>
          <t>MARKET</t>
        </is>
      </c>
      <c r="B64" s="52" t="inlineStr">
        <is>
          <t>2026-10-16 10:44</t>
        </is>
      </c>
      <c r="C64" s="52" t="inlineStr">
        <is>
          <t>Indian markets close higher on Friday as IT stocks lead gains</t>
        </is>
      </c>
      <c r="D64" s="52" t="inlineStr">
        <is>
          <t>The New Indian Express</t>
        </is>
      </c>
      <c r="E64" s="82" t="n">
        <v>0.382</v>
      </c>
      <c r="F64" s="52" t="inlineStr">
        <is>
          <t>Positive</t>
        </is>
      </c>
      <c r="G64" s="83" t="inlineStr">
        <is>
          <t>open ↗</t>
        </is>
      </c>
    </row>
    <row r="65">
      <c r="A65" s="52" t="inlineStr">
        <is>
          <t>MARKET</t>
        </is>
      </c>
      <c r="B65" s="52" t="inlineStr">
        <is>
          <t>2026-10-16 10:05</t>
        </is>
      </c>
      <c r="C65" s="52" t="inlineStr">
        <is>
          <t>Sensex ends 413 points higher, Nifty above 23,100; TechM up 8%</t>
        </is>
      </c>
      <c r="D65" s="52" t="inlineStr">
        <is>
          <t>India Today</t>
        </is>
      </c>
      <c r="E65" s="82" t="n">
        <v>0.402</v>
      </c>
      <c r="F65" s="52" t="inlineStr">
        <is>
          <t>Positive</t>
        </is>
      </c>
      <c r="G65" s="83" t="inlineStr">
        <is>
          <t>open ↗</t>
        </is>
      </c>
    </row>
    <row r="66">
      <c r="A66" s="52" t="inlineStr">
        <is>
          <t>AEROFLEX</t>
        </is>
      </c>
      <c r="B66" s="52" t="inlineStr">
        <is>
          <t>2026-10-16 09:59</t>
        </is>
      </c>
      <c r="C66" s="52" t="inlineStr">
        <is>
          <t>Aeroflex Enterprises Ltd. Share Price Today - Aeroflex Enterprises Ltd. Stock Price Live NSE/BSE</t>
        </is>
      </c>
      <c r="D66" s="52" t="inlineStr">
        <is>
          <t>CNBC TV18</t>
        </is>
      </c>
      <c r="E66" s="82" t="n">
        <v>0</v>
      </c>
      <c r="F66" s="52" t="inlineStr">
        <is>
          <t>Neutral</t>
        </is>
      </c>
      <c r="G66" s="83" t="inlineStr">
        <is>
          <t>open ↗</t>
        </is>
      </c>
    </row>
    <row r="67">
      <c r="A67" s="52" t="inlineStr">
        <is>
          <t>ATHERENERG</t>
        </is>
      </c>
      <c r="B67" s="52" t="inlineStr">
        <is>
          <t>2026-10-16 09:58</t>
        </is>
      </c>
      <c r="C67" s="52" t="inlineStr">
        <is>
          <t>Ather Energy Ltd. Share Price Today - Ather Energy Ltd. Stock Price Live NSE/BSE</t>
        </is>
      </c>
      <c r="D67" s="52" t="inlineStr">
        <is>
          <t>CNBC TV18</t>
        </is>
      </c>
      <c r="E67" s="82" t="n">
        <v>0.494</v>
      </c>
      <c r="F67" s="52" t="inlineStr">
        <is>
          <t>Positive</t>
        </is>
      </c>
      <c r="G67" s="83" t="inlineStr">
        <is>
          <t>open ↗</t>
        </is>
      </c>
    </row>
    <row r="68">
      <c r="A68" s="52" t="inlineStr">
        <is>
          <t>LAURUSLABS</t>
        </is>
      </c>
      <c r="B68" s="52" t="inlineStr">
        <is>
          <t>2026-10-16 09:58</t>
        </is>
      </c>
      <c r="C68" s="52" t="inlineStr">
        <is>
          <t>Laurus Labs Ltd. Share Price Today - Laurus Labs Ltd. Stock Price Live NSE/BSE</t>
        </is>
      </c>
      <c r="D68" s="52" t="inlineStr">
        <is>
          <t>CNBC TV18</t>
        </is>
      </c>
      <c r="E68" s="82" t="n">
        <v>0</v>
      </c>
      <c r="F68" s="52" t="inlineStr">
        <is>
          <t>Neutral</t>
        </is>
      </c>
      <c r="G68" s="83" t="inlineStr">
        <is>
          <t>open ↗</t>
        </is>
      </c>
    </row>
    <row r="69">
      <c r="A69" s="52" t="inlineStr">
        <is>
          <t>LAURUSLABS</t>
        </is>
      </c>
      <c r="B69" s="52" t="inlineStr">
        <is>
          <t>2026-10-16 09:52</t>
        </is>
      </c>
      <c r="C69" s="52" t="inlineStr">
        <is>
          <t>Laurus Labs shifts gears as CDMO emerges as key growth driver; Nuvama sees 24% upside</t>
        </is>
      </c>
      <c r="D69" s="52" t="inlineStr">
        <is>
          <t>The Economic Times</t>
        </is>
      </c>
      <c r="E69" s="82" t="n">
        <v>0.649</v>
      </c>
      <c r="F69" s="52" t="inlineStr">
        <is>
          <t>Positive</t>
        </is>
      </c>
      <c r="G69" s="83" t="inlineStr">
        <is>
          <t>open ↗</t>
        </is>
      </c>
    </row>
    <row r="70">
      <c r="A70" s="52" t="inlineStr">
        <is>
          <t>E2E</t>
        </is>
      </c>
      <c r="B70" s="52" t="inlineStr">
        <is>
          <t>2026-10-16 08:50</t>
        </is>
      </c>
      <c r="C70" s="52" t="inlineStr">
        <is>
          <t>E2E Networks reports Q2 and H1 financial performance, announces key board changes</t>
        </is>
      </c>
      <c r="D70" s="52" t="inlineStr">
        <is>
          <t>Business Upturn</t>
        </is>
      </c>
      <c r="E70" s="82" t="n">
        <v>0</v>
      </c>
      <c r="F70" s="52" t="inlineStr">
        <is>
          <t>Neutral</t>
        </is>
      </c>
      <c r="G70" s="83" t="inlineStr">
        <is>
          <t>open ↗</t>
        </is>
      </c>
    </row>
    <row r="71">
      <c r="A71" s="52" t="inlineStr">
        <is>
          <t>E2E</t>
        </is>
      </c>
      <c r="B71" s="52" t="inlineStr">
        <is>
          <t>2026-10-16 08:46</t>
        </is>
      </c>
      <c r="C71" s="52" t="inlineStr">
        <is>
          <t>E2E Networks Swings To ₹73 Cr Profit In Q2, Revenue Jumps 411% YoY</t>
        </is>
      </c>
      <c r="D71" s="52" t="inlineStr">
        <is>
          <t>Inc42</t>
        </is>
      </c>
      <c r="E71" s="82" t="n">
        <v>0.66</v>
      </c>
      <c r="F71" s="52" t="inlineStr">
        <is>
          <t>Positive</t>
        </is>
      </c>
      <c r="G71" s="83" t="inlineStr">
        <is>
          <t>open ↗</t>
        </is>
      </c>
    </row>
    <row r="72">
      <c r="A72" s="52" t="inlineStr">
        <is>
          <t>LAURUSLABS</t>
        </is>
      </c>
      <c r="B72" s="52" t="inlineStr">
        <is>
          <t>2026-10-16 08:24</t>
        </is>
      </c>
      <c r="C72" s="52" t="inlineStr">
        <is>
          <t>Laurus Labs - 10 stocks held by 100+ MF schemes in September rally up to 205% in CY26; 6 turn multibaggers</t>
        </is>
      </c>
      <c r="D72" s="52" t="inlineStr">
        <is>
          <t>The Economic Times</t>
        </is>
      </c>
      <c r="E72" s="82" t="n">
        <v>0.459</v>
      </c>
      <c r="F72" s="52" t="inlineStr">
        <is>
          <t>Positive</t>
        </is>
      </c>
      <c r="G72" s="83" t="inlineStr">
        <is>
          <t>open ↗</t>
        </is>
      </c>
    </row>
    <row r="73">
      <c r="A73" s="52" t="inlineStr">
        <is>
          <t>ACUTAAS</t>
        </is>
      </c>
      <c r="B73" s="52" t="inlineStr">
        <is>
          <t>2026-10-16 08:21</t>
        </is>
      </c>
      <c r="C73" s="52" t="inlineStr">
        <is>
          <t>Acutaas Chemicals - 10 stocks held by 100+ MF schemes in September rally up to 205% in CY26; 6 turn multibaggers</t>
        </is>
      </c>
      <c r="D73" s="52" t="inlineStr">
        <is>
          <t>The Economic Times</t>
        </is>
      </c>
      <c r="E73" s="82" t="n">
        <v>0.459</v>
      </c>
      <c r="F73" s="52" t="inlineStr">
        <is>
          <t>Positive</t>
        </is>
      </c>
      <c r="G73" s="83" t="inlineStr">
        <is>
          <t>open ↗</t>
        </is>
      </c>
    </row>
    <row r="74">
      <c r="A74" s="52" t="inlineStr">
        <is>
          <t>THANGAMAYL</t>
        </is>
      </c>
      <c r="B74" s="52" t="inlineStr">
        <is>
          <t>2026-10-16 07:20</t>
        </is>
      </c>
      <c r="C74" s="52" t="inlineStr">
        <is>
          <t>HBL Engineering, Wipro, L&amp;T Finance shares spurt amid spike in volumes; check full list</t>
        </is>
      </c>
      <c r="D74" s="52" t="inlineStr">
        <is>
          <t>Upstox</t>
        </is>
      </c>
      <c r="E74" s="82" t="n">
        <v>0</v>
      </c>
      <c r="F74" s="52" t="inlineStr">
        <is>
          <t>Neutral</t>
        </is>
      </c>
      <c r="G74" s="83" t="inlineStr">
        <is>
          <t>open ↗</t>
        </is>
      </c>
    </row>
    <row r="75">
      <c r="A75" s="52" t="inlineStr">
        <is>
          <t>RRKABEL</t>
        </is>
      </c>
      <c r="B75" s="52" t="inlineStr">
        <is>
          <t>2026-10-16 07:00</t>
        </is>
      </c>
      <c r="C75" s="52" t="inlineStr">
        <is>
          <t>RR Kabel Share Price Fall Streak and Valuation</t>
        </is>
      </c>
      <c r="D75" s="52" t="inlineStr">
        <is>
          <t>Univest</t>
        </is>
      </c>
      <c r="E75" s="82" t="n">
        <v>-0.34</v>
      </c>
      <c r="F75" s="52" t="inlineStr">
        <is>
          <t>Negative</t>
        </is>
      </c>
      <c r="G75" s="83" t="inlineStr">
        <is>
          <t>open ↗</t>
        </is>
      </c>
    </row>
    <row r="76">
      <c r="A76" s="52" t="inlineStr">
        <is>
          <t>ACUTAAS</t>
        </is>
      </c>
      <c r="B76" s="52" t="inlineStr">
        <is>
          <t>2026-10-16 07:00</t>
        </is>
      </c>
      <c r="C76" s="52" t="inlineStr">
        <is>
          <t>Ami Organics Ltd Share Price Today,, AMIORG Share Price NSE, BSE</t>
        </is>
      </c>
      <c r="D76" s="52" t="inlineStr">
        <is>
          <t>Business Today</t>
        </is>
      </c>
      <c r="E76" s="82" t="n">
        <v>0</v>
      </c>
      <c r="F76" s="52" t="inlineStr">
        <is>
          <t>Neutral</t>
        </is>
      </c>
      <c r="G76" s="83" t="inlineStr">
        <is>
          <t>open ↗</t>
        </is>
      </c>
    </row>
    <row r="77">
      <c r="A77" s="52" t="inlineStr">
        <is>
          <t>KIRLOSENG</t>
        </is>
      </c>
      <c r="B77" s="52" t="inlineStr">
        <is>
          <t>2026-10-16 07:00</t>
        </is>
      </c>
      <c r="C77" s="52" t="inlineStr">
        <is>
          <t>Kirloskar Oil and Engineering Share Price - Live NSE: KIRLOSENG Stock Price &amp; Chart</t>
        </is>
      </c>
      <c r="D77" s="52" t="inlineStr">
        <is>
          <t>Upstox</t>
        </is>
      </c>
      <c r="E77" s="82" t="n">
        <v>0</v>
      </c>
      <c r="F77" s="52" t="inlineStr">
        <is>
          <t>Neutral</t>
        </is>
      </c>
      <c r="G77" s="83" t="inlineStr">
        <is>
          <t>open ↗</t>
        </is>
      </c>
    </row>
    <row r="78">
      <c r="A78" s="52" t="inlineStr">
        <is>
          <t>E2E</t>
        </is>
      </c>
      <c r="B78" s="52" t="inlineStr">
        <is>
          <t>2026-10-16 07:00</t>
        </is>
      </c>
      <c r="C78" s="52" t="inlineStr">
        <is>
          <t>E2E NETWORKS LIMITED Share Price</t>
        </is>
      </c>
      <c r="D78" s="52" t="inlineStr">
        <is>
          <t>Upstox</t>
        </is>
      </c>
      <c r="E78" s="82" t="n">
        <v>-0.389</v>
      </c>
      <c r="F78" s="52" t="inlineStr">
        <is>
          <t>Negative</t>
        </is>
      </c>
      <c r="G78" s="83" t="inlineStr">
        <is>
          <t>open ↗</t>
        </is>
      </c>
    </row>
    <row r="79">
      <c r="A79" s="52" t="inlineStr">
        <is>
          <t>LAURUSLABS</t>
        </is>
      </c>
      <c r="B79" s="52" t="inlineStr">
        <is>
          <t>2026-10-16 07:00</t>
        </is>
      </c>
      <c r="C79" s="52" t="inlineStr">
        <is>
          <t>Laurus Labs Share Price Today: 2.06% Gain and Sector View</t>
        </is>
      </c>
      <c r="D79" s="52" t="inlineStr">
        <is>
          <t>Univest</t>
        </is>
      </c>
      <c r="E79" s="82" t="n">
        <v>0.34</v>
      </c>
      <c r="F79" s="52" t="inlineStr">
        <is>
          <t>Positive</t>
        </is>
      </c>
      <c r="G79" s="83" t="inlineStr">
        <is>
          <t>open ↗</t>
        </is>
      </c>
    </row>
    <row r="80">
      <c r="A80" s="52" t="inlineStr">
        <is>
          <t>MARKET</t>
        </is>
      </c>
      <c r="B80" s="52" t="inlineStr">
        <is>
          <t>2026-10-16 07:00</t>
        </is>
      </c>
      <c r="C80" s="52" t="inlineStr">
        <is>
          <t>Stock Market Today LIVE: Sensex jumps over 400 points, Nifty crosses 23,100; Tech Mahindra surges 7%</t>
        </is>
      </c>
      <c r="D80" s="52" t="inlineStr">
        <is>
          <t>IndiaIPO</t>
        </is>
      </c>
      <c r="E80" s="82" t="n">
        <v>0.836</v>
      </c>
      <c r="F80" s="52" t="inlineStr">
        <is>
          <t>Positive</t>
        </is>
      </c>
      <c r="G80" s="83" t="inlineStr">
        <is>
          <t>open ↗</t>
        </is>
      </c>
    </row>
    <row r="81">
      <c r="A81" s="52" t="inlineStr">
        <is>
          <t>MARKET</t>
        </is>
      </c>
      <c r="B81" s="52" t="inlineStr">
        <is>
          <t>2026-10-16 05:42</t>
        </is>
      </c>
      <c r="C81" s="52" t="inlineStr">
        <is>
          <t>Indian equity market open flat amid profit booking; Sensex down over 130 pts, Nifty below 22,980</t>
        </is>
      </c>
      <c r="D81" s="52" t="inlineStr">
        <is>
          <t>cfo.economictimes.indiatimes.com</t>
        </is>
      </c>
      <c r="E81" s="82" t="n">
        <v>0.625</v>
      </c>
      <c r="F81" s="52" t="inlineStr">
        <is>
          <t>Positive</t>
        </is>
      </c>
      <c r="G81" s="83" t="inlineStr">
        <is>
          <t>open ↗</t>
        </is>
      </c>
    </row>
    <row r="82">
      <c r="A82" s="52" t="inlineStr">
        <is>
          <t>MARKET</t>
        </is>
      </c>
      <c r="B82" s="52" t="inlineStr">
        <is>
          <t>2026-10-16 05:25</t>
        </is>
      </c>
      <c r="C82" s="52" t="inlineStr">
        <is>
          <t>Sensex, Nifty trade lower in early deals; IT shares buck trend</t>
        </is>
      </c>
      <c r="D82" s="52" t="inlineStr">
        <is>
          <t>Telangana Today</t>
        </is>
      </c>
      <c r="E82" s="82" t="n">
        <v>0.226</v>
      </c>
      <c r="F82" s="52" t="inlineStr">
        <is>
          <t>Positive</t>
        </is>
      </c>
      <c r="G82" s="83" t="inlineStr">
        <is>
          <t>open ↗</t>
        </is>
      </c>
    </row>
    <row r="83">
      <c r="A83" s="52" t="inlineStr">
        <is>
          <t>THANGAMAYL</t>
        </is>
      </c>
      <c r="B83" s="52" t="inlineStr">
        <is>
          <t>2026-10-16 04:57</t>
        </is>
      </c>
      <c r="C83" s="52" t="inlineStr">
        <is>
          <t>Thangamayil Jewellery Share Price Today after 5.25% gain</t>
        </is>
      </c>
      <c r="D83" s="52" t="inlineStr">
        <is>
          <t>Univest</t>
        </is>
      </c>
      <c r="E83" s="82" t="n">
        <v>0.34</v>
      </c>
      <c r="F83" s="52" t="inlineStr">
        <is>
          <t>Positive</t>
        </is>
      </c>
      <c r="G83" s="83" t="inlineStr">
        <is>
          <t>open ↗</t>
        </is>
      </c>
    </row>
    <row r="84">
      <c r="A84" s="52" t="inlineStr">
        <is>
          <t>E2E</t>
        </is>
      </c>
      <c r="B84" s="52" t="inlineStr">
        <is>
          <t>2026-10-16 04:50</t>
        </is>
      </c>
      <c r="C84" s="52" t="inlineStr">
        <is>
          <t>E2E Networks NSE:E2E Onboards Strategic Advisor Anandamoy Roychowdhary</t>
        </is>
      </c>
      <c r="D84" s="52" t="inlineStr">
        <is>
          <t>Kalkine India</t>
        </is>
      </c>
      <c r="E84" s="82" t="n">
        <v>0</v>
      </c>
      <c r="F84" s="52" t="inlineStr">
        <is>
          <t>Neutral</t>
        </is>
      </c>
      <c r="G84" s="83" t="inlineStr">
        <is>
          <t>open ↗</t>
        </is>
      </c>
    </row>
    <row r="85">
      <c r="A85" s="52" t="inlineStr">
        <is>
          <t>MARKET</t>
        </is>
      </c>
      <c r="B85" s="52" t="inlineStr">
        <is>
          <t>2026-10-16 04:48</t>
        </is>
      </c>
      <c r="C85" s="52" t="inlineStr">
        <is>
          <t>Stock markets trade lower during early session amid profit-taking</t>
        </is>
      </c>
      <c r="D85" s="52" t="inlineStr">
        <is>
          <t>The Hindu</t>
        </is>
      </c>
      <c r="E85" s="82" t="n">
        <v>-0.202</v>
      </c>
      <c r="F85" s="52" t="inlineStr">
        <is>
          <t>Negative</t>
        </is>
      </c>
      <c r="G85" s="83" t="inlineStr">
        <is>
          <t>open ↗</t>
        </is>
      </c>
    </row>
    <row r="86">
      <c r="A86" s="52" t="inlineStr">
        <is>
          <t>MARKET</t>
        </is>
      </c>
      <c r="B86" s="52" t="inlineStr">
        <is>
          <t>2026-10-16 04:46</t>
        </is>
      </c>
      <c r="C86" s="52" t="inlineStr">
        <is>
          <t>Sensex, Nifty erase early losses as IT stocks rally on Q2 results</t>
        </is>
      </c>
      <c r="D86" s="52" t="inlineStr">
        <is>
          <t>India Today</t>
        </is>
      </c>
      <c r="E86" s="82" t="n">
        <v>0.44</v>
      </c>
      <c r="F86" s="52" t="inlineStr">
        <is>
          <t>Positive</t>
        </is>
      </c>
      <c r="G86" s="83" t="inlineStr">
        <is>
          <t>open ↗</t>
        </is>
      </c>
    </row>
    <row r="87">
      <c r="A87" s="52" t="inlineStr">
        <is>
          <t>MARKET</t>
        </is>
      </c>
      <c r="B87" s="52" t="inlineStr">
        <is>
          <t>2026-10-16 04:41</t>
        </is>
      </c>
      <c r="C87" s="52" t="inlineStr">
        <is>
          <t>Indian Stock Market Surges: Sensex and Nifty Striking New Heights</t>
        </is>
      </c>
      <c r="D87" s="52" t="inlineStr">
        <is>
          <t>India News Network</t>
        </is>
      </c>
      <c r="E87" s="82" t="n">
        <v>0.71</v>
      </c>
      <c r="F87" s="52" t="inlineStr">
        <is>
          <t>Positive</t>
        </is>
      </c>
      <c r="G87" s="83" t="inlineStr">
        <is>
          <t>open ↗</t>
        </is>
      </c>
    </row>
    <row r="88">
      <c r="A88" s="52" t="inlineStr">
        <is>
          <t>MARKET</t>
        </is>
      </c>
      <c r="B88" s="52" t="inlineStr">
        <is>
          <t>2026-10-16 04:36</t>
        </is>
      </c>
      <c r="C88" s="52" t="inlineStr">
        <is>
          <t>Sensex, Nifty Slip Despite Strong Asian Cues</t>
        </is>
      </c>
      <c r="D88" s="52" t="inlineStr">
        <is>
          <t>HDFC Sky</t>
        </is>
      </c>
      <c r="E88" s="82" t="n">
        <v>-0.223</v>
      </c>
      <c r="F88" s="52" t="inlineStr">
        <is>
          <t>Negative</t>
        </is>
      </c>
      <c r="G88" s="83" t="inlineStr">
        <is>
          <t>open ↗</t>
        </is>
      </c>
    </row>
    <row r="89">
      <c r="A89" s="52" t="inlineStr">
        <is>
          <t>MARKET</t>
        </is>
      </c>
      <c r="B89" s="52" t="inlineStr">
        <is>
          <t>2026-10-16 04:34</t>
        </is>
      </c>
      <c r="C89" s="52" t="inlineStr">
        <is>
          <t>Sensex Today Trades Higher | Nifty Above 23,000 | IT Stocks Shine</t>
        </is>
      </c>
      <c r="D89" s="52" t="inlineStr">
        <is>
          <t>Equitymaster</t>
        </is>
      </c>
      <c r="E89" s="82" t="n">
        <v>0.402</v>
      </c>
      <c r="F89" s="52" t="inlineStr">
        <is>
          <t>Positive</t>
        </is>
      </c>
      <c r="G89" s="83" t="inlineStr">
        <is>
          <t>open ↗</t>
        </is>
      </c>
    </row>
    <row r="90">
      <c r="A90" s="52" t="inlineStr">
        <is>
          <t>MARKET</t>
        </is>
      </c>
      <c r="B90" s="52" t="inlineStr">
        <is>
          <t>2026-10-16 04:34</t>
        </is>
      </c>
      <c r="C90" s="52" t="inlineStr">
        <is>
          <t>Sensex Today Trades Higher | Nifty Above 22,400 | TCS &amp; Infosys Top Gainers</t>
        </is>
      </c>
      <c r="D90" s="52" t="inlineStr">
        <is>
          <t>Equitymaster</t>
        </is>
      </c>
      <c r="E90" s="82" t="n">
        <v>0.542</v>
      </c>
      <c r="F90" s="52" t="inlineStr">
        <is>
          <t>Positive</t>
        </is>
      </c>
      <c r="G90" s="83" t="inlineStr">
        <is>
          <t>open ↗</t>
        </is>
      </c>
    </row>
    <row r="91">
      <c r="A91" s="52" t="inlineStr">
        <is>
          <t>MARKET</t>
        </is>
      </c>
      <c r="B91" s="52" t="inlineStr">
        <is>
          <t>2026-10-16 01:19</t>
        </is>
      </c>
      <c r="C91" s="52" t="inlineStr">
        <is>
          <t>Stock market outlook today, 16 Oct: Sensex, Nifty prediction - DJIA, S&amp;P, NASDAQ, GIFT Nifty, Kospi, Nikkei, Taiwan cues</t>
        </is>
      </c>
      <c r="D91" s="52" t="inlineStr">
        <is>
          <t>Livemint</t>
        </is>
      </c>
      <c r="E91" s="82" t="n">
        <v>0.842</v>
      </c>
      <c r="F91" s="52" t="inlineStr">
        <is>
          <t>Positive</t>
        </is>
      </c>
      <c r="G91" s="83" t="inlineStr">
        <is>
          <t>open ↗</t>
        </is>
      </c>
    </row>
    <row r="92">
      <c r="A92" s="52" t="inlineStr">
        <is>
          <t>MARKET</t>
        </is>
      </c>
      <c r="B92" s="52" t="inlineStr">
        <is>
          <t>2026-10-15 20:01</t>
        </is>
      </c>
      <c r="C92" s="52" t="inlineStr">
        <is>
          <t>Sensex Today | Stock Market Live: Nifty nears 23,000, Sensex gains 1,200 pts; IT jumps 2%, auto gain</t>
        </is>
      </c>
      <c r="D92" s="52" t="inlineStr">
        <is>
          <t>IndiaIPO</t>
        </is>
      </c>
      <c r="E92" s="82" t="n">
        <v>0.866</v>
      </c>
      <c r="F92" s="52" t="inlineStr">
        <is>
          <t>Positive</t>
        </is>
      </c>
      <c r="G92" s="83" t="inlineStr">
        <is>
          <t>open ↗</t>
        </is>
      </c>
    </row>
    <row r="93">
      <c r="A93" s="52" t="inlineStr">
        <is>
          <t>ATHERENERG</t>
        </is>
      </c>
      <c r="B93" s="52" t="inlineStr">
        <is>
          <t>2026-10-15 17:20</t>
        </is>
      </c>
      <c r="C93" s="52" t="inlineStr">
        <is>
          <t>Ather Energy ATHERENERG IRDAI Corporate Agent Licence Granted</t>
        </is>
      </c>
      <c r="D93" s="52" t="inlineStr">
        <is>
          <t>Kalkine India</t>
        </is>
      </c>
      <c r="E93" s="82" t="n">
        <v>0.477</v>
      </c>
      <c r="F93" s="52" t="inlineStr">
        <is>
          <t>Positive</t>
        </is>
      </c>
      <c r="G93" s="83" t="inlineStr">
        <is>
          <t>open ↗</t>
        </is>
      </c>
    </row>
    <row r="94">
      <c r="A94" s="52" t="inlineStr">
        <is>
          <t>MARKET</t>
        </is>
      </c>
      <c r="B94" s="52" t="inlineStr">
        <is>
          <t>2026-10-15 14:37</t>
        </is>
      </c>
      <c r="C94" s="52" t="inlineStr">
        <is>
          <t>Nifty sees best day in 4 months, rally remains confined to largecap stocks</t>
        </is>
      </c>
      <c r="D94" s="52" t="inlineStr">
        <is>
          <t>Business Standard</t>
        </is>
      </c>
      <c r="E94" s="82" t="n">
        <v>0.872</v>
      </c>
      <c r="F94" s="52" t="inlineStr">
        <is>
          <t>Positive</t>
        </is>
      </c>
      <c r="G94" s="83" t="inlineStr">
        <is>
          <t>open ↗</t>
        </is>
      </c>
    </row>
    <row r="95">
      <c r="A95" s="52" t="inlineStr">
        <is>
          <t>ATHERENERG</t>
        </is>
      </c>
      <c r="B95" s="52" t="inlineStr">
        <is>
          <t>2026-10-15 13:24</t>
        </is>
      </c>
      <c r="C95" s="52" t="inlineStr">
        <is>
          <t>Why did September volumes diverge for two-wheeler makers (ATHERENERG), (TVSMOTOR) and (HEROMOTOCO)?</t>
        </is>
      </c>
      <c r="D95" s="52" t="inlineStr">
        <is>
          <t>Kalkine India</t>
        </is>
      </c>
      <c r="E95" s="82" t="n">
        <v>0</v>
      </c>
      <c r="F95" s="52" t="inlineStr">
        <is>
          <t>Neutral</t>
        </is>
      </c>
      <c r="G95" s="83" t="inlineStr">
        <is>
          <t>open ↗</t>
        </is>
      </c>
    </row>
    <row r="96">
      <c r="A96" s="52" t="inlineStr">
        <is>
          <t>AEROFLEX</t>
        </is>
      </c>
      <c r="B96" s="52" t="inlineStr">
        <is>
          <t>2026-10-15 12:55</t>
        </is>
      </c>
      <c r="C96" s="52" t="inlineStr">
        <is>
          <t>Aeroflex Enterprises AEROENTER: Stilonn Valves Acquisition</t>
        </is>
      </c>
      <c r="D96" s="52" t="inlineStr">
        <is>
          <t>Kalkine India</t>
        </is>
      </c>
      <c r="E96" s="82" t="n">
        <v>0</v>
      </c>
      <c r="F96" s="52" t="inlineStr">
        <is>
          <t>Neutral</t>
        </is>
      </c>
      <c r="G96" s="83" t="inlineStr">
        <is>
          <t>open ↗</t>
        </is>
      </c>
    </row>
    <row r="97">
      <c r="A97" s="52" t="inlineStr">
        <is>
          <t>MARKET</t>
        </is>
      </c>
      <c r="B97" s="52" t="inlineStr">
        <is>
          <t>2026-10-15 11:28</t>
        </is>
      </c>
      <c r="C97" s="52" t="inlineStr">
        <is>
          <t>Indian share benchmarks log best day in four months on global AI slump</t>
        </is>
      </c>
      <c r="D97" s="52" t="inlineStr">
        <is>
          <t>Reuters</t>
        </is>
      </c>
      <c r="E97" s="82" t="n">
        <v>0.25</v>
      </c>
      <c r="F97" s="52" t="inlineStr">
        <is>
          <t>Positive</t>
        </is>
      </c>
      <c r="G97" s="83" t="inlineStr">
        <is>
          <t>open ↗</t>
        </is>
      </c>
    </row>
    <row r="98">
      <c r="A98" s="52" t="inlineStr">
        <is>
          <t>MARKET</t>
        </is>
      </c>
      <c r="B98" s="52" t="inlineStr">
        <is>
          <t>2026-10-15 11:27</t>
        </is>
      </c>
      <c r="C98" s="52" t="inlineStr">
        <is>
          <t>Indian markets continue rally; Nifty and Sensex close 2% up as rupee strengthens</t>
        </is>
      </c>
      <c r="D98" s="52" t="inlineStr">
        <is>
          <t>The Hindu</t>
        </is>
      </c>
      <c r="E98" s="82" t="n">
        <v>0.827</v>
      </c>
      <c r="F98" s="52" t="inlineStr">
        <is>
          <t>Positive</t>
        </is>
      </c>
      <c r="G98" s="83" t="inlineStr">
        <is>
          <t>open ↗</t>
        </is>
      </c>
    </row>
    <row r="99">
      <c r="A99" s="52" t="inlineStr">
        <is>
          <t>MARKET</t>
        </is>
      </c>
      <c r="B99" s="52" t="inlineStr">
        <is>
          <t>2026-10-15 11:23</t>
        </is>
      </c>
      <c r="C99" s="52" t="inlineStr">
        <is>
          <t>Sensex Rallies 1,534 Points, Nifty Nears 23,000</t>
        </is>
      </c>
      <c r="D99" s="52" t="inlineStr">
        <is>
          <t>HDFC Sky</t>
        </is>
      </c>
      <c r="E99" s="82" t="n">
        <v>0.6909999999999999</v>
      </c>
      <c r="F99" s="52" t="inlineStr">
        <is>
          <t>Positive</t>
        </is>
      </c>
      <c r="G99" s="83" t="inlineStr">
        <is>
          <t>open ↗</t>
        </is>
      </c>
    </row>
    <row r="100">
      <c r="A100" s="52" t="inlineStr">
        <is>
          <t>MARKET</t>
        </is>
      </c>
      <c r="B100" s="52" t="inlineStr">
        <is>
          <t>2026-10-15 11:21</t>
        </is>
      </c>
      <c r="C100" s="52" t="inlineStr">
        <is>
          <t>Share Market Today: Nifty 50, Bank Nifty | Oct 15, 2026</t>
        </is>
      </c>
      <c r="D100" s="52" t="inlineStr">
        <is>
          <t>Liquide Blog</t>
        </is>
      </c>
      <c r="E100" s="82" t="n">
        <v>0.66</v>
      </c>
      <c r="F100" s="52" t="inlineStr">
        <is>
          <t>Positive</t>
        </is>
      </c>
      <c r="G100" s="83" t="inlineStr">
        <is>
          <t>open ↗</t>
        </is>
      </c>
    </row>
    <row r="101">
      <c r="A101" s="52" t="inlineStr">
        <is>
          <t>MARKET</t>
        </is>
      </c>
      <c r="B101" s="52" t="inlineStr">
        <is>
          <t>2026-10-15 10:50</t>
        </is>
      </c>
      <c r="C101" s="52" t="inlineStr">
        <is>
          <t>Sensex Jumps 1,534 Pts, Nifty Surges on Banks, IT, Reliance</t>
        </is>
      </c>
      <c r="D101" s="52" t="inlineStr">
        <is>
          <t>Rediff MoneyWiz</t>
        </is>
      </c>
      <c r="E101" s="82" t="n">
        <v>0.836</v>
      </c>
      <c r="F101" s="52" t="inlineStr">
        <is>
          <t>Positive</t>
        </is>
      </c>
      <c r="G101" s="83" t="inlineStr">
        <is>
          <t>open ↗</t>
        </is>
      </c>
    </row>
    <row r="102">
      <c r="A102" s="52" t="inlineStr">
        <is>
          <t>E2E</t>
        </is>
      </c>
      <c r="B102" s="52" t="inlineStr">
        <is>
          <t>2026-10-15 10:33</t>
        </is>
      </c>
      <c r="C102" s="52" t="inlineStr">
        <is>
          <t>E2E Rail Wins ₹3.39 Crore Arbitration Award Against IRCON, With 17.25% Interest Payable on Late Payment</t>
        </is>
      </c>
      <c r="D102" s="52" t="inlineStr">
        <is>
          <t>Trade Brains</t>
        </is>
      </c>
      <c r="E102" s="82" t="n">
        <v>0.852</v>
      </c>
      <c r="F102" s="52" t="inlineStr">
        <is>
          <t>Positive</t>
        </is>
      </c>
      <c r="G102" s="83" t="inlineStr">
        <is>
          <t>open ↗</t>
        </is>
      </c>
    </row>
    <row r="103">
      <c r="A103" s="52" t="inlineStr">
        <is>
          <t>MARKET</t>
        </is>
      </c>
      <c r="B103" s="52" t="inlineStr">
        <is>
          <t>2026-10-15 10:27</t>
        </is>
      </c>
      <c r="C103" s="52" t="inlineStr">
        <is>
          <t>Sensex Today Rallies 1,534 Points | Nifty Above 22,950 | 3 Reasons Why Indian Share Markets Are Rising</t>
        </is>
      </c>
      <c r="D103" s="52" t="inlineStr">
        <is>
          <t>Equitymaster</t>
        </is>
      </c>
      <c r="E103" s="82" t="n">
        <v>0.6909999999999999</v>
      </c>
      <c r="F103" s="52" t="inlineStr">
        <is>
          <t>Positive</t>
        </is>
      </c>
      <c r="G103" s="83" t="inlineStr">
        <is>
          <t>open ↗</t>
        </is>
      </c>
    </row>
    <row r="104">
      <c r="A104" s="52" t="inlineStr">
        <is>
          <t>MARKET</t>
        </is>
      </c>
      <c r="B104" s="52" t="inlineStr">
        <is>
          <t>2026-10-15 10:13</t>
        </is>
      </c>
      <c r="C104" s="52" t="inlineStr">
        <is>
          <t>Sensex jumps 1,534 points, Nifty surges to nearly 3-week high led by banks, Reliance, IT stocks</t>
        </is>
      </c>
      <c r="D104" s="52" t="inlineStr">
        <is>
          <t>Telegraph India</t>
        </is>
      </c>
      <c r="E104" s="82" t="n">
        <v>0.866</v>
      </c>
      <c r="F104" s="52" t="inlineStr">
        <is>
          <t>Positive</t>
        </is>
      </c>
      <c r="G104" s="83" t="inlineStr">
        <is>
          <t>open ↗</t>
        </is>
      </c>
    </row>
    <row r="105">
      <c r="A105" s="52" t="inlineStr">
        <is>
          <t>MARKET</t>
        </is>
      </c>
      <c r="B105" s="52" t="inlineStr">
        <is>
          <t>2026-10-15 10:09</t>
        </is>
      </c>
      <c r="C105" s="52" t="inlineStr">
        <is>
          <t>Sensex closes 1,500 points higher, Nifty nears 23,000; RIL up 4%</t>
        </is>
      </c>
      <c r="D105" s="52" t="inlineStr">
        <is>
          <t>India Today</t>
        </is>
      </c>
      <c r="E105" s="82" t="n">
        <v>0.402</v>
      </c>
      <c r="F105" s="52" t="inlineStr">
        <is>
          <t>Positive</t>
        </is>
      </c>
      <c r="G105" s="83" t="inlineStr">
        <is>
          <t>open ↗</t>
        </is>
      </c>
    </row>
    <row r="106">
      <c r="A106" s="52" t="inlineStr">
        <is>
          <t>AEROFLEX</t>
        </is>
      </c>
      <c r="B106" s="52" t="inlineStr">
        <is>
          <t>2026-10-15 09:30</t>
        </is>
      </c>
      <c r="C106" s="52" t="inlineStr">
        <is>
          <t>Aeroflex Industries tanks 11% on huge volume; down 17% in 2 days</t>
        </is>
      </c>
      <c r="D106" s="52" t="inlineStr">
        <is>
          <t>Business Standard</t>
        </is>
      </c>
      <c r="E106" s="82" t="n">
        <v>-0.226</v>
      </c>
      <c r="F106" s="52" t="inlineStr">
        <is>
          <t>Negative</t>
        </is>
      </c>
      <c r="G106" s="83" t="inlineStr">
        <is>
          <t>open ↗</t>
        </is>
      </c>
    </row>
    <row r="107">
      <c r="A107" s="52" t="inlineStr">
        <is>
          <t>MARKET</t>
        </is>
      </c>
      <c r="B107" s="52" t="inlineStr">
        <is>
          <t>2026-10-15 09:10</t>
        </is>
      </c>
      <c r="C107" s="52" t="inlineStr">
        <is>
          <t>Big surge! Early Diwali for Sensex, Nifty as stock market skyrockets on Reliance Jio IPO, IT shares jump - More to come?</t>
        </is>
      </c>
      <c r="D107" s="52" t="inlineStr">
        <is>
          <t>Livemint</t>
        </is>
      </c>
      <c r="E107" s="82" t="n">
        <v>0.84</v>
      </c>
      <c r="F107" s="52" t="inlineStr">
        <is>
          <t>Positive</t>
        </is>
      </c>
      <c r="G107" s="83" t="inlineStr">
        <is>
          <t>open ↗</t>
        </is>
      </c>
    </row>
    <row r="108">
      <c r="A108" s="52" t="inlineStr">
        <is>
          <t>MARKET</t>
        </is>
      </c>
      <c r="B108" s="52" t="inlineStr">
        <is>
          <t>2026-10-15 08:57</t>
        </is>
      </c>
      <c r="C108" s="52" t="inlineStr">
        <is>
          <t>Sensex jumps over 1,500 points: 5 reasons why the stock market is rising today</t>
        </is>
      </c>
      <c r="D108" s="52" t="inlineStr">
        <is>
          <t>Firstpost</t>
        </is>
      </c>
      <c r="E108" s="82" t="n">
        <v>0.459</v>
      </c>
      <c r="F108" s="52" t="inlineStr">
        <is>
          <t>Positive</t>
        </is>
      </c>
      <c r="G108" s="83" t="inlineStr">
        <is>
          <t>open ↗</t>
        </is>
      </c>
    </row>
    <row r="109">
      <c r="A109" s="52" t="inlineStr">
        <is>
          <t>MARKET</t>
        </is>
      </c>
      <c r="B109" s="52" t="inlineStr">
        <is>
          <t>2026-10-15 07:39</t>
        </is>
      </c>
      <c r="C109" s="52" t="inlineStr">
        <is>
          <t>Stock Market Rally: Sensex Jumps 1400 Points, Nifty Reclaims 23000 - Key Reasons Behind Surge</t>
        </is>
      </c>
      <c r="D109" s="52" t="inlineStr">
        <is>
          <t>Outlook Money</t>
        </is>
      </c>
      <c r="E109" s="82" t="n">
        <v>0.898</v>
      </c>
      <c r="F109" s="52" t="inlineStr">
        <is>
          <t>Positive</t>
        </is>
      </c>
      <c r="G109" s="83" t="inlineStr">
        <is>
          <t>open ↗</t>
        </is>
      </c>
    </row>
    <row r="110">
      <c r="A110" s="52" t="inlineStr">
        <is>
          <t>AEROFLEX</t>
        </is>
      </c>
      <c r="B110" s="52" t="inlineStr">
        <is>
          <t>2026-10-15 07:12</t>
        </is>
      </c>
      <c r="C110" s="52" t="inlineStr">
        <is>
          <t>Aeroflex Industries Share Price Falls Sharply</t>
        </is>
      </c>
      <c r="D110" s="52" t="inlineStr">
        <is>
          <t>Kalkine India</t>
        </is>
      </c>
      <c r="E110" s="82" t="n">
        <v>-0.382</v>
      </c>
      <c r="F110" s="52" t="inlineStr">
        <is>
          <t>Negative</t>
        </is>
      </c>
      <c r="G110" s="83" t="inlineStr">
        <is>
          <t>open ↗</t>
        </is>
      </c>
    </row>
    <row r="111">
      <c r="A111" s="52" t="inlineStr">
        <is>
          <t>TDPOWERSYS</t>
        </is>
      </c>
      <c r="B111" s="52" t="inlineStr">
        <is>
          <t>2026-10-15 07:00</t>
        </is>
      </c>
      <c r="C111" s="52" t="inlineStr">
        <is>
          <t>TD Power Systems Share Price News After Third Straight Fall</t>
        </is>
      </c>
      <c r="D111" s="52" t="inlineStr">
        <is>
          <t>Univest</t>
        </is>
      </c>
      <c r="E111" s="82" t="n">
        <v>-0.128</v>
      </c>
      <c r="F111" s="52" t="inlineStr">
        <is>
          <t>Neutral</t>
        </is>
      </c>
      <c r="G111" s="83" t="inlineStr">
        <is>
          <t>open ↗</t>
        </is>
      </c>
    </row>
    <row r="112">
      <c r="A112" s="52" t="inlineStr">
        <is>
          <t>RRKABEL</t>
        </is>
      </c>
      <c r="B112" s="52" t="inlineStr">
        <is>
          <t>2026-10-15 07:00</t>
        </is>
      </c>
      <c r="C112" s="52" t="inlineStr">
        <is>
          <t>RR Kabel Share Price Update: Price Fall and Sector View</t>
        </is>
      </c>
      <c r="D112" s="52" t="inlineStr">
        <is>
          <t>Univest</t>
        </is>
      </c>
      <c r="E112" s="82" t="n">
        <v>-0.34</v>
      </c>
      <c r="F112" s="52" t="inlineStr">
        <is>
          <t>Negative</t>
        </is>
      </c>
      <c r="G112" s="83" t="inlineStr">
        <is>
          <t>open ↗</t>
        </is>
      </c>
    </row>
    <row r="113">
      <c r="A113" s="52" t="inlineStr">
        <is>
          <t>KIRLOSENG</t>
        </is>
      </c>
      <c r="B113" s="52" t="inlineStr">
        <is>
          <t>2026-10-15 07:00</t>
        </is>
      </c>
      <c r="C113" s="52" t="inlineStr">
        <is>
          <t>Kirloskar Oil Engines Share Price falls 3.08%: analysis</t>
        </is>
      </c>
      <c r="D113" s="52" t="inlineStr">
        <is>
          <t>Univest</t>
        </is>
      </c>
      <c r="E113" s="82" t="n">
        <v>-0.382</v>
      </c>
      <c r="F113" s="52" t="inlineStr">
        <is>
          <t>Negative</t>
        </is>
      </c>
      <c r="G113" s="83" t="inlineStr">
        <is>
          <t>open ↗</t>
        </is>
      </c>
    </row>
    <row r="114">
      <c r="A114" s="52" t="inlineStr">
        <is>
          <t>MARKET</t>
        </is>
      </c>
      <c r="B114" s="52" t="inlineStr">
        <is>
          <t>2026-10-15 05:42</t>
        </is>
      </c>
      <c r="C114" s="52" t="inlineStr">
        <is>
          <t>Why is Market Rising Today: Bulls strike! Sensex zooms 1,100 pts intraday, Nifty at 22,950; key reasons</t>
        </is>
      </c>
      <c r="D114" s="52" t="inlineStr">
        <is>
          <t>Business Standard</t>
        </is>
      </c>
      <c r="E114" s="82" t="n">
        <v>0.359</v>
      </c>
      <c r="F114" s="52" t="inlineStr">
        <is>
          <t>Positive</t>
        </is>
      </c>
      <c r="G114" s="83" t="inlineStr">
        <is>
          <t>open ↗</t>
        </is>
      </c>
    </row>
    <row r="115">
      <c r="A115" s="52" t="inlineStr">
        <is>
          <t>RRKABEL</t>
        </is>
      </c>
      <c r="B115" s="52" t="inlineStr">
        <is>
          <t>2026-10-15 05:40</t>
        </is>
      </c>
      <c r="C115" s="52" t="inlineStr">
        <is>
          <t>What Comes Next For R R Kabel After A 82% Gain</t>
        </is>
      </c>
      <c r="D115" s="52" t="inlineStr">
        <is>
          <t>Simply Wall Street</t>
        </is>
      </c>
      <c r="E115" s="82" t="n">
        <v>0.34</v>
      </c>
      <c r="F115" s="52" t="inlineStr">
        <is>
          <t>Positive</t>
        </is>
      </c>
      <c r="G115" s="83" t="inlineStr">
        <is>
          <t>open ↗</t>
        </is>
      </c>
    </row>
    <row r="116">
      <c r="A116" s="52" t="inlineStr">
        <is>
          <t>MARKET</t>
        </is>
      </c>
      <c r="B116" s="52" t="inlineStr">
        <is>
          <t>2026-10-15 05:38</t>
        </is>
      </c>
      <c r="C116" s="52" t="inlineStr">
        <is>
          <t>Three Reasons Why Markets Are Rising Today: Sensex Spikes 1,300 Points, Nifty Eyes 23,000</t>
        </is>
      </c>
      <c r="D116" s="52" t="inlineStr">
        <is>
          <t>NDTV Profit</t>
        </is>
      </c>
      <c r="E116" s="82" t="n">
        <v>0.402</v>
      </c>
      <c r="F116" s="52" t="inlineStr">
        <is>
          <t>Positive</t>
        </is>
      </c>
      <c r="G116" s="83" t="inlineStr">
        <is>
          <t>open ↗</t>
        </is>
      </c>
    </row>
    <row r="117">
      <c r="A117" s="52" t="inlineStr">
        <is>
          <t>MARKET</t>
        </is>
      </c>
      <c r="B117" s="52" t="inlineStr">
        <is>
          <t>2026-10-15 05:02</t>
        </is>
      </c>
      <c r="C117" s="52" t="inlineStr">
        <is>
          <t>Sensex jumped 1,500 points despite global sell-off: Why markets rose today?</t>
        </is>
      </c>
      <c r="D117" s="52" t="inlineStr">
        <is>
          <t>India Today</t>
        </is>
      </c>
      <c r="E117" s="82" t="n">
        <v>0</v>
      </c>
      <c r="F117" s="52" t="inlineStr">
        <is>
          <t>Neutral</t>
        </is>
      </c>
      <c r="G117" s="83" t="inlineStr">
        <is>
          <t>open ↗</t>
        </is>
      </c>
    </row>
    <row r="118">
      <c r="A118" s="52" t="inlineStr">
        <is>
          <t>MARKET</t>
        </is>
      </c>
      <c r="B118" s="52" t="inlineStr">
        <is>
          <t>2026-10-15 04:59</t>
        </is>
      </c>
      <c r="C118" s="52" t="inlineStr">
        <is>
          <t>Bulls Return To Dalal Street! Sensex Jumps 1,534 Points, Nifty Surges To Nearly 3-Week High</t>
        </is>
      </c>
      <c r="D118" s="52" t="inlineStr">
        <is>
          <t>ETV Bharat</t>
        </is>
      </c>
      <c r="E118" s="82" t="n">
        <v>0.875</v>
      </c>
      <c r="F118" s="52" t="inlineStr">
        <is>
          <t>Positive</t>
        </is>
      </c>
      <c r="G118" s="83" t="inlineStr">
        <is>
          <t>open ↗</t>
        </is>
      </c>
    </row>
    <row r="119">
      <c r="A119" s="52" t="inlineStr">
        <is>
          <t>MARKET</t>
        </is>
      </c>
      <c r="B119" s="52" t="inlineStr">
        <is>
          <t>2026-10-15 04:42</t>
        </is>
      </c>
      <c r="C119" s="52" t="inlineStr">
        <is>
          <t>Stock markets rebound sharply in early trade led by IT firms</t>
        </is>
      </c>
      <c r="D119" s="52" t="inlineStr">
        <is>
          <t>Deccan Herald</t>
        </is>
      </c>
      <c r="E119" s="82" t="n">
        <v>0</v>
      </c>
      <c r="F119" s="52" t="inlineStr">
        <is>
          <t>Neutral</t>
        </is>
      </c>
      <c r="G119" s="83" t="inlineStr">
        <is>
          <t>open ↗</t>
        </is>
      </c>
    </row>
    <row r="120">
      <c r="A120" s="52" t="inlineStr">
        <is>
          <t>MARKET</t>
        </is>
      </c>
      <c r="B120" s="52" t="inlineStr">
        <is>
          <t>2026-10-15 04:39</t>
        </is>
      </c>
      <c r="C120" s="52" t="inlineStr">
        <is>
          <t>Stock Market Outlook Today 15 Oct: Sensex, Nifty Levels</t>
        </is>
      </c>
      <c r="D120" s="52" t="inlineStr">
        <is>
          <t>Univest</t>
        </is>
      </c>
      <c r="E120" s="82" t="n">
        <v>0.402</v>
      </c>
      <c r="F120" s="52" t="inlineStr">
        <is>
          <t>Positive</t>
        </is>
      </c>
      <c r="G120" s="83" t="inlineStr">
        <is>
          <t>open ↗</t>
        </is>
      </c>
    </row>
    <row r="121">
      <c r="A121" s="52" t="inlineStr">
        <is>
          <t>MARKET</t>
        </is>
      </c>
      <c r="B121" s="52" t="inlineStr">
        <is>
          <t>2026-10-15 04:37</t>
        </is>
      </c>
      <c r="C121" s="52" t="inlineStr">
        <is>
          <t>Sensex Today Trades Higher | Nifty Above 22,650 | Tata Tech Rallies 7%</t>
        </is>
      </c>
      <c r="D121" s="52" t="inlineStr">
        <is>
          <t>Equitymaster</t>
        </is>
      </c>
      <c r="E121" s="82" t="n">
        <v>0.6909999999999999</v>
      </c>
      <c r="F121" s="52" t="inlineStr">
        <is>
          <t>Positive</t>
        </is>
      </c>
      <c r="G121" s="83" t="inlineStr">
        <is>
          <t>open ↗</t>
        </is>
      </c>
    </row>
    <row r="122">
      <c r="A122" s="52" t="inlineStr">
        <is>
          <t>MARKET</t>
        </is>
      </c>
      <c r="B122" s="52" t="inlineStr">
        <is>
          <t>2026-10-15 04:33</t>
        </is>
      </c>
      <c r="C122" s="52" t="inlineStr">
        <is>
          <t>Why is stock market up today? Sensex jumps 1,534 points, Nifty ends at 22,997 - Top 3 reasons explained</t>
        </is>
      </c>
      <c r="D122" s="52" t="inlineStr">
        <is>
          <t>Livemint</t>
        </is>
      </c>
      <c r="E122" s="82" t="n">
        <v>0.758</v>
      </c>
      <c r="F122" s="52" t="inlineStr">
        <is>
          <t>Positive</t>
        </is>
      </c>
      <c r="G122" s="83" t="inlineStr">
        <is>
          <t>open ↗</t>
        </is>
      </c>
    </row>
    <row r="123">
      <c r="A123" s="52" t="inlineStr">
        <is>
          <t>MARKET</t>
        </is>
      </c>
      <c r="B123" s="52" t="inlineStr">
        <is>
          <t>2026-10-15 04:29</t>
        </is>
      </c>
      <c r="C123" s="52" t="inlineStr">
        <is>
          <t>Sensex on fire! 1,500-point rally puts bulls back in the driver’s seat. What just happened?</t>
        </is>
      </c>
      <c r="D123" s="52" t="inlineStr">
        <is>
          <t>The Economic Times</t>
        </is>
      </c>
      <c r="E123" s="82" t="n">
        <v>0.224</v>
      </c>
      <c r="F123" s="52" t="inlineStr">
        <is>
          <t>Positive</t>
        </is>
      </c>
      <c r="G123" s="83" t="inlineStr">
        <is>
          <t>open ↗</t>
        </is>
      </c>
    </row>
    <row r="124">
      <c r="A124" s="52" t="inlineStr">
        <is>
          <t>MARKET</t>
        </is>
      </c>
      <c r="B124" s="52" t="inlineStr">
        <is>
          <t>2026-10-15 04:14</t>
        </is>
      </c>
      <c r="C124" s="52" t="inlineStr">
        <is>
          <t>Sensex settles 1,500 pts higher, Nifty ends near 23,000: Buying in IT, financial shares among key reasons...</t>
        </is>
      </c>
      <c r="D124" s="52" t="inlineStr">
        <is>
          <t>Moneycontrol.com</t>
        </is>
      </c>
      <c r="E124" s="82" t="n">
        <v>0.402</v>
      </c>
      <c r="F124" s="52" t="inlineStr">
        <is>
          <t>Positive</t>
        </is>
      </c>
      <c r="G124" s="83" t="inlineStr">
        <is>
          <t>open ↗</t>
        </is>
      </c>
    </row>
    <row r="125">
      <c r="A125" s="52" t="inlineStr">
        <is>
          <t>MARKET</t>
        </is>
      </c>
      <c r="B125" s="52" t="inlineStr">
        <is>
          <t>2026-10-15 03:56</t>
        </is>
      </c>
      <c r="C125" s="52" t="inlineStr">
        <is>
          <t>SENSEX surges over 900 points, NIFTY50 above 22,900; Here are key things to know</t>
        </is>
      </c>
      <c r="D125" s="52" t="inlineStr">
        <is>
          <t>Upstox</t>
        </is>
      </c>
      <c r="E125" s="82" t="n">
        <v>0.494</v>
      </c>
      <c r="F125" s="52" t="inlineStr">
        <is>
          <t>Positive</t>
        </is>
      </c>
      <c r="G125" s="83" t="inlineStr">
        <is>
          <t>open ↗</t>
        </is>
      </c>
    </row>
    <row r="126">
      <c r="A126" s="52" t="inlineStr">
        <is>
          <t>MARKET</t>
        </is>
      </c>
      <c r="B126" s="52" t="inlineStr">
        <is>
          <t>2026-10-15 03:49</t>
        </is>
      </c>
      <c r="C126" s="52" t="inlineStr">
        <is>
          <t>Sensex, Nifty open higher as IT stocks rally, US inflation concerns cap gains</t>
        </is>
      </c>
      <c r="D126" s="52" t="inlineStr">
        <is>
          <t>India Today</t>
        </is>
      </c>
      <c r="E126" s="82" t="n">
        <v>0.8070000000000001</v>
      </c>
      <c r="F126" s="52" t="inlineStr">
        <is>
          <t>Positive</t>
        </is>
      </c>
      <c r="G126" s="83" t="inlineStr">
        <is>
          <t>open ↗</t>
        </is>
      </c>
    </row>
    <row r="127">
      <c r="A127" s="52" t="inlineStr">
        <is>
          <t>MARKET</t>
        </is>
      </c>
      <c r="B127" s="52" t="inlineStr">
        <is>
          <t>2026-10-15 03:47</t>
        </is>
      </c>
      <c r="C127" s="52" t="inlineStr">
        <is>
          <t>Stock market opening: Sensex over 400 points up, Nifty also in green | Business News</t>
        </is>
      </c>
      <c r="D127" s="52" t="inlineStr">
        <is>
          <t>Hindustan Times</t>
        </is>
      </c>
      <c r="E127" s="82" t="n">
        <v>0.402</v>
      </c>
      <c r="F127" s="52" t="inlineStr">
        <is>
          <t>Positive</t>
        </is>
      </c>
      <c r="G127" s="83" t="inlineStr">
        <is>
          <t>open ↗</t>
        </is>
      </c>
    </row>
    <row r="128">
      <c r="A128" s="52" t="inlineStr">
        <is>
          <t>MARKET</t>
        </is>
      </c>
      <c r="B128" s="52" t="inlineStr">
        <is>
          <t>2026-10-15 03:39</t>
        </is>
      </c>
      <c r="C128" s="52" t="inlineStr">
        <is>
          <t>Indian Stock Market Today: Sensex, Nifty, Global Cues</t>
        </is>
      </c>
      <c r="D128" s="52" t="inlineStr">
        <is>
          <t>HDFC Sky</t>
        </is>
      </c>
      <c r="E128" s="82" t="n">
        <v>0.402</v>
      </c>
      <c r="F128" s="52" t="inlineStr">
        <is>
          <t>Positive</t>
        </is>
      </c>
      <c r="G128" s="83" t="inlineStr">
        <is>
          <t>open ↗</t>
        </is>
      </c>
    </row>
    <row r="129">
      <c r="A129" s="52" t="inlineStr">
        <is>
          <t>MARKET</t>
        </is>
      </c>
      <c r="B129" s="52" t="inlineStr">
        <is>
          <t>2026-10-15 02:32</t>
        </is>
      </c>
      <c r="C129" s="52" t="inlineStr">
        <is>
          <t>Stock Market Today LIVE: GIFT Nifty signals muted start for Sensex, Nifty; Crude at $105</t>
        </is>
      </c>
      <c r="D129" s="52" t="inlineStr">
        <is>
          <t>IndiaIPO</t>
        </is>
      </c>
      <c r="E129" s="82" t="n">
        <v>0.652</v>
      </c>
      <c r="F129" s="52" t="inlineStr">
        <is>
          <t>Positive</t>
        </is>
      </c>
      <c r="G129" s="83" t="inlineStr">
        <is>
          <t>open ↗</t>
        </is>
      </c>
    </row>
    <row r="130">
      <c r="A130" s="52" t="inlineStr">
        <is>
          <t>E2E</t>
        </is>
      </c>
      <c r="B130" s="52" t="inlineStr">
        <is>
          <t>2026-10-15 02:23</t>
        </is>
      </c>
      <c r="C130" s="52" t="inlineStr">
        <is>
          <t>1:10 Stock Split Alert! L&amp;T Backed Small Cap Stock Fixes Stock Split Record Date | How To Get Eligible?</t>
        </is>
      </c>
      <c r="D130" s="52" t="inlineStr">
        <is>
          <t>Goodreturns</t>
        </is>
      </c>
      <c r="E130" s="82" t="n">
        <v>0.624</v>
      </c>
      <c r="F130" s="52" t="inlineStr">
        <is>
          <t>Positive</t>
        </is>
      </c>
      <c r="G130" s="83" t="inlineStr">
        <is>
          <t>open ↗</t>
        </is>
      </c>
    </row>
    <row r="131">
      <c r="A131" s="52" t="inlineStr">
        <is>
          <t>MARKET</t>
        </is>
      </c>
      <c r="B131" s="52" t="inlineStr">
        <is>
          <t>2026-10-15 01:22</t>
        </is>
      </c>
      <c r="C131" s="52" t="inlineStr">
        <is>
          <t>Stock Market Today: Gift Nifty, US Inflation To Gold Rate; Five Key Factors For Sensex, Nifty 50 On Oct 15</t>
        </is>
      </c>
      <c r="D131" s="52" t="inlineStr">
        <is>
          <t>NDTV Profit</t>
        </is>
      </c>
      <c r="E131" s="82" t="n">
        <v>0.8070000000000001</v>
      </c>
      <c r="F131" s="52" t="inlineStr">
        <is>
          <t>Positive</t>
        </is>
      </c>
      <c r="G131" s="83" t="inlineStr">
        <is>
          <t>open ↗</t>
        </is>
      </c>
    </row>
    <row r="132">
      <c r="A132" s="52" t="inlineStr">
        <is>
          <t>MARKET</t>
        </is>
      </c>
      <c r="B132" s="52" t="inlineStr">
        <is>
          <t>2026-10-15 01:19</t>
        </is>
      </c>
      <c r="C132" s="52" t="inlineStr">
        <is>
          <t>Stock market outlook today, 15 Oct: Sensex, Nifty prediction - DJIA, S&amp;P, NASDAQ, GIFT Nifty, Kospi, Nikkei, Taiwan cues</t>
        </is>
      </c>
      <c r="D132" s="52" t="inlineStr">
        <is>
          <t>Livemint</t>
        </is>
      </c>
      <c r="E132" s="82" t="n">
        <v>0.842</v>
      </c>
      <c r="F132" s="52" t="inlineStr">
        <is>
          <t>Positive</t>
        </is>
      </c>
      <c r="G132" s="83" t="inlineStr">
        <is>
          <t>open ↗</t>
        </is>
      </c>
    </row>
    <row r="133">
      <c r="A133" s="52" t="inlineStr">
        <is>
          <t>MARKET</t>
        </is>
      </c>
      <c r="B133" s="52" t="inlineStr">
        <is>
          <t>2026-10-14 15:51</t>
        </is>
      </c>
      <c r="C133" s="52" t="inlineStr">
        <is>
          <t>Ahead of Market: 10 things that will decide stock market action on Thursday</t>
        </is>
      </c>
      <c r="D133" s="52" t="inlineStr">
        <is>
          <t>The Economic Times</t>
        </is>
      </c>
      <c r="E133" s="82" t="n">
        <v>0</v>
      </c>
      <c r="F133" s="52" t="inlineStr">
        <is>
          <t>Neutral</t>
        </is>
      </c>
      <c r="G133" s="83" t="inlineStr">
        <is>
          <t>open ↗</t>
        </is>
      </c>
    </row>
    <row r="134">
      <c r="A134" s="52" t="inlineStr">
        <is>
          <t>LAURUSLABS</t>
        </is>
      </c>
      <c r="B134" s="52" t="inlineStr">
        <is>
          <t>2026-10-14 14:57</t>
        </is>
      </c>
      <c r="C134" s="52" t="inlineStr">
        <is>
          <t>Laurus Labs invests ₹1,078 crore in Krka Pharma, retains 49% stake</t>
        </is>
      </c>
      <c r="D134" s="52" t="inlineStr">
        <is>
          <t>scanx.trade</t>
        </is>
      </c>
      <c r="E134" s="82" t="n">
        <v>0</v>
      </c>
      <c r="F134" s="52" t="inlineStr">
        <is>
          <t>Neutral</t>
        </is>
      </c>
      <c r="G134" s="83" t="inlineStr">
        <is>
          <t>open ↗</t>
        </is>
      </c>
    </row>
    <row r="135">
      <c r="A135" s="52" t="inlineStr">
        <is>
          <t>LAURUSLABS</t>
        </is>
      </c>
      <c r="B135" s="52" t="inlineStr">
        <is>
          <t>2026-10-14 14:37</t>
        </is>
      </c>
      <c r="C135" s="52" t="inlineStr">
        <is>
          <t>Laurus Labs KRKA Pharma Investment: Rs 107.8 Crore Rights Issue</t>
        </is>
      </c>
      <c r="D135" s="52" t="inlineStr">
        <is>
          <t>Kalkine India</t>
        </is>
      </c>
      <c r="E135" s="82" t="n">
        <v>0</v>
      </c>
      <c r="F135" s="52" t="inlineStr">
        <is>
          <t>Neutral</t>
        </is>
      </c>
      <c r="G135" s="83" t="inlineStr">
        <is>
          <t>open ↗</t>
        </is>
      </c>
    </row>
    <row r="136">
      <c r="A136" s="52" t="inlineStr">
        <is>
          <t>KIRLOSENG</t>
        </is>
      </c>
      <c r="B136" s="52" t="inlineStr">
        <is>
          <t>2026-10-14 13:22</t>
        </is>
      </c>
      <c r="C136" s="52" t="inlineStr">
        <is>
          <t>Kirloskar Oil Engines NSE:KIRLOSENG Reg 74(5) Certificate Q2 FY27</t>
        </is>
      </c>
      <c r="D136" s="52" t="inlineStr">
        <is>
          <t>Kalkine India</t>
        </is>
      </c>
      <c r="E136" s="82" t="n">
        <v>0</v>
      </c>
      <c r="F136" s="52" t="inlineStr">
        <is>
          <t>Neutral</t>
        </is>
      </c>
      <c r="G136" s="83" t="inlineStr">
        <is>
          <t>open ↗</t>
        </is>
      </c>
    </row>
    <row r="137">
      <c r="A137" s="52" t="inlineStr">
        <is>
          <t>MARKET</t>
        </is>
      </c>
      <c r="B137" s="52" t="inlineStr">
        <is>
          <t>2026-10-14 10:50</t>
        </is>
      </c>
      <c r="C137" s="52" t="inlineStr">
        <is>
          <t>Indian Stocks Dip: Inflation &amp; Crude Oil Weigh on Markets</t>
        </is>
      </c>
      <c r="D137" s="52" t="inlineStr">
        <is>
          <t>Rediff MoneyWiz</t>
        </is>
      </c>
      <c r="E137" s="82" t="n">
        <v>-0.572</v>
      </c>
      <c r="F137" s="52" t="inlineStr">
        <is>
          <t>Negative</t>
        </is>
      </c>
      <c r="G137" s="83" t="inlineStr">
        <is>
          <t>open ↗</t>
        </is>
      </c>
    </row>
    <row r="138">
      <c r="A138" s="52" t="inlineStr">
        <is>
          <t>MARKET</t>
        </is>
      </c>
      <c r="B138" s="52" t="inlineStr">
        <is>
          <t>2026-10-14 10:25</t>
        </is>
      </c>
      <c r="C138" s="52" t="inlineStr">
        <is>
          <t>Sensex Today Ends 252 Points Lower | Nifty Below 22,650 | LIC Housing Finance Down 5%</t>
        </is>
      </c>
      <c r="D138" s="52" t="inlineStr">
        <is>
          <t>Equitymaster</t>
        </is>
      </c>
      <c r="E138" s="82" t="n">
        <v>0.226</v>
      </c>
      <c r="F138" s="52" t="inlineStr">
        <is>
          <t>Positive</t>
        </is>
      </c>
      <c r="G138" s="83" t="inlineStr">
        <is>
          <t>open ↗</t>
        </is>
      </c>
    </row>
    <row r="139">
      <c r="A139" s="52" t="inlineStr">
        <is>
          <t>MARKET</t>
        </is>
      </c>
      <c r="B139" s="52" t="inlineStr">
        <is>
          <t>2026-10-14 10:05</t>
        </is>
      </c>
      <c r="C139" s="52" t="inlineStr">
        <is>
          <t>Sensex, Nifty snap winning streak, end lower as crude oil tops $106</t>
        </is>
      </c>
      <c r="D139" s="52" t="inlineStr">
        <is>
          <t>India Today</t>
        </is>
      </c>
      <c r="E139" s="82" t="n">
        <v>0.599</v>
      </c>
      <c r="F139" s="52" t="inlineStr">
        <is>
          <t>Positive</t>
        </is>
      </c>
      <c r="G139" s="83" t="inlineStr">
        <is>
          <t>open ↗</t>
        </is>
      </c>
    </row>
    <row r="140">
      <c r="A140" s="52" t="inlineStr">
        <is>
          <t>AEROFLEX</t>
        </is>
      </c>
      <c r="B140" s="52" t="inlineStr">
        <is>
          <t>2026-10-14 09:56</t>
        </is>
      </c>
      <c r="C140" s="52" t="inlineStr">
        <is>
          <t>Aeroflex Industries Rs 202 Crore Capex Plan by March 2028</t>
        </is>
      </c>
      <c r="D140" s="52" t="inlineStr">
        <is>
          <t>Kalkine India</t>
        </is>
      </c>
      <c r="E140" s="82" t="n">
        <v>0</v>
      </c>
      <c r="F140" s="52" t="inlineStr">
        <is>
          <t>Neutral</t>
        </is>
      </c>
      <c r="G140" s="83" t="inlineStr">
        <is>
          <t>open ↗</t>
        </is>
      </c>
    </row>
    <row r="141">
      <c r="A141" s="52" t="inlineStr">
        <is>
          <t>AEROFLEX</t>
        </is>
      </c>
      <c r="B141" s="52" t="inlineStr">
        <is>
          <t>2026-10-14 09:28</t>
        </is>
      </c>
      <c r="C141" s="52" t="inlineStr">
        <is>
          <t>Aeroflex Industries shares rally 10% to 52-week high as board approves capacity expansion plan; check details</t>
        </is>
      </c>
      <c r="D141" s="52" t="inlineStr">
        <is>
          <t>Upstox</t>
        </is>
      </c>
      <c r="E141" s="82" t="n">
        <v>0.836</v>
      </c>
      <c r="F141" s="52" t="inlineStr">
        <is>
          <t>Positive</t>
        </is>
      </c>
      <c r="G141" s="83" t="inlineStr">
        <is>
          <t>open ↗</t>
        </is>
      </c>
    </row>
    <row r="142">
      <c r="A142" s="52" t="inlineStr">
        <is>
          <t>AEROFLEX</t>
        </is>
      </c>
      <c r="B142" s="52" t="inlineStr">
        <is>
          <t>2026-10-14 09:14</t>
        </is>
      </c>
      <c r="C142" s="52" t="inlineStr">
        <is>
          <t>Aeroflex Industries Share Price news and valuation view</t>
        </is>
      </c>
      <c r="D142" s="52" t="inlineStr">
        <is>
          <t>Univest</t>
        </is>
      </c>
      <c r="E142" s="82" t="n">
        <v>0</v>
      </c>
      <c r="F142" s="52" t="inlineStr">
        <is>
          <t>Neutral</t>
        </is>
      </c>
      <c r="G142" s="83" t="inlineStr">
        <is>
          <t>open ↗</t>
        </is>
      </c>
    </row>
    <row r="143">
      <c r="A143" s="52" t="inlineStr">
        <is>
          <t>LAURUSLABS</t>
        </is>
      </c>
      <c r="B143" s="52" t="inlineStr">
        <is>
          <t>2026-10-14 08:02</t>
        </is>
      </c>
      <c r="C143" s="52" t="inlineStr">
        <is>
          <t>Laurus Labs Ltd. (LAURUSLABS) 52 Week High Streak: Sixth Session Near Peak</t>
        </is>
      </c>
      <c r="D143" s="52" t="inlineStr">
        <is>
          <t>Univest</t>
        </is>
      </c>
      <c r="E143" s="82" t="n">
        <v>0.202</v>
      </c>
      <c r="F143" s="52" t="inlineStr">
        <is>
          <t>Positive</t>
        </is>
      </c>
      <c r="G143" s="83" t="inlineStr">
        <is>
          <t>open ↗</t>
        </is>
      </c>
    </row>
    <row r="144">
      <c r="A144" s="52" t="inlineStr">
        <is>
          <t>RRKABEL</t>
        </is>
      </c>
      <c r="B144" s="52" t="inlineStr">
        <is>
          <t>2026-10-14 07:00</t>
        </is>
      </c>
      <c r="C144" s="52" t="inlineStr">
        <is>
          <t>R R Kabel (NSEI:RRKABEL) Stock Forecast &amp; Analyst Predictions</t>
        </is>
      </c>
      <c r="D144" s="52" t="inlineStr">
        <is>
          <t>Simply Wall Street</t>
        </is>
      </c>
      <c r="E144" s="82" t="n">
        <v>0</v>
      </c>
      <c r="F144" s="52" t="inlineStr">
        <is>
          <t>Neutral</t>
        </is>
      </c>
      <c r="G144" s="83" t="inlineStr">
        <is>
          <t>open ↗</t>
        </is>
      </c>
    </row>
    <row r="145">
      <c r="A145" s="52" t="inlineStr">
        <is>
          <t>RRKABEL</t>
        </is>
      </c>
      <c r="B145" s="52" t="inlineStr">
        <is>
          <t>2026-10-14 07:00</t>
        </is>
      </c>
      <c r="C145" s="52" t="inlineStr">
        <is>
          <t>RR Kabel Share Price update: Rs 2,680.20 and key ratios</t>
        </is>
      </c>
      <c r="D145" s="52" t="inlineStr">
        <is>
          <t>Univest</t>
        </is>
      </c>
      <c r="E145" s="82" t="n">
        <v>0</v>
      </c>
      <c r="F145" s="52" t="inlineStr">
        <is>
          <t>Neutral</t>
        </is>
      </c>
      <c r="G145" s="83" t="inlineStr">
        <is>
          <t>open ↗</t>
        </is>
      </c>
    </row>
    <row r="146">
      <c r="A146" s="52" t="inlineStr">
        <is>
          <t>E2E</t>
        </is>
      </c>
      <c r="B146" s="52" t="inlineStr">
        <is>
          <t>2026-10-14 07:00</t>
        </is>
      </c>
      <c r="C146" s="52" t="inlineStr">
        <is>
          <t>Larsen &amp; Toubro (NSEI:LT) Stock Forecast &amp; Analyst Predictions</t>
        </is>
      </c>
      <c r="D146" s="52" t="inlineStr">
        <is>
          <t>Simply Wall Street</t>
        </is>
      </c>
      <c r="E146" s="82" t="n">
        <v>0</v>
      </c>
      <c r="F146" s="52" t="inlineStr">
        <is>
          <t>Neutral</t>
        </is>
      </c>
      <c r="G146" s="83" t="inlineStr">
        <is>
          <t>open ↗</t>
        </is>
      </c>
    </row>
    <row r="147">
      <c r="A147" s="52" t="inlineStr">
        <is>
          <t>MARKET</t>
        </is>
      </c>
      <c r="B147" s="52" t="inlineStr">
        <is>
          <t>2026-10-14 07:00</t>
        </is>
      </c>
      <c r="C147" s="52" t="inlineStr">
        <is>
          <t>Sensex Today | Stock Market LIVE Updates: Nifty below 22,700, Sensex flat; Nestle, Infosys, Coal Ind</t>
        </is>
      </c>
      <c r="D147" s="52" t="inlineStr">
        <is>
          <t>IndiaIPO</t>
        </is>
      </c>
      <c r="E147" s="82" t="n">
        <v>0.402</v>
      </c>
      <c r="F147" s="52" t="inlineStr">
        <is>
          <t>Positive</t>
        </is>
      </c>
      <c r="G147" s="83" t="inlineStr">
        <is>
          <t>open ↗</t>
        </is>
      </c>
    </row>
    <row r="148">
      <c r="A148" s="52" t="inlineStr">
        <is>
          <t>MARKET</t>
        </is>
      </c>
      <c r="B148" s="52" t="inlineStr">
        <is>
          <t>2026-10-14 07:00</t>
        </is>
      </c>
      <c r="C148" s="52" t="inlineStr">
        <is>
          <t>Sensex falls 252 points, Nifty settles below 22,650; Bajaj Finance, M&amp;M see big cut</t>
        </is>
      </c>
      <c r="D148" s="52" t="inlineStr">
        <is>
          <t>IndiaIPO</t>
        </is>
      </c>
      <c r="E148" s="82" t="n">
        <v>-0.25</v>
      </c>
      <c r="F148" s="52" t="inlineStr">
        <is>
          <t>Negative</t>
        </is>
      </c>
      <c r="G148" s="83" t="inlineStr">
        <is>
          <t>open ↗</t>
        </is>
      </c>
    </row>
    <row r="149">
      <c r="A149" s="52" t="inlineStr">
        <is>
          <t>MARKET</t>
        </is>
      </c>
      <c r="B149" s="52" t="inlineStr">
        <is>
          <t>2026-10-14 05:23</t>
        </is>
      </c>
      <c r="C149" s="52" t="inlineStr">
        <is>
          <t>Stock Markets Today: Sensex, Nifty Pared Early Losses in Volatile Trade</t>
        </is>
      </c>
      <c r="D149" s="52" t="inlineStr">
        <is>
          <t>Rediff</t>
        </is>
      </c>
      <c r="E149" s="82" t="n">
        <v>-0.026</v>
      </c>
      <c r="F149" s="52" t="inlineStr">
        <is>
          <t>Neutral</t>
        </is>
      </c>
      <c r="G149" s="83" t="inlineStr">
        <is>
          <t>open ↗</t>
        </is>
      </c>
    </row>
    <row r="150">
      <c r="A150" s="52" t="inlineStr">
        <is>
          <t>MARKET</t>
        </is>
      </c>
      <c r="B150" s="52" t="inlineStr">
        <is>
          <t>2026-10-14 05:18</t>
        </is>
      </c>
      <c r="C150" s="52" t="inlineStr">
        <is>
          <t>Stock Market Today: Sensex, Nifty Settle Lower As WPI inflation Rises</t>
        </is>
      </c>
      <c r="D150" s="52" t="inlineStr">
        <is>
          <t>ETV Bharat</t>
        </is>
      </c>
      <c r="E150" s="82" t="n">
        <v>0.226</v>
      </c>
      <c r="F150" s="52" t="inlineStr">
        <is>
          <t>Positive</t>
        </is>
      </c>
      <c r="G150" s="83" t="inlineStr">
        <is>
          <t>open ↗</t>
        </is>
      </c>
    </row>
    <row r="151">
      <c r="A151" s="52" t="inlineStr">
        <is>
          <t>MARKET</t>
        </is>
      </c>
      <c r="B151" s="52" t="inlineStr">
        <is>
          <t>2026-10-14 04:43</t>
        </is>
      </c>
      <c r="C151" s="52" t="inlineStr">
        <is>
          <t>Sensex, Nifty recover after weak opening amid hopes of LTCG tax relief</t>
        </is>
      </c>
      <c r="D151" s="52" t="inlineStr">
        <is>
          <t>ChiniMandi</t>
        </is>
      </c>
      <c r="E151" s="82" t="n">
        <v>0.718</v>
      </c>
      <c r="F151" s="52" t="inlineStr">
        <is>
          <t>Positive</t>
        </is>
      </c>
      <c r="G151" s="83" t="inlineStr">
        <is>
          <t>open ↗</t>
        </is>
      </c>
    </row>
    <row r="152">
      <c r="A152" s="52" t="inlineStr">
        <is>
          <t>MARKET</t>
        </is>
      </c>
      <c r="B152" s="52" t="inlineStr">
        <is>
          <t>2026-10-14 04:38</t>
        </is>
      </c>
      <c r="C152" s="52" t="inlineStr">
        <is>
          <t>Sensex Today Trades Lower | Nifty Below 22,700 | Shriram Finance &amp; Polycab India Top Losers</t>
        </is>
      </c>
      <c r="D152" s="52" t="inlineStr">
        <is>
          <t>Equitymaster</t>
        </is>
      </c>
      <c r="E152" s="82" t="n">
        <v>-0.178</v>
      </c>
      <c r="F152" s="52" t="inlineStr">
        <is>
          <t>Neutral</t>
        </is>
      </c>
      <c r="G152" s="83" t="inlineStr">
        <is>
          <t>open ↗</t>
        </is>
      </c>
    </row>
    <row r="153">
      <c r="A153" s="52" t="inlineStr">
        <is>
          <t>LAURUSLABS</t>
        </is>
      </c>
      <c r="B153" s="52" t="inlineStr">
        <is>
          <t>2026-10-13 12:46</t>
        </is>
      </c>
      <c r="C153" s="52" t="inlineStr">
        <is>
          <t>Laurus Labs schedules Q2 FY27 earnings call for October 29</t>
        </is>
      </c>
      <c r="D153" s="52" t="inlineStr">
        <is>
          <t>scanx.trade</t>
        </is>
      </c>
      <c r="E153" s="82" t="n">
        <v>0</v>
      </c>
      <c r="F153" s="52" t="inlineStr">
        <is>
          <t>Neutral</t>
        </is>
      </c>
      <c r="G153" s="83" t="inlineStr">
        <is>
          <t>open ↗</t>
        </is>
      </c>
    </row>
    <row r="154">
      <c r="A154" s="52" t="inlineStr">
        <is>
          <t>MARKET</t>
        </is>
      </c>
      <c r="B154" s="52" t="inlineStr">
        <is>
          <t>2026-10-13 12:19</t>
        </is>
      </c>
      <c r="C154" s="52" t="inlineStr">
        <is>
          <t>Late rally: Sensex jumps 1,110 points, Nifty over 22,700: 5 factors behind market rise; these stocks rebound after UPI</t>
        </is>
      </c>
      <c r="D154" s="52" t="inlineStr">
        <is>
          <t>Livemint</t>
        </is>
      </c>
      <c r="E154" s="82" t="n">
        <v>0.827</v>
      </c>
      <c r="F154" s="52" t="inlineStr">
        <is>
          <t>Positive</t>
        </is>
      </c>
      <c r="G154" s="83" t="inlineStr">
        <is>
          <t>open ↗</t>
        </is>
      </c>
    </row>
    <row r="155">
      <c r="A155" s="52" t="inlineStr">
        <is>
          <t>MARKET</t>
        </is>
      </c>
      <c r="B155" s="52" t="inlineStr">
        <is>
          <t>2026-10-13 11:55</t>
        </is>
      </c>
      <c r="C155" s="52" t="inlineStr">
        <is>
          <t>Sensex Jumps Over 1,100 Points, Rupee Rallies. Why Markets Went Up Today</t>
        </is>
      </c>
      <c r="D155" s="52" t="inlineStr">
        <is>
          <t>NDTV</t>
        </is>
      </c>
      <c r="E155" s="82" t="n">
        <v>0.718</v>
      </c>
      <c r="F155" s="52" t="inlineStr">
        <is>
          <t>Positive</t>
        </is>
      </c>
      <c r="G155" s="83" t="inlineStr">
        <is>
          <t>open ↗</t>
        </is>
      </c>
    </row>
    <row r="156">
      <c r="A156" s="52" t="inlineStr">
        <is>
          <t>LAURUSLABS</t>
        </is>
      </c>
      <c r="B156" s="52" t="inlineStr">
        <is>
          <t>2026-10-13 11:20</t>
        </is>
      </c>
      <c r="C156" s="52" t="inlineStr">
        <is>
          <t>Laurus Labs Q2 H1 FY27 Earnings Conference Call Date</t>
        </is>
      </c>
      <c r="D156" s="52" t="inlineStr">
        <is>
          <t>Kalkine India</t>
        </is>
      </c>
      <c r="E156" s="82" t="n">
        <v>0</v>
      </c>
      <c r="F156" s="52" t="inlineStr">
        <is>
          <t>Neutral</t>
        </is>
      </c>
      <c r="G156" s="83" t="inlineStr">
        <is>
          <t>open ↗</t>
        </is>
      </c>
    </row>
    <row r="157">
      <c r="A157" s="52" t="inlineStr">
        <is>
          <t>E2E</t>
        </is>
      </c>
      <c r="B157" s="52" t="inlineStr">
        <is>
          <t>2026-10-13 09:19</t>
        </is>
      </c>
      <c r="C157" s="52" t="inlineStr">
        <is>
          <t>Hitachi Energy, E2E Networks, Anant Raj, other AI-linked stocks slide up to 5% as global AI rout hits Indi</t>
        </is>
      </c>
      <c r="D157" s="52" t="inlineStr">
        <is>
          <t>The Economic Times</t>
        </is>
      </c>
      <c r="E157" s="82" t="n">
        <v>0.128</v>
      </c>
      <c r="F157" s="52" t="inlineStr">
        <is>
          <t>Neutral</t>
        </is>
      </c>
      <c r="G157" s="83" t="inlineStr">
        <is>
          <t>open ↗</t>
        </is>
      </c>
    </row>
    <row r="158">
      <c r="A158" s="52" t="inlineStr">
        <is>
          <t>RRKABEL</t>
        </is>
      </c>
      <c r="B158" s="52" t="inlineStr">
        <is>
          <t>2026-10-13 08:33</t>
        </is>
      </c>
      <c r="C158" s="52" t="inlineStr">
        <is>
          <t>Cable &amp; Wire stocks: Polycab, KEI, R R Kabel, Quadrant Future slip up to 5%</t>
        </is>
      </c>
      <c r="D158" s="52" t="inlineStr">
        <is>
          <t>Business Standard</t>
        </is>
      </c>
      <c r="E158" s="82" t="n">
        <v>-0.34</v>
      </c>
      <c r="F158" s="52" t="inlineStr">
        <is>
          <t>Negative</t>
        </is>
      </c>
      <c r="G158" s="83" t="inlineStr">
        <is>
          <t>open ↗</t>
        </is>
      </c>
    </row>
    <row r="159">
      <c r="A159" s="52" t="inlineStr">
        <is>
          <t>E2E</t>
        </is>
      </c>
      <c r="B159" s="52" t="inlineStr">
        <is>
          <t>2026-10-13 07:46</t>
        </is>
      </c>
      <c r="C159" s="52" t="inlineStr">
        <is>
          <t>E2E Networks, Hitachi Energy India, other AI-related stocks fall up to 5% amid global AI jitters</t>
        </is>
      </c>
      <c r="D159" s="52" t="inlineStr">
        <is>
          <t>Moneycontrol.com</t>
        </is>
      </c>
      <c r="E159" s="82" t="n">
        <v>-0.077</v>
      </c>
      <c r="F159" s="52" t="inlineStr">
        <is>
          <t>Neutral</t>
        </is>
      </c>
      <c r="G159" s="83" t="inlineStr">
        <is>
          <t>open ↗</t>
        </is>
      </c>
    </row>
    <row r="160">
      <c r="A160" s="52" t="inlineStr">
        <is>
          <t>ATHERENERG</t>
        </is>
      </c>
      <c r="B160" s="52" t="inlineStr">
        <is>
          <t>2026-10-13 07:00</t>
        </is>
      </c>
      <c r="C160" s="52" t="inlineStr">
        <is>
          <t>Ather Energy Share Price News: Valuation and Sector View</t>
        </is>
      </c>
      <c r="D160" s="52" t="inlineStr">
        <is>
          <t>Univest</t>
        </is>
      </c>
      <c r="E160" s="82" t="n">
        <v>0.273</v>
      </c>
      <c r="F160" s="52" t="inlineStr">
        <is>
          <t>Positive</t>
        </is>
      </c>
      <c r="G160" s="83" t="inlineStr">
        <is>
          <t>open ↗</t>
        </is>
      </c>
    </row>
    <row r="161">
      <c r="A161" s="52" t="inlineStr">
        <is>
          <t>LAURUSLABS</t>
        </is>
      </c>
      <c r="B161" s="52" t="inlineStr">
        <is>
          <t>2026-10-13 07:00</t>
        </is>
      </c>
      <c r="C161" s="52" t="inlineStr">
        <is>
          <t>Laurus Labs Share Price Today: Large Cap Declines 2.41%</t>
        </is>
      </c>
      <c r="D161" s="52" t="inlineStr">
        <is>
          <t>Univest</t>
        </is>
      </c>
      <c r="E161" s="82" t="n">
        <v>-0.382</v>
      </c>
      <c r="F161" s="52" t="inlineStr">
        <is>
          <t>Negative</t>
        </is>
      </c>
      <c r="G161" s="83" t="inlineStr">
        <is>
          <t>open ↗</t>
        </is>
      </c>
    </row>
    <row r="162">
      <c r="A162" s="52" t="inlineStr">
        <is>
          <t>MARKET</t>
        </is>
      </c>
      <c r="B162" s="52" t="inlineStr">
        <is>
          <t>2026-10-13 07:00</t>
        </is>
      </c>
      <c r="C162" s="52" t="inlineStr">
        <is>
          <t>Closing Bell: Markets rebound; Nifty above 22,700, Sensex jumps 1,100 pts</t>
        </is>
      </c>
      <c r="D162" s="52" t="inlineStr">
        <is>
          <t>IndiaIPO</t>
        </is>
      </c>
      <c r="E162" s="82" t="n">
        <v>0.6909999999999999</v>
      </c>
      <c r="F162" s="52" t="inlineStr">
        <is>
          <t>Positive</t>
        </is>
      </c>
      <c r="G162" s="83" t="inlineStr">
        <is>
          <t>open ↗</t>
        </is>
      </c>
    </row>
    <row r="163">
      <c r="A163" s="52" t="inlineStr">
        <is>
          <t>AEROFLEX</t>
        </is>
      </c>
      <c r="B163" s="52" t="inlineStr">
        <is>
          <t>2026-10-13 06:55</t>
        </is>
      </c>
      <c r="C163" s="52" t="inlineStr">
        <is>
          <t>Aeroflex Enterprises AEROENTER NSE Price Movement Clarification</t>
        </is>
      </c>
      <c r="D163" s="52" t="inlineStr">
        <is>
          <t>Kalkine India</t>
        </is>
      </c>
      <c r="E163" s="82" t="n">
        <v>0</v>
      </c>
      <c r="F163" s="52" t="inlineStr">
        <is>
          <t>Neutral</t>
        </is>
      </c>
      <c r="G163" s="83" t="inlineStr">
        <is>
          <t>open ↗</t>
        </is>
      </c>
    </row>
    <row r="164">
      <c r="A164" s="52" t="inlineStr">
        <is>
          <t>MARKET</t>
        </is>
      </c>
      <c r="B164" s="52" t="inlineStr">
        <is>
          <t>2026-10-13 04:26</t>
        </is>
      </c>
      <c r="C164" s="52" t="inlineStr">
        <is>
          <t>Why did market rally today? Sensex surges 1,100 points, Nifty closes above 22,700. 5 key factors behind D-</t>
        </is>
      </c>
      <c r="D164" s="52" t="inlineStr">
        <is>
          <t>The Economic Times</t>
        </is>
      </c>
      <c r="E164" s="82" t="n">
        <v>0.836</v>
      </c>
      <c r="F164" s="52" t="inlineStr">
        <is>
          <t>Positive</t>
        </is>
      </c>
      <c r="G164" s="83" t="inlineStr">
        <is>
          <t>open ↗</t>
        </is>
      </c>
    </row>
    <row r="165">
      <c r="A165" s="52" t="inlineStr">
        <is>
          <t>ATHERENERG</t>
        </is>
      </c>
      <c r="B165" s="52" t="inlineStr">
        <is>
          <t>2026-10-13 03:06</t>
        </is>
      </c>
      <c r="C165" s="52" t="inlineStr">
        <is>
          <t>Nomura on autos: EV penetration to decide stock returns, picks Ather, M&amp;M</t>
        </is>
      </c>
      <c r="D165" s="52" t="inlineStr">
        <is>
          <t>Business Upturn</t>
        </is>
      </c>
      <c r="E165" s="82" t="n">
        <v>0</v>
      </c>
      <c r="F165" s="52" t="inlineStr">
        <is>
          <t>Neutral</t>
        </is>
      </c>
      <c r="G165" s="83" t="inlineStr">
        <is>
          <t>open ↗</t>
        </is>
      </c>
    </row>
    <row r="166">
      <c r="A166" s="52" t="inlineStr">
        <is>
          <t>RRKABEL</t>
        </is>
      </c>
      <c r="B166" s="52" t="inlineStr">
        <is>
          <t>2026-10-13 02:13</t>
        </is>
      </c>
      <c r="C166" s="52" t="inlineStr">
        <is>
          <t>A high-conviction Indian materials pick is up 19.79% since our models flagged it</t>
        </is>
      </c>
      <c r="D166" s="52" t="inlineStr">
        <is>
          <t>Investing.com India</t>
        </is>
      </c>
      <c r="E166" s="82" t="n">
        <v>0</v>
      </c>
      <c r="F166" s="52" t="inlineStr">
        <is>
          <t>Neutral</t>
        </is>
      </c>
      <c r="G166" s="83" t="inlineStr">
        <is>
          <t>open ↗</t>
        </is>
      </c>
    </row>
    <row r="167">
      <c r="A167" s="52" t="inlineStr">
        <is>
          <t>MARKET</t>
        </is>
      </c>
      <c r="B167" s="52" t="inlineStr">
        <is>
          <t>2026-10-13 01:15</t>
        </is>
      </c>
      <c r="C167" s="52" t="inlineStr">
        <is>
          <t>Stock market outlook today, 13 Oct: Sensex, Nifty prediction - DJIA, S&amp;P, NASDAQ, GIFT Nifty, Kospi, Nikkei, Taiwan cues</t>
        </is>
      </c>
      <c r="D167" s="52" t="inlineStr">
        <is>
          <t>Livemint</t>
        </is>
      </c>
      <c r="E167" s="82" t="n">
        <v>0.842</v>
      </c>
      <c r="F167" s="52" t="inlineStr">
        <is>
          <t>Positive</t>
        </is>
      </c>
      <c r="G167" s="83" t="inlineStr">
        <is>
          <t>open ↗</t>
        </is>
      </c>
    </row>
  </sheetData>
  <mergeCells count="2">
    <mergeCell ref="A2:G2"/>
    <mergeCell ref="A1:G1"/>
  </mergeCells>
  <conditionalFormatting sqref="E5:E167">
    <cfRule type="colorScale" priority="1">
      <colorScale>
        <cfvo type="num" val="-1"/>
        <cfvo type="num" val="0"/>
        <cfvo type="num" val="1"/>
        <color rgb="00F8696B"/>
        <color rgb="00FFFFFF"/>
        <color rgb="0063BE7B"/>
      </colorScale>
    </cfRule>
  </conditionalFormatting>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 xmlns:r="http://schemas.openxmlformats.org/officeDocument/2006/relationships" ref="G132" r:id="rId128"/>
    <hyperlink xmlns:r="http://schemas.openxmlformats.org/officeDocument/2006/relationships" ref="G133" r:id="rId129"/>
    <hyperlink xmlns:r="http://schemas.openxmlformats.org/officeDocument/2006/relationships" ref="G134" r:id="rId130"/>
    <hyperlink xmlns:r="http://schemas.openxmlformats.org/officeDocument/2006/relationships" ref="G135" r:id="rId131"/>
    <hyperlink xmlns:r="http://schemas.openxmlformats.org/officeDocument/2006/relationships" ref="G136" r:id="rId132"/>
    <hyperlink xmlns:r="http://schemas.openxmlformats.org/officeDocument/2006/relationships" ref="G137" r:id="rId133"/>
    <hyperlink xmlns:r="http://schemas.openxmlformats.org/officeDocument/2006/relationships" ref="G138" r:id="rId134"/>
    <hyperlink xmlns:r="http://schemas.openxmlformats.org/officeDocument/2006/relationships" ref="G139" r:id="rId135"/>
    <hyperlink xmlns:r="http://schemas.openxmlformats.org/officeDocument/2006/relationships" ref="G140" r:id="rId136"/>
    <hyperlink xmlns:r="http://schemas.openxmlformats.org/officeDocument/2006/relationships" ref="G141" r:id="rId137"/>
    <hyperlink xmlns:r="http://schemas.openxmlformats.org/officeDocument/2006/relationships" ref="G142" r:id="rId138"/>
    <hyperlink xmlns:r="http://schemas.openxmlformats.org/officeDocument/2006/relationships" ref="G143" r:id="rId139"/>
    <hyperlink xmlns:r="http://schemas.openxmlformats.org/officeDocument/2006/relationships" ref="G144" r:id="rId140"/>
    <hyperlink xmlns:r="http://schemas.openxmlformats.org/officeDocument/2006/relationships" ref="G145" r:id="rId141"/>
    <hyperlink xmlns:r="http://schemas.openxmlformats.org/officeDocument/2006/relationships" ref="G146" r:id="rId142"/>
    <hyperlink xmlns:r="http://schemas.openxmlformats.org/officeDocument/2006/relationships" ref="G147" r:id="rId143"/>
    <hyperlink xmlns:r="http://schemas.openxmlformats.org/officeDocument/2006/relationships" ref="G148" r:id="rId144"/>
    <hyperlink xmlns:r="http://schemas.openxmlformats.org/officeDocument/2006/relationships" ref="G149" r:id="rId145"/>
    <hyperlink xmlns:r="http://schemas.openxmlformats.org/officeDocument/2006/relationships" ref="G150" r:id="rId146"/>
    <hyperlink xmlns:r="http://schemas.openxmlformats.org/officeDocument/2006/relationships" ref="G151" r:id="rId147"/>
    <hyperlink xmlns:r="http://schemas.openxmlformats.org/officeDocument/2006/relationships" ref="G152" r:id="rId148"/>
    <hyperlink xmlns:r="http://schemas.openxmlformats.org/officeDocument/2006/relationships" ref="G153" r:id="rId149"/>
    <hyperlink xmlns:r="http://schemas.openxmlformats.org/officeDocument/2006/relationships" ref="G154" r:id="rId150"/>
    <hyperlink xmlns:r="http://schemas.openxmlformats.org/officeDocument/2006/relationships" ref="G155" r:id="rId151"/>
    <hyperlink xmlns:r="http://schemas.openxmlformats.org/officeDocument/2006/relationships" ref="G156" r:id="rId152"/>
    <hyperlink xmlns:r="http://schemas.openxmlformats.org/officeDocument/2006/relationships" ref="G157" r:id="rId153"/>
    <hyperlink xmlns:r="http://schemas.openxmlformats.org/officeDocument/2006/relationships" ref="G158" r:id="rId154"/>
    <hyperlink xmlns:r="http://schemas.openxmlformats.org/officeDocument/2006/relationships" ref="G159" r:id="rId155"/>
    <hyperlink xmlns:r="http://schemas.openxmlformats.org/officeDocument/2006/relationships" ref="G160" r:id="rId156"/>
    <hyperlink xmlns:r="http://schemas.openxmlformats.org/officeDocument/2006/relationships" ref="G161" r:id="rId157"/>
    <hyperlink xmlns:r="http://schemas.openxmlformats.org/officeDocument/2006/relationships" ref="G162" r:id="rId158"/>
    <hyperlink xmlns:r="http://schemas.openxmlformats.org/officeDocument/2006/relationships" ref="G163" r:id="rId159"/>
    <hyperlink xmlns:r="http://schemas.openxmlformats.org/officeDocument/2006/relationships" ref="G164" r:id="rId160"/>
    <hyperlink xmlns:r="http://schemas.openxmlformats.org/officeDocument/2006/relationships" ref="G165" r:id="rId161"/>
    <hyperlink xmlns:r="http://schemas.openxmlformats.org/officeDocument/2006/relationships" ref="G166" r:id="rId162"/>
    <hyperlink xmlns:r="http://schemas.openxmlformats.org/officeDocument/2006/relationships" ref="G167" r:id="rId163"/>
  </hyperlinks>
  <pageMargins left="0.75" right="0.75" top="1" bottom="1" header="0.5" footer="0.5"/>
  <pageSetup orientation="landscape" fitToWidth="1"/>
</worksheet>
</file>

<file path=xl/worksheets/sheet9.xml><?xml version="1.0" encoding="utf-8"?>
<worksheet xmlns="http://schemas.openxmlformats.org/spreadsheetml/2006/main">
  <sheetPr>
    <tabColor rgb="0094A3B8"/>
    <outlinePr summaryBelow="1" summaryRight="1"/>
    <pageSetUpPr fitToPage="1"/>
  </sheetPr>
  <dimension ref="A1:A6"/>
  <sheetViews>
    <sheetView workbookViewId="0">
      <selection activeCell="A1" sqref="A1"/>
    </sheetView>
  </sheetViews>
  <sheetFormatPr baseColWidth="8" defaultRowHeight="15"/>
  <sheetData>
    <row r="1">
      <c r="A1" t="inlineStr">
        <is>
          <t>{"batch": {"batch_id": "2026-09-28", "title": "SwingScope batch 2026-09-28", "signal_date": "2026-09-28", "exit_date_est": "2026-10-27", "hold_sessions": 21, "universe": "liquidity top 400 of all NSE stocks", "capital": 139903.0, "est_costs": 859.0, "cost_pct": 0.6, "regime": "Down", "regime_note": "the signal's weakest regime historically", "warnings": "0 of 10", "evidence": ["Backtest, 2017\u20132026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 "Live record | No results yet | The first live result arrives when this system finishes its first batch. Live results are kept apart from the backtest and never mixed in."], "stocks": [{"rank": 1, "symbol": "TDPOWERSYS", "isin": "INE419M01035", "qty": 20, "last_close": 722.0, "amount": 14440.0, "spark_12m": "2.0,31.7 2.4,32.0 2.9,31.7 3.3,31.1 3.7,31.1 4.2,31.1 4.6,31.0 5.0,30.6 5.4,30.4 5.9,29.2 6.3,29.3 6.7,29.5 7.2,29.8 7.6,30.1 8.0,30.4 8.5,30.5 8.9,30.3 9.3,29.4 9.7,29.3 10.2,28.8 10.6,29.1 11.0,28.9 11.5,29.1 11.9,29.2 12.3,29.1 12.8,29.0 13.2,28.4 13.6,28.0 14.0,25.5 14.5,24.3 14.9,24.2 15.3,24.8 15.8,25.3 16.2,25.2 16.6,25.4 17.1,24.2 17.5,25.4 17.9,25.2 18.4,25.2 18.8,25.7 19.2,25.8 19.6,25.9 20.1,26.9 20.5,25.8 20.9,25.9 21.4,24.9 21.8,24.9 22.2,25.4 22.7,25.0 23.1,25.0 23.5,25.8 23.9,26.8 24.4,27.7 24.8,28.3 25.2,27.7 25.7,28.1 26.1,28.2 26.5,27.9 27.0,27.6 27.4,27.9 27.8,27.1 28.2,27.6 28.7,27.1 29.1,26.4 29.5,26.7 30.0,27.0 30.4,27.3 30.8,27.7 31.3,27.5 31.7,27.5 32.1,28.3 32.5,28.0 33.0,27.7 33.4,27.9 33.8,27.5 34.3,27.9 34.7,28.3 35.1,28.8 35.6,27.9 36.0,28.2 36.4,28.5 36.9,28.7 37.3,29.2 37.7,29.4 38.1,29.5 38.6,29.7 39.0,29.6 39.4,28.8 39.9,28.2 40.3,26.7 40.7,26.2 41.2,24.3 41.6,24.1 42.0,24.5 42.4,25.2 42.9,24.8 43.3,23.3 43.7,22.8 44.2,23.4 44.6,23.8 45.0,23.1 45.5,22.8 45.9,22.8 46.3,22.4 46.7,22.4 47.2,21.8 47.6,22.3 48.0,22.5 48.5,22.5 48.9,21.8 49.3,22.2 49.8,22.6 50.2,22.4 50.6,22.5 51.1,23.5 51.5,24.3 51.9,24.7 52.3,24.4 52.8,25.3 53.2,24.9 53.6,24.3 54.1,23.7 54.5,23.8 54.9,23.0 55.4,24.2 55.8,23.1 56.2,22.3 56.6,23.4 57.1,23.3 57.5,23.0 57.9,23.0 58.4,22.5 58.8,22.5 59.2,22.4 59.7,22.6 60.1,21.2 60.5,21.5 60.9,20.8 61.4,20.0 61.8,19.2 62.2,18.3 62.7,18.6 63.1,17.4 63.5,17.2 64.0,16.0 64.4,16.6 64.8,15.0 65.3,15.0 65.7,14.8 66.1,14.6 66.5,14.2 67.0,14.5 67.4,12.2 67.8,13.0 68.3,14.1 68.7,14.4 69.1,14.2 69.6,14.0 70.0,10.4 70.4,9.9 70.8,11.9 71.3,12.6 71.7,10.6 72.1,10.8 72.6,10.7 73.0,8.8 73.4,9.8 73.9,10.2 74.3,12.7 74.7,12.5 75.1,11.1 75.6,10.0 76.0,10.3 76.4,12.8 76.9,12.6 77.3,14.8 77.7,15.6 78.2,13.7 78.6,13.6 79.0,14.4 79.5,12.7 79.9,11.6 80.3,11.5 80.7,10.0 81.2,9.2 81.6,11.7 82.0,12.0 82.5,12.6 82.9,12.4 83.3,13.7 83.8,13.8 84.2,16.6 84.6,14.2 85.0,15.7 85.5,16.9 85.9,16.6 86.3,14.9 86.8,14.9 87.2,15.6 87.6,14.2 88.1,15.6 88.5,15.5 88.9,15.2 89.3,15.5 89.8,14.6 90.2,15.2 90.6,15.9 91.1,15.2 91.5,15.9 91.9,18.1 92.4,17.5 92.8,15.5 93.2,16.0 93.6,15.5 94.1,13.5 94.5,12.7 94.9,11.8 95.4,12.5 95.8,11.4 96.2,5.6 96.7,5.6 97.1,5.5 97.5,3.7 98.0,2.7 98.4,3.8 98.8,4.9 99.2,4.1 99.7,3.4 100.1,6.2 100.5,6.3 101.0,5.6 101.4,4.9 101.8,3.6 102.3,4.6 102.7,5.9 103.1,6.6 103.5,5.6 104.0,6.0 104.4,4.0 104.8,4.8 105.3,4.4 105.7,2.0 106.1,6.5 106.6,8.1 107.0,6.7 107.4,4.3 107.8,5.2 108.3,4.7 108.7,4.2 109.1,5.5 109.6,5.0 110.0,6.7", "ret_12_1": 177.0, "ret_6_1": 72.2, "ret_3_1": 19.6, "volatility": 60.1, "traded_daily_cr": 128.0, "watch": "Nothing flagged", "from_12m_high": -10.3, "signal_rank": 6, "data_quality": "Green"}, {"rank": 2, "symbol": "AEROFLEX", "isin": "INE024001021", "qty": 29, "last_close": 513.4, "amount": 14889.0, "spark_12m": "2.0,29.8 2.4,29.6 2.9,29.5 3.3,30.0 3.7,30.1 4.2,30.5 4.6,30.8 5.0,30.9 5.4,30.9 5.9,30.5 6.3,30.7 6.7,30.8 7.2,30.9 7.6,31.0 8.0,31.0 8.5,31.1 8.9,31.2 9.3,31.2 9.7,31.2 10.2,31.2 10.6,31.4 11.0,31.1 11.5,31.0 11.9,31.0 12.3,31.0 12.8,30.1 13.2,30.1 13.6,30.5 14.0,30.0 14.5,29.8 14.9,30.3 15.3,30.5 15.8,30.0 16.2,30.0 16.6,30.2 17.1,30.2 17.5,30.1 17.9,29.9 18.4,30.1 18.8,30.3 19.2,30.2 19.6,30.2 20.1,30.5 20.5,30.9 20.9,30.2 21.4,30.2 21.8,30.4 22.2,30.0 22.7,30.2 23.1,30.3 23.5,30.6 23.9,30.6 24.4,30.7 24.8,31.3 25.2,31.0 25.7,30.7 26.1,30.9 26.5,30.7 27.0,30.3 27.4,30.5 27.8,30.3 28.2,30.7 28.7,29.5 29.1,29.2 29.5,28.8 30.0,28.6 30.4,28.9 30.8,29.1 31.3,29.3 31.7,29.5 32.1,29.6 32.5,29.2 33.0,29.0 33.4,29.3 33.8,29.1 34.3,29.9 34.7,30.2 35.1,30.2 35.6,30.5 36.0,30.7 36.4,30.8 36.9,30.9 37.3,31.3 37.7,31.8 38.1,31.5 38.6,32.0 39.0,31.7 39.4,31.4 39.9,30.4 40.3,30.6 40.7,31.0 41.2,30.1 41.6,29.9 42.0,29.9 42.4,30.1 42.9,29.3 43.3,29.4 43.7,29.6 44.2,29.5 44.6,30.0 45.0,29.6 45.5,28.5 45.9,27.1 46.3,27.0 46.7,27.3 47.2,27.6 47.6,27.7 48.0,27.0 48.5,26.9 48.9,26.5 49.3,27.2 49.8,27.7 50.2,27.3 50.6,27.6 51.1,27.9 51.5,27.5 51.9,26.5 52.3,26.3 52.8,26.5 53.2,25.6 53.6,25.3 54.1,25.6 54.5,26.8 54.9,26.6 55.4,27.3 55.8,25.3 56.2,25.3 56.6,26.1 57.1,26.2 57.5,25.4 57.9,25.2 58.4,25.0 58.8,25.7 59.2,24.6 59.7,23.6 60.1,22.6 60.5,22.6 60.9,22.3 61.4,22.1 61.8,21.0 62.2,21.7 62.7,22.6 63.1,21.5 63.5,22.1 64.0,23.4 64.4,22.2 64.8,22.3 65.3,21.4 65.7,21.4 66.1,21.6 66.5,20.5 67.0,18.6 67.4,13.6 67.8,11.7 68.3,14.7 68.7,17.1 69.1,17.1 69.6,17.4 70.0,16.7 70.4,16.8 70.8,15.9 71.3,15.2 71.7,16.0 72.1,14.3 72.6,13.5 73.0,14.3 73.4,14.0 73.9,14.4 74.3,15.4 74.7,13.1 75.1,12.1 75.6,11.7 76.0,13.1 76.4,14.6 76.9,12.7 77.3,13.5 77.7,13.9 78.2,11.1 78.6,8.9 79.0,9.4 79.5,6.5 79.9,8.1 80.3,6.8 80.7,6.6 81.2,7.1 81.6,8.8 82.0,9.7 82.5,9.6 82.9,9.4 83.3,8.1 83.8,8.9 84.2,10.5 84.6,10.3 85.0,13.6 85.5,14.5 85.9,14.2 86.3,13.6 86.8,13.0 87.2,13.8 87.6,13.0 88.1,13.8 88.5,13.8 88.9,14.1 89.3,13.6 89.8,14.0 90.2,13.1 90.6,13.0 91.1,13.2 91.5,11.2 91.9,10.9 92.4,12.6 92.8,12.0 93.2,12.3 93.6,9.9 94.1,10.5 94.5,11.8 94.9,12.7 95.4,13.1 95.8,12.9 96.2,11.2 96.7,11.1 97.1,10.2 97.5,10.5 98.0,8.3 98.4,9.2 98.8,9.1 99.2,7.1 99.7,7.0 100.1,7.6 100.5,4.7 101.0,5.7 101.4,4.3 101.8,5.5 102.3,3.6 102.7,4.4 103.1,4.3 103.5,4.6 104.0,3.1 104.4,2.0 104.8,2.9 105.3,2.7 105.7,2.7 106.1,6.8 106.6,8.7 107.0,7.5 107.4,6.5 107.8,6.2 108.3,6.1 108.7,5.8 109.1,5.3 109.6,5.5 110.0,6.3", "ret_12_1": 175.0, "ret_6_1": 107.0, "ret_3_1": 10.7, "volatility": 67.3, "traded_daily_cr": 53.0, "watch": "Nothing flagged", "from_12m_high": -10.5, "signal_rank": 7, "data_quality": "Green"}, {"rank": 3, "symbol": "ATHERENERG", "isin": "INE0LEZ01016", "qty": 10, "last_close": 1454.9, "amount": 14549.0, "spark_12m": "2.0,30.9 2.4,30.7 2.9,31.2 3.3,30.9 3.7,31.6 4.2,32.0 4.6,31.0 5.0,31.4 5.4,30.8 5.9,30.7 6.3,30.0 6.7,29.7 7.2,29.5 7.6,29.9 8.0,30.6 8.5,30.2 8.9,30.1 9.3,29.6 9.7,28.2 10.2,28.1 10.6,27.4 11.0,26.3 11.5,27.1 11.9,27.8 12.3,27.1 12.8,27.0 13.2,27.8 13.6,27.8 14.0,28.2 14.5,28.2 14.9,28.8 15.3,29.6 15.8,29.1 16.2,29.8 16.6,29.0 17.1,29.8 17.5,29.5 17.9,29.2 18.4,29.3 18.8,28.7 19.2,28.3 19.6,28.0 20.1,28.1 20.5,28.6 20.9,28.3 21.4,28.1 21.8,27.7 22.2,27.5 22.7,27.7 23.1,28.3 23.5,28.4 23.9,28.7 24.4,28.6 24.8,28.5 25.2,29.2 25.7,29.3 26.1,29.3 26.5,29.3 27.0,28.3 27.4,28.6 27.8,28.9 28.2,28.9 28.7,27.9 29.1,28.0 29.5,27.8 30.0,27.4 30.4,27.7 30.8,27.5 31.3,27.1 31.7,26.6 32.1,27.0 32.5,26.9 33.0,28.3 33.4,28.1 33.8,28.1 34.3,28.6 34.7,29.6 35.1,29.5 35.6,29.1 36.0,29.3 36.4,30.0 36.9,29.8 37.3,30.3 37.7,30.1 38.1,29.7 38.6,29.9 39.0,30.0 39.4,30.3 39.9,30.4 40.3,29.9 40.7,30.3 41.2,28.6 41.6,28.0 42.0,27.6 42.4,27.8 42.9,27.3 43.3,27.3 43.7,27.5 44.2,27.3 44.6,27.7 45.0,27.7 45.5,27.3 45.9,27.2 46.3,27.1 46.7,27.7 47.2,27.5 47.6,28.0 48.0,27.8 48.5,27.9 48.9,27.7 49.3,27.8 49.8,27.9 50.2,28.3 50.6,28.6 51.1,28.4 51.5,28.1 51.9,27.9 52.3,27.7 52.8,27.8 53.2,27.6 53.6,27.3 54.1,26.7 54.5,26.6 54.9,25.9 55.4,26.7 55.8,26.5 56.2,26.0 56.6,25.5 57.1,26.6 57.5,26.2 57.9,26.4 58.4,25.8 58.8,26.4 59.2,26.2 59.7,24.9 60.1,23.8 60.5,22.7 60.9,23.6 61.4,23.7 61.8,24.1 62.2,23.2 62.7,23.0 63.1,22.7 63.5,22.9 64.0,23.3 64.4,21.8 64.8,22.1 65.3,21.9 65.7,22.0 66.1,22.0 66.5,21.9 67.0,23.0 67.4,22.7 67.8,22.5 68.3,21.1 68.7,22.3 69.1,21.6 69.6,21.9 70.0,21.9 70.4,22.6 70.8,22.6 71.3,22.7 71.7,23.2 72.1,23.3 72.6,22.3 73.0,21.6 73.4,21.5 73.9,21.3 74.3,21.9 74.7,21.4 75.1,19.8 75.6,20.7 76.0,19.5 76.4,20.3 76.9,19.5 77.3,19.3 77.7,19.7 78.2,19.6 78.6,19.7 79.0,20.4 79.5,20.6 79.9,21.1 80.3,21.1 80.7,21.4 81.2,20.2 81.6,20.6 82.0,20.4 82.5,18.2 82.9,16.8 83.3,17.1 83.8,16.7 84.2,17.1 84.6,17.2 85.0,16.8 85.5,15.3 85.9,14.8 86.3,14.6 86.8,15.7 87.2,15.3 87.6,12.9 88.1,13.6 88.5,13.2 88.9,12.9 89.3,13.1 89.8,13.6 90.2,14.5 90.6,15.1 91.1,14.9 91.5,15.2 91.9,14.1 92.4,14.3 92.8,13.8 93.2,13.5 93.6,9.0 94.1,8.4 94.5,8.9 94.9,8.2 95.4,8.6 95.8,7.1 96.2,6.0 96.7,7.0 97.1,7.4 97.5,8.1 98.0,8.6 98.4,9.3 98.8,9.0 99.2,8.7 99.7,8.9 100.1,9.2 100.5,7.8 101.0,7.8 101.4,4.8 101.8,2.2 102.3,2.0 102.7,3.0 103.1,4.2 103.5,5.6 104.0,5.2 104.4,5.7 104.8,5.7 105.3,3.7 105.7,3.8 106.1,6.0 106.6,6.0 107.0,6.4 107.4,4.2 107.8,5.4 108.3,6.6 108.7,7.7 109.1,7.7 109.6,7.8 110.0,8.8", "ret_12_1": 166.0, "ret_6_1": 97.5, "ret_3_1": 31.1, "volatility": 49.4, "traded_daily_cr": 493.0, "watch": "Nothing flagged", "from_12m_high": -15.7, "signal_rank": 9, "data_quality": "Green"}, {"rank": 4, "symbol": "THANGAMAYL", "isin": "INE085J01014", "qty": 2, "last_close": 5011.5, "amount": 10023.0, "spark_12m": "2.0,30.9 2.4,31.1 2.9,31.4 3.3,31.4 3.7,31.4 4.2,31.6 4.6,31.7 5.0,31.6 5.4,31.6 5.9,31.2 6.3,31.3 6.7,31.6 7.2,31.2 7.6,31.5 8.0,31.6 8.5,31.5 8.9,31.8 9.3,31.9 9.7,31.9 10.2,31.9 10.6,31.9 11.0,31.9 11.5,32.0 11.9,31.5 12.3,31.6 12.8,31.3 13.2,31.4 13.6,31.3 14.0,30.8 14.5,28.3 14.9,25.9 15.3,25.7 15.8,23.9 16.2,25.3 16.6,24.8 17.1,24.1 17.5,24.4 17.9,24.5 18.4,24.7 18.8,24.9 19.2,25.1 19.6,25.2 20.1,26.0 20.5,24.8 20.9,24.8 21.4,24.7 21.8,24.8 22.2,24.7 22.7,24.1 23.1,25.2 23.5,24.6 23.9,24.8 24.4,24.9 24.8,25.2 25.2,24.7 25.7,24.9 26.1,24.9 26.5,25.0 27.0,25.0 27.4,24.9 27.8,24.4 28.2,24.6 28.7,24.2 29.1,23.8 29.5,23.7 30.0,24.5 30.4,25.0 30.8,25.0 31.3,25.0 31.7,24.9 32.1,24.7 32.5,24.8 33.0,24.2 33.4,23.4 33.8,21.4 34.3,21.2 34.7,22.7 35.1,22.3 35.6,21.9 36.0,21.5 36.4,21.8 36.9,22.1 37.3,22.1 37.7,21.2 38.1,22.6 38.6,22.9 39.0,23.8 39.4,22.8 39.9,23.4 40.3,24.3 40.7,24.9 41.2,25.1 41.6,24.5 42.0,25.1 42.4,23.9 42.9,22.1 43.3,22.2 43.7,22.3 44.2,22.5 44.6,22.9 45.0,22.1 45.5,22.3 45.9,22.6 46.3,23.4 46.7,23.0 47.2,22.8 47.6,22.0 48.0,21.5 48.5,21.0 48.9,20.8 49.3,21.4 49.8,22.7 50.2,22.6 50.6,22.2 51.1,22.9 51.5,22.1 51.9,23.1 52.3,23.0 52.8,23.3 53.2,23.6 53.6,23.4 54.1,23.3 54.5,24.1 54.9,24.3 55.4,25.2 55.8,24.4 56.2,22.8 56.6,23.7 57.1,23.7 57.5,23.0 57.9,23.1 58.4,21.9 58.8,21.3 59.2,20.3 59.7,20.0 60.1,19.8 60.5,19.5 60.9,19.1 61.4,19.0 61.8,19.3 62.2,19.8 62.7,19.8 63.1,20.4 63.5,21.7 64.0,21.7 64.4,20.8 64.8,20.7 65.3,20.6 65.7,20.8 66.1,20.6 66.5,20.7 67.0,20.1 67.4,19.9 67.8,19.1 68.3,20.5 68.7,22.4 69.1,22.5 69.6,22.7 70.0,22.8 70.4,23.1 70.8,22.5 71.3,21.8 71.7,21.3 72.1,21.6 72.6,21.5 73.0,21.6 73.4,21.0 73.9,19.4 74.3,18.9 74.7,17.2 75.1,16.1 75.6,12.0 76.0,13.0 76.4,12.2 76.9,12.3 77.3,12.4 77.7,12.6 78.2,12.2 78.6,12.1 79.0,12.4 79.5,11.4 79.9,12.5 80.3,12.4 80.7,11.8 81.2,12.8 81.6,12.4 82.0,11.6 82.5,10.0 82.9,7.1 83.3,9.6 83.8,7.6 84.2,8.4 84.6,7.7 85.0,7.2 85.5,4.8 85.9,6.0 86.3,6.3 86.8,8.0 87.2,6.8 87.6,5.9 88.1,7.2 88.5,6.9 88.9,7.2 89.3,6.8 89.8,6.7 90.2,4.5 90.6,4.3 91.1,2.0 91.5,2.8 91.9,6.8 92.4,10.4 92.8,13.7 93.2,15.1 93.6,16.5 94.1,15.2 94.5,14.1 94.9,13.4 95.4,13.0 95.8,13.7 96.2,13.1 96.7,13.4 97.1,12.5 97.5,13.0 98.0,12.2 98.4,12.0 98.8,12.4 99.2,12.2 99.7,12.2 100.1,12.7 100.5,12.2 101.0,12.1 101.4,12.5 101.8,12.6 102.3,13.2 102.7,13.6 103.1,13.3 103.5,13.1 104.0,12.3 104.4,12.9 104.8,14.3 105.3,14.5 105.7,14.2 106.1,15.4 106.6,15.3 107.0,16.0 107.4,14.7 107.8,15.3 108.3,14.3 108.7,13.2 109.1,14.4 109.6,14.2 110.0,14.9", "ret_12_1": 154.0, "ret_6_1": 66.3, "ret_3_1": -14.0, "volatility": 59.8, "traded_daily_cr": 71.0, "watch": "Nothing flagged", "from_12m_high": -31.4, "signal_rank": 11, "data_quality": "Green"}, {"rank": 5, "symbol": "RRKABEL", "isin": "INE777K01022", "qty": 6, "last_close": 2459.8, "amount": 14759.0, "spark_12m": "2.0,31.3 2.4,31.1 2.9,30.7 3.3,31.2 3.7,31.2 4.2,32.0 4.6,31.8 5.0,31.2 5.4,31.1 5.9,31.4 6.3,31.1 6.7,31.1 7.2,31.3 7.6,31.4 8.0,31.0 8.5,31.2 8.9,31.3 9.3,31.3 9.7,31.0 10.2,31.2 10.6,31.4 11.0,31.2 11.5,31.4 11.9,31.5 12.3,30.1 12.8,28.7 13.2,28.4 13.6,28.6 14.0,28.6 14.5,29.0 14.9,28.4 15.3,28.8 15.8,29.2 16.2,29.8 16.6,29.6 17.1,28.8 17.5,29.3 17.9,29.3 18.4,29.1 18.8,29.7 19.2,29.5 19.6,29.4 20.1,29.7 20.5,29.7 20.9,29.5 21.4,29.0 21.8,29.1 22.2,28.8 22.7,28.8 23.1,28.8 23.5,29.0 23.9,28.9 24.4,29.4 24.8,29.5 25.2,29.1 25.7,28.6 26.1,28.7 26.5,28.4 27.0,27.8 27.4,28.1 27.8,28.3 28.2,28.3 28.7,27.3 29.1,26.5 29.5,26.6 30.0,27.1 30.4,27.5 30.8,28.1 31.3,28.2 31.7,27.9 32.1,27.6 32.5,26.9 33.0,26.4 33.4,26.3 33.8,26.4 34.3,26.7 34.7,26.9 35.1,27.3 35.6,27.0 36.0,27.1 36.4,27.5 36.9,28.0 37.3,28.6 37.7,28.6 38.1,28.4 38.6,29.7 39.0,30.0 39.4,29.7 39.9,30.3 40.3,29.3 40.7,29.6 41.2,28.4 41.6,27.8 42.0,27.5 42.4,27.7 42.9,27.6 43.3,28.5 43.7,28.2 44.2,28.3 44.6,28.7 45.0,28.7 45.5,28.4 45.9,28.5 46.3,28.4 46.7,28.1 47.2,27.9 47.6,27.0 48.0,26.9 48.5,26.7 48.9,26.0 49.3,26.5 49.8,27.3 50.2,27.1 50.6,26.6 51.1,27.2 51.5,27.8 51.9,28.4 52.3,28.2 52.8,29.8 53.2,29.3 53.6,28.9 54.1,28.1 54.5,28.9 54.9,29.0 55.4,30.3 55.8,29.7 56.2,29.7 56.6,30.3 57.1,30.7 57.5,30.0 57.9,30.0 58.4,30.0 58.8,30.2 59.2,28.8 59.7,29.1 60.1,28.9 60.5,29.3 60.9,29.0 61.4,27.8 61.8,27.5 62.2,27.6 62.7,27.8 63.1,27.7 63.5,28.3 64.0,28.1 64.4,26.9 64.8,25.1 65.3,24.8 65.7,25.8 66.1,22.2 66.5,22.1 67.0,21.8 67.4,19.6 67.8,19.3 68.3,19.7 68.7,19.4 69.1,19.0 69.6,17.6 70.0,19.1 70.4,19.2 70.8,19.7 71.3,18.9 71.7,19.2 72.1,19.2 72.6,18.5 73.0,18.7 73.4,19.1 73.9,17.3 74.3,17.8 74.7,17.9 75.1,15.6 75.6,14.4 76.0,14.4 76.4,15.6 76.9,15.2 77.3,15.3 77.7,16.0 78.2,15.3 78.6,15.0 79.0,14.8 79.5,14.6 79.9,13.1 80.3,12.7 80.7,12.1 81.2,11.8 81.6,10.6 82.0,9.7 82.5,9.5 82.9,11.4 83.3,11.6 83.8,11.4 84.2,12.3 84.6,13.1 85.0,14.9 85.5,15.0 85.9,14.7 86.3,14.3 86.8,11.7 87.2,12.2 87.6,13.2 88.1,11.2 88.5,13.1 88.9,12.4 89.3,12.2 89.8,10.7 90.2,11.7 90.6,9.6 91.1,9.1 91.5,8.2 91.9,8.5 92.4,8.4 92.8,7.7 93.2,7.2 93.6,7.0 94.1,4.4 94.5,4.9 94.9,5.0 95.4,5.0 95.8,4.0 96.2,4.4 96.7,3.7 97.1,4.5 97.5,5.2 98.0,4.5 98.4,2.5 98.8,2.6 99.2,2.2 99.7,3.0 100.1,4.2 100.5,4.1 101.0,3.7 101.4,2.4 101.8,2.0 102.3,3.0 102.7,7.2 103.1,7.5 103.5,10.3 104.0,11.5 104.4,10.4 104.8,10.9 105.3,10.6 105.7,10.8 106.1,11.6 106.6,11.3 107.0,11.4 107.4,10.4 107.8,11.1 108.3,10.0 108.7,9.9 109.1,9.0 109.6,9.0 110.0,10.2", "ret_12_1": 126.0, "ret_6_1": 110.0, "ret_3_1": 18.2, "volatility": 44.0, "traded_daily_cr": 93.0, "watch": "Nothing flagged", "from_12m_high": -16.0, "signal_rank": 15, "data_quality": "Green"}, {"rank": 6, "symbol": "ACUTAAS", "isin": "INE00FF01025", "qty": 4, "last_close": 3214.4, "amount": 12858.0, "spark_12m": "2.0,30.2 2.4,30.2 2.9,30.3 3.3,30.3 3.7,30.8 4.2,31.5 4.6,31.6 5.0,32.0 5.4,31.2 5.9,31.1 6.3,30.9 6.7,30.9 7.2,30.9 7.6,30.7 8.0,30.1 8.5,29.7 8.9,29.7 9.3,29.1 9.7,29.0 10.2,27.8 10.6,26.4 11.0,26.1 11.5,26.7 11.9,27.4 12.3,26.8 12.8,27.0 13.2,27.3 13.6,27.1 14.0,26.8 14.5,25.8 14.9,25.5 15.3,26.3 15.8,26.4 16.2,26.4 16.6,26.5 17.1,27.1 17.5,27.4 17.9,27.0 18.4,27.1 18.8,27.0 19.2,26.9 19.6,26.8 20.1,27.2 20.5,25.0 20.9,26.1 21.4,26.0 21.8,26.1 22.2,25.4 22.7,26.2 23.1,26.6 23.5,26.7 23.9,27.1 24.4,27.1 24.8,27.8 25.2,27.6 25.7,27.4 26.1,27.7 26.5,27.6 27.0,28.1 27.4,27.2 27.8,27.7 28.2,28.0 28.7,27.8 29.1,27.4 29.5,27.2 30.0,27.8 30.4,27.8 30.8,27.8 31.3,27.7 31.7,27.1 32.1,26.5 32.5,26.6 33.0,26.3 33.4,26.4 33.8,26.4 34.3,26.7 34.7,27.4 35.1,27.5 35.6,27.4 36.0,27.1 36.4,27.2 36.9,27.4 37.3,28.1 37.7,28.4 38.1,27.9 38.6,27.8 39.0,26.8 39.4,25.1 39.9,24.2 40.3,24.5 40.7,24.2 41.2,23.8 41.6,23.5 42.0,23.6 42.4,23.6 42.9,23.4 43.3,22.8 43.7,23.0 44.2,22.2 44.6,23.2 45.0,22.9 45.5,22.4 45.9,21.6 46.3,22.1 46.7,22.0 47.2,21.5 47.6,21.5 48.0,21.3 48.5,21.1 48.9,21.4 49.3,21.0 49.8,22.1 50.2,20.4 50.6,20.2 51.1,21.4 51.5,20.5 51.9,21.0 52.3,21.0 52.8,22.3 53.2,21.3 53.6,19.6 54.1,20.1 54.5,20.3 54.9,18.3 55.4,20.0 55.8,17.9 56.2,16.7 56.6,16.5 57.1,16.3 57.5,19.2 57.9,22.0 58.4,20.7 58.8,20.7 59.2,19.2 59.7,19.3 60.1,18.8 60.5,18.4 60.9,19.7 61.4,19.1 61.8,18.8 62.2,18.2 62.7,18.7 63.1,18.0 63.5,18.5 64.0,18.4 64.4,17.1 64.8,17.5 65.3,17.0 65.7,15.9 66.1,14.9 66.5,15.1 67.0,14.7 67.4,14.2 67.8,14.1 68.3,13.2 68.7,14.0 69.1,12.9 69.6,14.2 70.0,14.2 70.4,13.3 70.8,12.2 71.3,12.3 71.7,10.8 72.1,11.4 72.6,11.7 73.0,10.3 73.4,10.8 73.9,9.1 74.3,10.5 74.7,10.3 75.1,9.1 75.6,8.7 76.0,6.6 76.4,6.8 76.9,8.3 77.3,8.2 77.7,9.2 78.2,8.9 78.6,9.5 79.0,10.8 79.5,10.8 79.9,9.0 80.3,7.7 80.7,7.6 81.2,7.3 81.6,7.4 82.0,7.0 82.5,3.6 82.9,4.1 83.3,3.6 83.8,2.0 84.2,2.0 84.6,4.3 85.0,5.8 85.5,5.0 85.9,5.0 86.3,5.7 86.8,4.5 87.2,5.0 87.6,3.9 88.1,3.4 88.5,3.0 88.9,2.5 89.3,2.2 89.8,2.4 90.2,5.0 90.6,7.5 91.1,6.1 91.5,7.0 91.9,6.9 92.4,7.8 92.8,9.4 93.2,9.3 93.6,7.9 94.1,7.2 94.5,7.5 94.9,7.0 95.4,7.2 95.8,7.7 96.2,8.8 96.7,9.4 97.1,7.8 97.5,8.3 98.0,5.8 98.4,7.9 98.8,8.1 99.2,8.6 99.7,8.6 100.1,6.8 100.5,7.5 101.0,6.6 101.4,7.2 101.8,8.7 102.3,8.6 102.7,9.1 103.1,8.2 103.5,8.6 104.0,8.5 104.4,8.5 104.8,7.7 105.3,5.1 105.7,5.9 106.1,7.4 106.6,6.4 107.0,6.8 107.4,5.2 107.8,5.4 108.3,8.1 108.7,7.4 109.1,7.2 109.6,7.3 110.0,8.1", "ret_12_1": 126.0, "ret_6_1": 36.7, "ret_3_1": -5.6, "volatility": 46.7, "traded_daily_cr": 101.0, "watch": "Nothing flagged", "from_12m_high": -13.0, "signal_rank": 16, "data_quality": "Green"}, {"rank": 7, "symbol": "DIACABS", "isin": "INE989C01038", "qty": 44, "last_close": 339.25, "amount": 14927.0, "spark_12m": "2.0,27.2 2.4,27.3 2.9,27.2 3.3,27.4 3.7,28.0 4.2,28.4 4.6,28.2 5.0,28.6 5.4,28.5 5.9,28.3 6.3,28.7 6.7,29.2 7.2,29.3 7.6,29.4 8.0,29.4 8.5,29.6 8.9,29.5 9.3,29.2 9.7,29.3 10.2,29.4 10.6,29.2 11.0,29.1 11.5,29.1 11.9,29.3 12.3,28.1 12.8,28.5 13.2,28.1 13.6,28.2 14.0,28.2 14.5,28.1 14.9,27.9 15.3,28.6 15.8,28.3 16.2,28.8 16.6,28.9 17.1,28.8 17.5,28.4 17.9,28.4 18.4,28.4 18.8,28.7 19.2,28.3 19.6,28.7 20.1,29.1 20.5,29.5 20.9,29.6 21.4,29.4 21.8,29.4 22.2,28.5 22.7,28.6 23.1,28.9 23.5,29.2 23.9,29.3 24.4,29.1 24.8,29.4 25.2,29.4 25.7,29.7 26.1,29.7 26.5,29.5 27.0,29.4 27.4,29.6 27.8,29.6 28.2,29.5 28.7,29.5 29.1,29.2 29.5,29.3 30.0,29.5 30.4,29.6 30.8,29.8 31.3,29.8 31.7,29.8 32.1,29.8 32.5,29.9 33.0,29.3 33.4,29.3 33.8,29.1 34.3,29.7 34.7,30.2 35.1,30.1 35.6,30.5 36.0,30.7 36.4,30.6 36.9,30.4 37.3,31.0 37.7,30.9 38.1,30.8 38.6,31.4 39.0,31.4 39.4,31.1 39.9,31.4 40.3,31.5 40.7,31.7 41.2,31.2 41.6,30.8 42.0,31.3 42.4,31.3 42.9,30.9 43.3,30.4 43.7,30.2 44.2,30.3 44.6,30.5 45.0,29.5 45.5,29.8 45.9,29.8 46.3,30.2 46.7,30.1 47.2,30.2 47.6,30.4 48.0,30.0 48.5,29.6 48.9,29.9 49.3,29.9 49.8,30.4 50.2,29.9 50.6,30.1 51.1,30.2 51.5,29.7 51.9,29.9 52.3,30.0 52.8,30.8 53.2,31.0 53.6,31.2 54.1,30.7 54.5,31.4 54.9,31.0 55.4,32.0 55.8,31.7 56.2,30.9 56.6,31.5 57.1,31.9 57.5,31.2 57.9,31.2 58.4,30.8 58.8,30.9 59.2,30.3 59.7,30.4 60.1,29.9 60.5,29.8 60.9,29.5 61.4,28.7 61.8,28.6 62.2,27.4 62.7,27.2 63.1,27.5 63.5,27.5 64.0,27.3 64.4,26.8 64.8,27.1 65.3,27.3 65.7,27.7 66.1,26.8 66.5,26.6 67.0,25.6 67.4,26.4 67.8,26.0 68.3,25.8 68.7,26.4 69.1,25.9 69.6,24.0 70.0,23.5 70.4,24.0 70.8,24.2 71.3,23.6 71.7,23.8 72.1,23.8 72.6,23.5 73.0,22.4 73.4,23.3 73.9,23.7 74.3,25.0 74.7,23.7 75.1,24.3 75.6,23.9 76.0,22.7 76.4,23.3 76.9,22.8 77.3,23.4 77.7,23.8 78.2,22.9 78.6,21.4 79.0,22.4 79.5,22.6 79.9,22.9 80.3,22.1 80.7,22.3 81.2,22.9 81.6,22.6 82.0,22.4 82.5,22.2 82.9,22.1 83.3,22.2 83.8,22.0 84.2,23.2 84.6,21.1 85.0,20.4 85.5,19.7 85.9,18.9 86.3,20.0 86.8,20.1 87.2,20.4 87.6,20.2 88.1,20.4 88.5,20.7 88.9,18.3 89.3,15.6 89.8,15.6 90.2,15.1 90.6,12.8 91.1,11.5 91.5,10.0 91.9,8.2 92.4,9.2 92.8,9.7 93.2,9.8 93.6,10.5 94.1,8.8 94.5,7.0 94.9,5.3 95.4,5.7 95.8,5.5 96.2,4.9 96.7,5.0 97.1,4.8 97.5,5.8 98.0,4.9 98.4,5.8 98.8,6.4 99.2,6.2 99.7,6.5 100.1,8.0 100.5,8.1 101.0,8.1 101.4,6.9 101.8,7.1 102.3,7.9 102.7,8.9 103.1,9.8 103.5,8.8 104.0,8.7 104.4,8.3 104.8,8.5 105.3,6.7 105.7,4.8 106.1,2.8 106.6,2.0 107.0,4.0 107.4,5.0 107.8,4.0 108.3,4.6 108.7,3.8 109.1,5.7 109.6,6.4 110.0,8.0", "ret_12_1": 124.0, "ret_6_1": 180.0, "ret_3_1": 61.7, "volatility": 53.6, "traded_daily_cr": 51.0, "watch": "Nothing flagged", "from_12m_high": -14.1, "signal_rank": 17, "data_quality": "Green"}, {"rank": 8, "symbol": "KIRLOSENG", "isin": "INE146L01010", "qty": 7, "last_close": 2141.2, "amount": 14988.0, "spark_12m": "2.0,30.3 2.4,30.3 2.9,30.5 3.3,30.2 3.7,30.7 4.2,31.2 4.6,31.1 5.0,31.1 5.4,31.0 5.9,31.4 6.3,31.6 6.7,31.8 7.2,31.8 7.6,31.8 8.0,31.6 8.5,31.7 8.9,32.0 9.3,31.9 9.7,31.8 10.2,31.6 10.6,31.8 11.0,31.6 11.5,31.5 11.9,31.5 12.3,30.7 12.8,29.6 13.2,29.4 13.6,29.4 14.0,29.7 14.5,29.4 14.9,29.4 15.3,29.9 15.8,30.3 16.2,30.5 16.6,30.7 17.1,28.7 17.5,28.2 17.9,28.1 18.4,27.7 18.8,27.2 19.2,26.6 19.6,26.5 20.1,26.8 20.5,27.4 20.9,26.9 21.4,27.1 21.8,27.2 22.2,27.5 22.7,27.6 23.1,27.7 23.5,28.2 23.9,26.8 24.4,27.4 24.8,28.0 25.2,27.5 25.7,27.7 26.1,27.6 26.5,27.1 27.0,27.3 27.4,25.7 27.8,24.7 28.2,24.6 28.7,25.4 29.1,24.2 29.5,24.4 30.0,25.0 30.4,24.9 30.8,25.8 31.3,25.7 31.7,25.8 32.1,25.6 32.5,25.1 33.0,25.2 33.4,25.3 33.8,25.8 34.3,26.5 34.7,26.9 35.1,27.5 35.6,27.0 36.0,26.7 36.4,26.7 36.9,27.4 37.3,27.9 37.7,27.9 38.1,27.7 38.6,28.0 39.0,28.0 39.4,27.7 39.9,27.6 40.3,26.6 40.7,27.0 41.2,26.5 41.6,25.6 42.0,26.2 42.4,26.7 42.9,25.8 43.3,25.0 43.7,23.9 44.2,23.7 44.6,23.0 45.0,22.4 45.5,22.1 45.9,22.3 46.3,22.2 46.7,22.3 47.2,22.6 47.6,22.7 48.0,22.5 48.5,22.7 48.9,22.7 49.3,22.5 49.8,22.3 50.2,21.4 50.6,20.6 51.1,21.6 51.5,21.9 51.9,21.7 52.3,21.4 52.8,21.7 53.2,21.4 53.6,21.9 54.1,22.0 54.5,22.2 54.9,23.0 55.4,24.6 55.8,23.9 56.2,22.7 56.6,23.5 57.1,23.9 57.5,23.2 57.9,22.9 58.4,22.3 58.8,22.6 59.2,21.4 59.7,21.6 60.1,21.3 60.5,21.1 60.9,19.1 61.4,18.8 61.8,18.7 62.2,18.4 62.7,17.9 63.1,18.4 63.5,18.9 64.0,19.2 64.4,17.6 64.8,16.9 65.3,17.3 65.7,17.3 66.1,16.9 66.5,16.6 67.0,17.1 67.4,16.8 67.8,16.8 68.3,18.0 68.7,19.8 69.1,19.1 69.6,19.1 70.0,16.6 70.4,17.3 70.8,18.0 71.3,17.9 71.7,17.7 72.1,17.8 72.6,17.2 73.0,16.4 73.4,15.0 73.9,13.3 74.3,13.4 74.7,14.5 75.1,13.9 75.6,12.9 76.0,13.5 76.4,14.6 76.9,14.6 77.3,15.2 77.7,15.6 78.2,13.9 78.6,13.2 79.0,13.4 79.5,12.2 79.9,12.3 80.3,12.1 80.7,5.1 81.2,3.0 81.6,2.0 82.0,3.4 82.5,4.2 82.9,5.5 83.3,5.9 83.8,6.3 84.2,7.9 84.6,7.3 85.0,7.2 85.5,7.1 85.9,4.5 86.3,3.3 86.8,4.3 87.2,5.6 87.6,4.6 88.1,5.0 88.5,7.5 88.9,8.1 89.3,8.1 89.8,8.7 90.2,8.8 90.6,8.7 91.1,7.0 91.5,8.6 91.9,8.8 92.4,9.6 92.8,8.6 93.2,8.0 93.6,7.1 94.1,7.7 94.5,7.6 94.9,9.1 95.4,9.7 95.8,10.2 96.2,11.0 96.7,10.9 97.1,10.2 97.5,10.2 98.0,9.8 98.4,10.6 98.8,9.3 99.2,10.2 99.7,10.8 100.1,11.5 100.5,11.3 101.0,10.2 101.4,9.8 101.8,10.2 102.3,9.5 102.7,9.1 103.1,7.2 103.5,8.4 104.0,8.9 104.4,7.1 104.8,8.1 105.3,8.3 105.7,9.0 106.1,11.2 106.6,11.3 107.0,9.8 107.4,9.1 107.8,9.6 108.3,9.1 108.7,8.1 109.1,9.1 109.6,9.6 110.0,9.5", "ret_12_1": 123.0, "ret_6_1": 58.2, "ret_3_1": -11.2, "volatility": 49.9, "traded_daily_cr": 87.0, "watch": "Nothing flagged", "from_12m_high": -16.5, "signal_rank": 18, "data_quality": "Green"}, {"rank": 9, "symbol": "E2E", "isin": "INE255Z01027", "qty": 23, "last_close": 625.9, "amount": 14396.0, "spark_12m": "2.0,25.4 2.4,24.4 2.9,23.5 3.3,24.3 3.7,23.7 4.2,22.9 4.6,23.7 5.0,24.4 5.4,23.4 5.9,22.4 6.3,21.3 6.7,21.1 7.2,21.2 7.6,22.8 8.0,23.1 8.5,23.8 8.9,24.4 9.3,24.4 9.7,24.3 10.2,24.1 10.6,24.5 11.0,24.4 11.5,24.3 11.9,25.2 12.3,24.5 12.8,24.9 13.2,25.1 13.6,24.9 14.0,25.0 14.5,25.3 14.9,24.9 15.3,25.3 15.8,25.1 16.2,25.3 16.6,26.1 17.1,26.1 17.5,26.8 17.9,27.8 18.4,28.0 18.8,28.1 19.2,28.0 19.6,28.1 20.1,28.8 20.5,29.7 20.9,29.7 21.4,29.6 21.8,29.8 22.2,30.1 22.7,30.0 23.1,30.5 23.5,30.9 23.9,30.5 24.4,31.0 24.8,31.6 25.2,30.8 25.7,31.2 26.1,31.1 26.5,31.1 27.0,31.1 27.4,31.5 27.8,31.6 28.2,31.7 28.7,31.3 29.1,31.2 29.5,31.1 30.0,31.2 30.4,31.4 30.8,32.0 31.3,31.9 31.7,31.8 32.1,31.7 32.5,31.6 33.0,31.2 33.4,31.5 33.8,31.6 34.3,31.5 34.7,31.5 35.1,31.6 35.6,31.8 36.0,31.6 36.4,30.3 36.9,30.2 37.3,30.8 37.7,31.3 38.1,31.2 38.6,31.5 39.0,31.5 39.4,31.3 39.9,31.5 40.3,31.0 40.7,29.0 41.2,28.0 41.6,29.0 42.0,29.5 42.4,28.7 42.9,27.8 43.3,28.2 43.7,27.9 44.2,28.4 44.6,28.8 45.0,28.2 45.5,28.3 45.9,26.5 46.3,25.8 46.7,26.4 47.2,28.2 47.6,29.0 48.0,28.3 48.5,28.0 48.9,28.2 49.3,28.9 49.8,29.7 50.2,29.7 50.6,29.8 51.1,29.9 51.5,29.1 51.9,29.4 52.3,29.6 52.8,29.9 53.2,30.4 53.6,30.5 54.1,30.1 54.5,30.0 54.9,30.1 55.4,30.7 55.8,30.7 56.2,30.2 56.6,30.9 57.1,31.4 57.5,30.8 57.9,30.2 58.4,29.9 58.8,29.6 59.2,28.9 59.7,29.1 60.1,29.0 60.5,28.9 60.9,28.1 61.4,27.4 61.8,26.8 62.2,27.4 62.7,26.6 63.1,26.0 63.5,26.2 64.0,26.2 64.4,25.3 64.8,25.7 65.3,26.0 65.7,26.3 66.1,26.6 66.5,25.8 67.0,24.9 67.4,23.9 67.8,23.0 68.3,21.9 68.7,23.0 69.1,24.1 69.6,24.0 70.0,24.9 70.4,25.5 70.8,24.5 71.3,23.6 71.7,23.1 72.1,22.1 72.6,21.3 73.0,20.2 73.4,19.8 73.9,20.0 74.3,18.8 74.7,17.5 75.1,18.8 75.6,17.6 76.0,16.3 76.4,17.6 76.9,19.0 77.3,20.2 77.7,21.4 78.2,20.3 78.6,21.1 79.0,20.6 79.5,20.3 79.9,19.1 80.3,17.9 80.7,16.6 81.2,17.5 81.6,18.4 82.0,18.7 82.5,19.8 82.9,19.7 83.3,19.3 83.8,20.2 84.2,20.6 84.6,20.6 85.0,21.3 85.5,20.8 85.9,19.6 86.3,19.6 86.8,20.3 87.2,19.8 87.6,18.8 88.1,18.1 88.5,19.2 88.9,18.0 89.3,16.7 89.8,15.3 90.2,13.9 90.6,12.4 91.1,10.8 91.5,12.4 91.9,13.9 92.4,13.8 92.8,12.3 93.2,10.8 93.6,9.1 94.1,7.4 94.5,6.9 94.9,8.8 95.4,7.1 95.8,5.6 96.2,5.3 96.7,5.1 97.1,3.2 97.5,2.0 98.0,3.3 98.4,5.4 98.8,5.8 99.2,5.9 99.7,6.5 100.1,7.5 100.5,6.5 101.0,6.2 101.4,6.3 101.8,6.1 102.3,6.0 102.7,6.8 103.1,7.7 103.5,7.2 104.0,5.4 104.4,6.2 104.8,7.0 105.3,6.9 105.7,6.6 106.1,8.5 106.6,7.3 107.0,7.0 107.4,6.8 107.8,7.7 108.3,7.0 108.7,5.1 109.1,4.4 109.6,4.1 110.0,5.7", "ret_12_1": 109.0, "ret_6_1": 186.0, "ret_3_1": 56.0, "volatility": 56.2, "traded_daily_cr": 49.0, "watch": "Nothing flagged", "from_12m_high": -8.8, "signal_rank": 20, "data_quality": "Green"}, {"rank": 10, "symbol": "LAURUSLABS", "isin": "INE947Q01028", "qty": 7, "last_close": 2010.7, "amount": 14075.0, "spark_12m": "2.0,29.5 2.4,30.2 2.9,30.1 3.3,30.1 3.7,30.4 4.2,32.0 4.6,31.8 5.0,31.8 5.4,31.0 5.9,31.2 6.3,31.2 6.7,31.2 7.2,31.5 7.6,31.2 8.0,30.9 8.5,31.0 8.9,30.9 9.3,30.9 9.7,31.0 10.2,30.3 10.6,29.8 11.0,29.7 11.5,29.5 11.9,29.7 12.3,29.3 12.8,28.8 13.2,28.8 13.6,28.6 14.0,29.0 14.5,28.4 14.9,28.2 15.3,28.3 15.8,28.3 16.2,27.8 16.6,28.2 17.1,28.1 17.5,27.9 17.9,27.8 18.4,27.3 18.8,27.6 19.2,28.1 19.6,28.1 20.1,28.4 20.5,28.3 20.9,28.4 21.4,28.1 21.8,27.7 22.2,27.0 22.7,27.1 23.1,27.3 23.5,27.4 23.9,27.5 24.4,27.2 24.8,27.7 25.2,27.3 25.7,27.4 26.1,27.3 26.5,27.5 27.0,27.7 27.4,27.8 27.8,27.6 28.2,27.4 28.7,26.7 29.1,26.2 29.5,26.1 30.0,25.7 30.4,25.7 30.8,25.8 31.3,25.5 31.7,25.1 32.1,25.1 32.5,25.2 33.0,25.2 33.4,24.9 33.8,24.6 34.3,25.3 34.7,25.7 35.1,26.7 35.6,26.4 36.0,25.6 36.4,25.9 36.9,26.2 37.3,26.9 37.7,28.1 38.1,27.7 38.6,27.4 39.0,27.8 39.4,27.8 39.9,28.5 40.3,28.7 40.7,29.0 41.2,28.4 41.6,28.3 42.0,28.7 42.4,29.0 42.9,28.2 43.3,28.7 43.7,27.5 44.2,27.3 44.6,27.5 45.0,27.5 45.5,27.5 45.9,26.9 46.3,27.3 46.7,27.3 47.2,27.4 47.6,27.1 48.0,25.9 48.5,25.5 48.9,25.9 49.3,26.2 49.8,27.0 50.2,26.7 50.6,27.2 51.1,27.3 51.5,26.9 51.9,26.8 52.3,26.6 52.8,27.7 53.2,28.8 53.6,28.6 54.1,28.2 54.5,29.2 54.9,28.1 55.4,28.8 55.8,28.0 56.2,27.2 56.6,27.6 57.1,28.0 57.5,26.8 57.9,26.7 58.4,26.4 58.8,26.4 59.2,25.8 59.7,25.7 60.1,25.4 60.5,25.6 60.9,24.9 61.4,24.6 61.8,24.4 62.2,24.6 62.7,25.0 63.1,25.4 63.5,24.6 64.0,25.0 64.4,24.7 64.8,25.6 65.3,25.2 65.7,25.3 66.1,23.7 66.5,23.7 67.0,23.4 67.4,22.7 67.8,22.1 68.3,21.2 68.7,21.1 69.1,20.8 69.6,19.9 70.0,19.7 70.4,19.6 70.8,19.2 71.3,18.8 71.7,19.1 72.1,19.2 72.6,18.9 73.0,18.5 73.4,18.3 73.9,18.8 74.3,18.1 74.7,18.3 75.1,18.0 75.6,17.1 76.0,16.7 76.4,17.7 76.9,17.2 77.3,18.2 77.7,18.1 78.2,18.0 78.6,18.1 79.0,18.4 79.5,18.6 79.9,18.6 80.3,17.5 80.7,16.9 81.2,15.8 81.6,16.5 82.0,16.6 82.5,15.3 82.9,14.9 83.3,15.5 83.8,14.6 84.2,14.3 84.6,14.6 85.0,15.9 85.5,16.1 85.9,15.1 86.3,14.4 86.8,13.9 87.2,13.8 87.6,14.0 88.1,13.9 88.5,14.6 88.9,13.9 89.3,13.0 89.8,13.4 90.2,13.6 90.6,12.8 91.1,10.0 91.5,8.9 91.9,8.3 92.4,8.3 92.8,7.4 93.2,7.6 93.6,6.6 94.1,7.0 94.5,7.1 94.9,6.7 95.4,6.5 95.8,6.4 96.2,6.6 96.7,6.6 97.1,8.2 97.5,7.6 98.0,7.5 98.4,7.8 98.8,7.2 99.2,7.8 99.7,7.8 100.1,6.2 100.5,5.7 101.0,4.6 101.4,4.4 101.8,5.0 102.3,6.3 102.7,6.2 103.1,6.1 103.5,6.8 104.0,5.9 104.4,4.2 104.8,4.4 105.3,4.2 105.7,3.6 106.1,4.7 106.6,5.2 107.0,4.1 107.4,4.0 107.8,2.4 108.3,2.7 108.7,2.0 109.1,2.2 109.6,2.7 110.0,2.6", "ret_12_1": 109.0, "ret_6_1": 94.4, "ret_3_1": 27.2, "volatility": 28.1, "traded_daily_cr": 300.0, "watch": "Nothing flagged", "from_12m_high": -1.1, "signal_rank": 21, "data_quality": "Green"}]}, "prices": {"TDPOWERSYS": {"2026-09-28": {"open": 730.05, "close": 722.0, "src": "yahoo"}, "2026-09-29": {"open": 719.0, "close": 777.35, "src": "bhavcopy"}, "2026-09-30": {"open": 783.0, "close": 786.05, "src": "bhavcopy"}, "2026-10-01": {"open": 779.9, "close": 792.15, "src": "bhavcopy"}, "2026-10-05": {"open": 801.0, "close": 812.9, "src": "bhavcopy"}, "2026-10-02": {"open": 792.15, "close": 792.15, "src": "yahoo"}, "2026-10-06": {"open": 810.0, "close": 816.0, "src": "bhavcopy"}, "2026-10-07": {"open": 818.0, "close": 821.1, "src": "bhavcopy"}, "2026-10-08": {"open": 835.0, "close": 793.5, "src": "bhavcopy"}, "2026-10-09": {"open": 795.0, "close": 793.75, "src": "bhavcopy"}, "2026-10-12": {"open": 800.0, "close": 825.65, "src": "bhavcopy"}, "2026-10-13": {"open": 830.0, "close": 797.85, "src": "bhavcopy"}, "2026-10-</t>
        </is>
      </c>
    </row>
    <row r="2">
      <c r="A2" t="inlineStr">
        <is>
          <t>14": {"open": 796.0, "close": 783.7, "src": "bhavcopy"}, "2026-10-15": {"open": 769.7, "close": 734.75, "src": "bhavcopy"}, "2026-10-16": {"open": 737.8, "close": 735.15, "src": "bhavcopy"}, "2026-10-19": {"open": 735.15, "close": 737.0, "src": "bhavcopy"}}, "AEROFLEX": {"2026-09-28": {"open": 524.25, "close": 513.4, "src": "yahoo"}, "2026-09-29": {"open": 511.3, "close": 539.6, "src": "bhavcopy"}, "2026-09-30": {"open": 539.6, "close": 536.6, "src": "bhavcopy"}, "2026-10-01": {"open": 540.0, "close": 521.35, "src": "bhavcopy"}, "2026-10-05": {"open": 524.0, "close": 544.35, "src": "bhavcopy"}, "2026-10-02": {"open": 521.35, "close": 521.35, "src": "yahoo"}, "2026-10-06": {"open": 549.7, "close": 560.75, "src": "bhavcopy"}, "2026-10-07": {"open": 566.4, "close": 563.85, "src": "bhavcopy"}, "2026-10-08": {"open": 572.05, "close": 529.0, "src": "bhavcopy"}, "2026-10-09": {"open": 535.0, "close": 520.5, "src": "bhavcopy"}, "2026-10-12": {"open": 530.0, "close": 567.9, "src": "bhavcopy"}, "2026-10-13": {"open": 571.0, "close": 557.6, "src": "bhavcopy"}, "2026-10-14": {"open": 559.0, "close": 568.7, "src": "bhavcopy"}, "2026-10-15": {"open": 560.1, "close": 510.95, "src": "bhavcopy"}, "2026-10-16": {"open": 516.4, "close": 525.8, "src": "bhavcopy"}, "2026-10-19": {"open": 526.05, "close": 505.2, "src": "bhavcopy"}}, "E2E": {"2026-09-28": {"open": 650.0, "close": 625.9, "src": "yahoo"}, "2026-09-29": {"open": 619.55, "close": 651.8, "src": "bhavcopy"}, "2026-09-30": {"open": 655.05, "close": 650.5, "src": "bhavcopy"}, "2026-10-01": {"open": 647.0, "close": 648.0, "src": "bhavcopy"}, "2026-10-05": {"open": 659.9, "close": 656.1, "src": "bhavcopy"}, "2026-10-06": {"open": 665.0, "close": 688.9, "src": "bhavcopy"}, "2026-10-07": {"open": 678.9, "close": 723.3, "src": "bhavcopy"}, "2026-10-08": {"open": 744.0, "close": 714.15, "src": "bhavcopy"}, "2026-10-09": {"open": 705.0, "close": 704.6, "src": "bhavcopy"}, "2026-10-12": {"open": 700.0, "close": 735.55, "src": "bhavcopy"}, "2026-10-13": {"open": 735.0, "close": 735.75, "src": "bhavcopy"}, "2026-10-14": {"open": 732.0, "close": 748.3, "src": "bhavcopy"}, "2026-10-15": {"open": 710.9, "close": 710.9, "src": "bhavcopy"}, "2026-10-16": {"open": 699.95, "close": 694.85, "src": "bhavcopy"}, "2026-10-19": {"open": 668.0, "close": 660.15, "src": "bhavcopy"}}, "LAURUSLABS": {"2026-09-28": {"open": 2000.0, "close": 2010.7, "src": "yahoo"}, "2026-09-29": {"open": 2020.7, "close": 1979.0, "src": "bhavcopy"}, "2026-09-30": {"open": 1993.0, "close": 1980.0, "src": "bhavcopy"}, "2026-10-01": {"open": 1973.6, "close": 1984.0, "src": "bhavcopy"}, "2026-10-05": {"open": 1994.0, "close": 1971.4, "src": "bhavcopy"}, "2026-10-02": {"open": 1984.0, "close": 1984.0, "src": "yahoo"}, "2026-10-06": {"open": 1968.9, "close": 2050.0, "src": "bhavcopy"}, "2026-10-07": {"open": 2052.0, "close": 2052.8, "src": "bhavcopy"}, "2026-10-08": {"open": 2055.0, "close": 1997.9, "src": "bhavcopy"}, "2026-10-09": {"open": 1997.9, "close": 2036.6, "src": "bhavcopy"}, "2026-10-12": {"open": 2044.1, "close": 2069.2, "src": "bhavcopy"}, "2026-10-13": {"open": 2047.1, "close": 2059.4, "src": "bhavcopy"}, "2026-10-14": {"open": 2049.0, "close": 2036.9, "src": "bhavcopy"}, "2026-10-15": {"open": 2025.0, "close": 2018.5, "src": "bhavcopy"}, "2026-10-16": {"open": 2030.4, "close": 2060.1, "src": "bhavcopy"}, "2026-10-19": {"open": 2060.1, "close": 2069.0, "src": "bhavcopy"}}, "NIFTY50": {"2026-09-28": {"open": 23064.9, "close": 22780.25, "src": "yahoo"}, "2026-09-29": {"open": 22732.45, "close": 22716.2, "src": "bhavcopy"}, "2026-09-30": {"open": 22665.0, "close": 22620.45, "src": "bhavcopy"}, "2026-10-01": {"open": 22543.7, "close": 22421.95, "src": "bhavcopy"}, "2026-10-05": {"open": 22532.4, "close": 22555.75, "src": "bhavcopy"}, "2026-10-06": {"open": 22603.25, "close": 22776.1, "src": "bhavcopy"}, "2026-10-07": {"open": 22690.45, "close": 22603.05, "src": "bhavcopy"}, "2026-10-08": {"open": 22599.05, "close": 22231.8, "src": "bhavcopy"}, "2026-10-09": {"open": 22314.95, "close": 22520.45, "src": "bhavcopy"}, "2026-10-12": {"open": 22593.2, "close": 22363.35, "src": "yahoo"}, "2026-10-13": {"open": 22364.15, "close": 22721.95, "src": "bhavcopy"}, "2026-10-14": {"open": 22715.75, "close": 22622.7, "src": "yahoo"}, "2026-10-15": {"open": 22671.3, "close": 22997.35, "src": "bhavcopy"}, "2026-10-16": {"open": 23065.1, "close": 23146.15, "src": "bhavcopy"}, "2026-10-19": {"open": 23150.85, "close": 22888.95, "src": "bhavcopy"}}, "ATHERENERG": {"2026-09-28": {"open": 1495.0, "close": 1454.9, "src": "yahoo"}, "2026-09-29": {"open": 1460.2, "close": 1407.0, "src": "bhavcopy"}, "2026-09-30": {"open": 1416.5, "close": 1425.0, "src": "bhavcopy"}, "2026-10-01": {"open": 1422.0, "close": 1406.1, "src": "bhavcopy"}, "2026-10-05": {"open": 1411.1, "close": 1409.9, "src": "bhavcopy"}, "2026-10-02": {"open": 1406.1, "close": 1406.1, "src": "yahoo"}, "2026-10-06": {"open": 1408.7, "close": 1446.0, "src": "bhavcopy"}, "2026-10-07": {"open": 1436.0, "close": 1455.0, "src": "bhavcopy"}, "2026-10-08": {"open": 1454.5, "close": 1406.0, "src": "bhavcopy"}, "2026-10-09": {"open": 1406.0, "close": 1434.4, "src": "bhavcopy"}, "2026-10-12": {"open": 1435.0, "close": 1511.0, "src": "bhavcopy"}, "2026-10-13": {"open": 1480.0, "close": 1494.9, "src": "bhavcopy"}, "2026-10-14": {"open": 1491.0, "close": 1467.0, "src": "bhavcopy"}, "2026-10-15": {"open": 1470.7, "close": 1470.0, "src": "bhavcopy"}, "2026-10-16": {"open": 1474.4, "close": 1470.0, "src": "bhavcopy"}, "2026-10-19": {"open": 1470.0, "close": 1459.0, "src": "bhavcopy"}}, "THANGAMAYL": {"2026-09-28": {"open": 5100.0, "close": 5011.5, "src": "yahoo"}, "2026-09-29": {"open": 5010.0, "close": 5204.5, "src": "bhavcopy"}, "2026-09-30": {"open": 5210.5, "close": 5062.0, "src": "bhavcopy"}, "2026-10-01": {"open": 5087.5, "close": 4861.0, "src": "bhavcopy"}, "2026-10-05": {"open": 4870.0, "close": 4747.0, "src": "bhavcopy"}, "2026-10-06": {"open": 4794.0, "close": 4758.5, "src": "bhavcopy"}, "2026-10-07": {"open": 4758.5, "close": 4803.0, "src": "bhavcopy"}, "2026-10-08": {"open": 4840.0, "close": 4810.5, "src": "bhavcopy"}, "2026-10-09": {"open": 4800.5, "close": 4889.5, "src": "bhavcopy"}, "2026-10-12": {"open": 4949.5, "close": 4890.5, "src": "bhavcopy"}, "2026-10-13": {"open": 4860.0, "close": 4900.5, "src": "bhavcopy"}, "2026-10-14": {"open": 4940.0, "close": 4849.5, "src": "bhavcopy"}, "2026-10-15": {"open": 4849.5, "close": 4791.0, "src": "bhavcopy"}, "2026-10-16": {"open": 4775.0, "close": 5098.0, "src": "bhavcopy"}, "2026-10-19": {"open": 5122.5, "close": 5017.5, "src": "bhavcopy"}}, "RRKABEL": {"2026-09-28": {"open": 2530.4, "close": 2459.8, "src": "yahoo"}, "2026-09-29": {"open": 2459.8, "close": 2523.2, "src": "bhavcopy"}, "2026-09-30": {"open": 2530.0, "close": 2518.6, "src": "bhavcopy"}, "2026-10-01": {"open": 2524.0, "close": 2518.2, "src": "bhavcopy"}, "2026-10-05": {"open": 2541.5, "close": 2648.0, "src": "bhavcopy"}, "2026-10-06": {"open": 2667.0, "close": 2789.7, "src": "bhavcopy"}, "2026-10-02": {"open": 2518.2, "close": 2518.2, "src": "yahoo"}, "2026-10-07": {"open": 2785.0, "close": 2722.5, "src": "bhavcopy"}, "2026-10-08": {"open": 2701.0, "close": 2696.4, "src": "bhavcopy"}, "2026-10-09": {"open": 2700.0, "close": 2705.6, "src": "bhavcopy"}, "2026-10-12": {"open": 2731.8, "close": 2721.5, "src": "bhavcopy"}, "2026-10-13": {"open": 2720.0, "close": 2614.2, "src": "bhavcopy"}, "2026-10-14": {"open": 2634.0, "close": 2664.1, "src": "bhavcopy"}, "2026-10-15": {"open": 2640.0, "close": 2603.9, "src": "bhavcopy"}, "2026-10-16": {"open": 2607.0, "close": 2388.0, "src": "bhavcopy"}, "2026-10-19": {"open": 2377.5, "close": 2387.8, "src": "bhavcopy"}}, "ACUTAAS": {"2026-09-28": {"open": 3272.5, "close": 3214.4, "src": "yahoo"}, "2026-09-29": {"open": 3290.0, "close": 3304.1, "src": "bhavcopy"}, "2026-09-30": {"open": 3334.1, "close": 3279.4, "src": "bhavcopy"}, "2026-10-01": {"open": 3249.0, "close": 3196.5, "src": "bhavcopy"}, "2026-10-05": {"open": 3204.1, "close": 3122.2, "src": "bhavcopy"}, "2026-10-02": {"open": 3196.5, "close": 3196.5, "src": "yahoo"}, "2026-10-06": {"open": 3140.0, "close": 3156.7, "src": "bhavcopy"}, "2026-10-07": {"open": 3160.0, "close": 3174.2, "src": "bhavcopy"}, "2026-10-08": {"open": 3174.6, "close": 3056.7, "src": "bhavcopy"}, "2026-10-09": {"open": 3059.0, "close": 3160.6, "src": "bhavcopy"}, "2026-10-12": {"open": 3160.0, "close": 3144.1, "src": "bhavcopy"}, "2026-10-13": {"open": 3160.0, "close": 3176.7, "src": "bhavcopy"}, "2026-10-14": {"open": 3176.9, "close": 3160.5, "src": "bhavcopy"}, "2026-10-15": {"open": 3179.0, "close": 3132.5, "src": "bhavcopy"}, "2026-10-16": {"open": 3132.5, "close": 3206.0, "src": "bhavcopy"}, "2026-10-19": {"open": 3275.0, "close": 3253.4, "src": "bhavcopy"}}, "DIACABS": {"2026-09-28": {"open": 353.0, "close": 339.25, "src": "yahoo"}, "2026-09-29": {"open": 336.9, "close": 352.05, "src": "bhavcopy"}, "2026-09-30": {"open": 349.5, "close": 354.2, "src": "bhavcopy"}, "2026-10-01": {"open": 355.0, "close": 345.0, "src": "bhavcopy"}, "2026-10-05": {"open": 350.0, "close": 350.8, "src": "bhavcopy"}, "2026-10-06": {"open": 350.0, "close": 368.3, "src": "bhavcopy"}, "2026-10-02": {"open": 345.0, "close": 345.0, "src": "yahoo"}, "2026-10-07": {"open": 367.0, "close": 369.15, "src": "bhavcopy"}, "2026-10-08": {"open": 374.9, "close": 371.9, "src": "bhavcopy"}, "2026-10-09": {"open": 370.0, "close": 380.95, "src": "bhavcopy"}, "2026-10-12": {"open": 380.95, "close": 379.7, "src": "bhavcopy"}, "2026-10-13": {"open": 376.7, "close": 377.55, "src": "bhavcopy"}, "2026-10-14": {"open": 377.55, "close": 378.75, "src": "bhavcopy"}, "2026-10-15": {"open": 377.75, "close": 373.75, "src": "bhavcopy"}, "2026-10-16": {"open": 367.3, "close": 362.4, "src": "bhavcopy"}, "2026-10-19": {"open": 359.0, "close": 345.85, "src": "bhavcopy"}}, "KIRLOSENG": {"2026-09-28": {"open": 2138.1, "close": 2141.2, "src": "yahoo"}, "2026-09-29": {"open": 2141.2, "close": 2402.0, "src": "bhavcopy"}, "2026-09-30": {"open": 2358.0, "close": 2304.2, "src": "bhavcopy"}, "2026-10-01": {"open": 2310.7, "close": 2242.7, "src": "bhavcopy"}, "2026-10-05": {"open": 2265.0, "close": 2243.7, "src": "bhavcopy"}, "2026-10-06": {"open": 2258.8, "close": 2266.1, "src": "bhavcopy"}, "2026-10-02": {"open": 2242.7, "close": 2242.7, "src": "yahoo"}, "2026-10-07": {"open": 2270.0, "close": 2230.8, "src": "bhavcopy"}, "2026-10-08": {"open": 2230.0, "close": 2163.0, "src": "bhavcopy"}, "2026-10-09": {"open": 2171.4, "close": 2210.4, "src": "bhavcopy"}, "2026-10-12": {"open": 2235.0, "close": 2193.0, "src": "bhavcopy"}, "2026-10-13": {"open": 2195.0, "close": 2180.8, "src": "bhavcopy"}, "2026-10-14": {"open": 2214.5, "close": 2148.3, "src": "bhavcopy"}, "2026-10-15": {"open": 2158.0, "close": 2066.3, "src": "bhavcopy"}, "2026-10-16": {"open": 2075.0, "close": 2025.6, "src": "bhavcopy"}, "2026-10-19": {"open": 2019.0, "close": 1973.2, "src": "bhavcopy"}}}, "entry_override": {}, "news": {"fetched": "2026-10-19 18:48", "days": 7, "items": [{"symbol": "MARKET", "title": "\ud83d\udea8 Finance Minister Nirmala Sitharaman has attributed part of the underperformance of Indian equities to the ease with which investors can exit their positions, even as she maintained that the country's economic fundamentals remain sound. \u201cBecause of the ea", "link": "https://news.google.com/rss/articles/CBMitAFBVV95cUxPZkVNZVpJS2N6Nm0tZFRqQVVJTDhKYTBGTTc1TlM0QVBhUU5XcmtlS0tadkljUWpPMEtnSGp4cUJDMFlNYlFuTWh5QnR3eWMzd1I3dk1pMF9Belc2emlGUmFFZTNWZE5Bd2FFVXZyeFVXcnZrLTFkMjRZUWNWblN6dmtYNnNYZUppV29NdXZwcm5qcjZQZlB5aGZKeEdjcGpJa2pWdGs4T1V0MThwM3JBMEg5Y2o?oc=5", "source": "LinkedIn", "published": "2026-10-19 15:14", "score": 0.361, "label": "Positive"}, {"symbol": "LAURUSLABS", "title": "Laurus Labs - PC Jeweller among 8 stocks that hit 52-week high and rallied up to 42% in a month", "link": "https://news.google.com/rss/articles/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oc=5", "source": "The Economic Times", "published": "2026-10-19 14:13", "score": 0.052, "label": "Neutral"}, {"symbol": "MARKET", "title": "Sensex, Nifty fall over 1% each as selling in private banks and elevated oil prices rattle markets", "link": "https://news.google.com/rss/articles/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oc=5", "source": "The New Indian Express", "published": "2026-10-19 13:26", "score": 0.077, "label": "Neutral"}, {"symbol": "MARKET", "title": "Nifty Sensex Today: Stock Market Crashes as Sensex Falls 876 Points, Nifty Drops 1.11%; Banking and IT Stocks Lead the Losses", "link": "https://news.google.com/rss/articles/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oc=5", "source": "India Infoline", "published": "2026-10-19 13:06", "score": -0.0, "label": "Neutral"}, {"symbol": "DIACABS", "title": "Diamond Power Infrastructure (NSE:DIACABS): Who Is the New CFO Appointed on 19 October 2026?", "link": "https://news.google.com/rss/articles/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oc=5", "source": "Kalkine India", "published": "2026-10-19 12:29", "score": 0.34, "label": "Positive"}, {"symbol": "MARKET", "title": "Manic Monday at Indian stock market: Sensex, Nifty bleed - \u20b93.6 lakh cr gone in 6 hours | What went wrong? Big reasons", "link": "https://news.google.com/rss/articles/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oc=5", "source": "Livemint", "published": "2026-10-19 11:35", "score": -0.103, "label": "Neutral"}, {"symbol": "MARKET", "title": "Share Market Today: Nifty 50, Bank Nifty | Oct 19, 2026", "link": "https://news.google.com/rss/articles/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oc=5", "source": "Liquide Blog", "published": "2026-10-19 11:26", "score": 0.66, "label": "Positive"}, {"symbol": "MARKET", "title": "Sensex, Nifty Tank As Crude Prices Surge And Corporate Earnings Disappoint", "link": "https://news.google.com/rss/articles/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oc=5", "source": "ETV Bharat", "published": "2026-10-19 11:11", "score": -0.128, "label": "Neutral"}, {"symbol": "MARKET", "title": "Sensex Today Tanks 876 Points | Nifty Below 28,900 | 3 Reasons Why Indian Share Markets Are Falling", "link": "https://news.google.com/rss/articles/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oc=5", "source": "Equitymaster", "published": "2026-10-19 10:33", "score": -0.273, "label": "Negative"}, {"symbol": "MARKET", "title": "Taking Stock: Market snaps 2-day gains; Nifty below 22,900, Sensex tanks 876 pts", "link": "https://news.google.com/rss/articles/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oc=5", "source": "Moneycontrol.com", "published": "2026-10-19 10:19", "score": 0.273, "label": "Positive"}, {"symbol": "MARKET", "title": "Sensex, Nifty end in red as private banks, IT stocks drag markets", "link": "https://news.google.com/rss/articles/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oc=5", "source": "India Today", "published": "2026-10-19 10:06", "score": 0.202, "label": "Positive"}, {"symbol": "MARKET", "title": "Why Is Stock Market Down Today? Sensex, Nifty Crash: 3 Reasons", "link": "https://news.google.com/rss/articles/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oc=5", "source": "Univest", "published": "2026-10-19 10:04", "score": -0.273, "label": "Negative"}, {"symbol": "MARKET", "title": "Why Is The Indian Stock Market Falling Today? From Oil Prices To Weak Global Cues; List Of 3 Reasons Behind The Fall", "link": "https://news.google.com/rss/articles/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oc=5", "source": "Jagran Josh", "published": "2026-10-19 09:40", "score": -0.681, "label": "Negative"}, {"symbol": "MARKET", "title": "Stock market holiday tomorrow on Dussehra: Are BSE, NSE open or closed for trading on Tuesday 20 Oct? Check calendar", "link": "https://news.google.com/rss/articles/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oc=5", "source": "Livemint", "published": "2026-10-19 09:26", "score": 0.402, "label": "Positive"}, {"symbol": "AEROFLEX", "title": "Aeroflex Industries Ltd granted a patent for its innovative technology", "link": "https://news.google.com/rss/articles/CBMirwFBVV95cUxPWkFoVnJudVByWHVCbS1fRk5TaDEzV2cwbklGU3hEbFJGM3M0cWhudmtIeVA4YWlfekNicFhyaTdDNHpQbWZiblRiX0RkanFJaVRlZno2QlhOUVNRYWk0RG5DY1I3NDZ5ZHBuQVlrT0t2NEhRcHVuaWUzM0ZubmpmWkxuSWExekZCR0w5RTN3QTZULU5zX1JwQVJvdmxhYmZGN1VLOU8yR1NhSGZKT21r?oc=5", "source": "EquityBulls", "published": "2026-10-19 09:06", "score": 0.599, "label": "Positive"}, {"symbol": "AEROFLEX", "title": "Aeroflex Industries secures patent for innovative engineering technology", "link": "https://news.google.com/rss/articles/CBMirgFBVV95cUxNZldZTERhLUR5bzRZZV91dTQ0Q2pjSG93XzBscTRReTlRbHhjc242V21USVo3cm9XMndwY2ZJWWRlNGRZLWtQMGF3STF5UGppX2JpOWtDVEJPLW5RUnczSGJsTERCUEc5elN2MmZ3LUhhZDRsZlZEN2pQUHU5LWw3ZG1IaTdzQjFUbU4wcWVEUWRLaWtFUVhJYXBZWGgyRHh5bnIydm1fUFMxdVd0c2c?oc=5", "source": "Business Upturn", "published": "2026-10-19 08:51", "score": 0.691, "label": "Positive"}, {"symbol": "MARKET", "title": "Stock market crash today: Sensex plunges over 900 points, Nifty50 below 22,900 - top reasons for fall", "link": "https://news.google.com/rss/articles/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oc=5", "source": "The Times of India", "published": "2026-10-19 08:34", "score": -0.836, "label": "Negative"}, {"symbol": "MARKET", "title": "Sensex, Nifty crash: Why is stock market down today? Massive wealth eroded; investors lose \u20b94 lakh crore - Top 3 reasons", "link": "https://news.google.com/rss/articles/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oc=5", "source": "Livemint", "published": "2026-10-19 08:19", "score": 0.052, "label": "Neutral"}, {"symbol": "AEROFLEX", "title": "Aeroflex Industries Patent: 3D Braided Hose Tech Granted", "link": "https://news.google.com/rss/articles/CBMiwwFBVV95cUxQaXNlZmlYVkVyMERnTGRiNjdSVUhUcDQ0QWRQbUlNTExWajBiNUtERGRsblZibkpXRFpyOC1GTVdyTEg1MTZVX2laS21MYUswS29Ub2pPRGR3aXFJVDR5dURYM1dMeDJHU1pNN0FTTkJ1aGh2TGJGVkVSX2tkcXczaDZtRm1xQ25EYkJIdnBxU1RFS3BkYzAtX1N4MmZEeGtYbmpRNjV5OGctUHlmLXhjTzRaUGVlVjNYS2VDOW5PMHBzb2c?oc=5", "source": "Kalkine India", "published": "2026-10-19 08:10", "score": 0.25, "label": "Positive"}, {"symbol": "MARKET", "title": "Sensex crashes 1,000 points: Why is stock market down today?", "link": "https://news.google.com/rss/articles/CBMi-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oc=5", "source": "India Today", "published": "2026-10-19 08:07", "score": 0.0, "label": "Neutral"}, {"symbol": "MARKET", "title": "Stock Market Crash: Investors Lose Rs 5 Lakh Crore As Sensex, Nifty Tank. 3 Reasons Why Market Are Falling Today", "link": "https://news.google.com/rss/articles/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oc=5", "source": "NDTV", "published": "2026-10-19 08:06", "score": -0.66, "label": "Negative"}, {"symbol": "E2E", "title": "E2E Networks AI Cloud Infrastructure and GPU Services Explained", "link": "https://news.google.com/rss/articles/CBMisgFBVV95cUxOQjVNam4yMXFWbnEzQ0ttOXpNWmtJR2xuMTlBemFzbGViRkUwOVByYzNCUGJVcGxJd3p5eDNWNkh1WG9CeGxfSWN3a09YbnUyRTBxazY2TGpBajZLUnBRZ2V3dHlzWlRHbTh5XzRfdVBTZklpbW1MNlhkWTBwd2ZjLUE3RXNqYlVHWE9hdHZFbG5ZNU94ajM2LUZIMVBoSnV2bHgzRG9wOHBtUzhGRnhwVGtR?oc=5", "source": "Kalkine India", "published": "2026-10-19 07:40", "score": 0.0, "label": "Neutral"}, {"symbol": "MARKET", "title": "Three Reasons Why Markets Are Falling Today: Sensex Slumps 700 Points, Nifty Cracks Below 23,000", "link": "https://news.google.com/rss/articles/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oc=5", "source": "NDTV Profit", "published": "2026-10-19 07:21", "score": -0.273, "label": "Negative"}, {"symbol": "LAURUSLABS", "title": "Laurus Labs zooms 128% from March low; hits new high in weak market", "link": "https://news.google.com/rss/articles/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oc=5", "source": "Business Standard", "published": "2026-10-19 07:20", "score": -0.542, "label": "Negative"}, {"symbol": "MARKET", "title": "Sensex tanks 1020 pts intraday: Bank stocks, FPI selling among key factors", "link": "https://news.google.com/rss/articles/CBMi1wFBVV95cUxQQmhnZl9zOTVwaUJnNDFwSmNOSWFoU2VLSXZVTFVqazI3OW1kYWtlblNITUtNdV92NWtaT09EVkNQZ2tlUmFDOFpOaVdwTWJrSXRUVldpQTN5Qi1rbWRwamMtaDhrdDZMOExXdFVEN2c5WkdLNmFVLXhpSXp4SmswYmZySmdSME5YYTc5OFNycTV4bmh4UG</t>
        </is>
      </c>
    </row>
    <row r="3">
      <c r="A3" t="inlineStr">
        <is>
          <t>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oc=5", "source": "Business Standard", "published": "2026-10-19 07:15", "score": -0.494, "label": "Negative"}, {"symbol": "MARKET", "title": "Indian Stock Market Declines as Sensex Drops Over 400 Points", "link": "https://news.google.com/rss/articles/CBMipAFBVV95cUxNSE5KRlBpQjMyNDFfR1Q4QzNyREFGeFROLUFhZWhSaHk3MWdlWXBkWi1KMGRaV1ZTeDZzeHBvazZRdEhiWjhXZWo3VTQ2Vzk1WVZtQ1IwaEN3bVJOWDlKajJVTnJqdWJqY0l5b0dRQXM0REV4d3dJYlNtS0s5NFVqVWZuRzFWZHhoZV8ySFpUc2ozLURwM25iTU1FaHBnWFdFTUtweQ?oc=5", "source": "India News Network", "published": "2026-10-19 06:36", "score": -0.382, "label": "Negative"}, {"symbol": "MARKET", "title": "Dussehra Stock Market Holiday: October 20 or 21? When will NSE, BSE remain closed?", "link": "https://news.google.com/rss/articles/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oc=5", "source": "Moneycontrol.com", "published": "2026-10-19 05:29", "score": 0.47, "label": "Positive"}, {"symbol": "MARKET", "title": "Stock Markets Today: Sensex, Nifty Down in Volatile Trade", "link": "https://news.google.com/rss/articles/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oc=5", "source": "Rediff", "published": "2026-10-19 05:21", "score": 0.402, "label": "Positive"}, {"symbol": "MARKET", "title": "Easy exits hurting Indian stocks: Nirmala Sitharaman explains why equities are underperforming", "link": "https://news.google.com/rss/articles/CBMi-wFBVV95cUxQX0lKZC1TejBUdWYyZ0FtTGhDSUNJNW0wZlo3MHRRUjQxZWw1V2x1MnphWHJDOUM2QmQ3MDZCOWVEXy1GQll5LXBJdG5oNG1JMHhrTDBYckhKTVdGQndrTjJzcXBsOVNyX0RjeVVETV9hcG9td0s0OFItWjBvRkx6blBrNzJMZW9VeS1ialRKTnVZNlZlWnhZUHZHVjZ4X21UbnRhd01idUFvSE41RnVWLUpFaGpGYlA0dDIwODFmb20yOURFdE1JTnBEbnM4bWVqZkJDQm1LZkNYcVZZOEZOb2lVMkxjdUFtNTNCVWlWaWtSc0otd2h0X295MNIBgAJBVV95cUxPZ250RldmdlZGREtwUU1tRkVzcTczSmFlbko3Y0d2S1hlSWtOcXg1ajZzaWdHMEV6ZmFiUWpMZDB6cGhyWlpMbUpiSzJBa3dTTUhjMnBDYkZwOGhKNzgyb2haSDN1R3hfVUEzTU5iaWF4UUliSDVTSkt3bzMzdExsdmdaRTZDZzRLdHlhRlFwMXRWdWhKQTFCZ3RIMkpXMWllMHBrNnFjbDF1czRQdmQzQ1VnZmluQ3BDSzQwb2ozcHRVQW5qM0ZzMmd3UWRVN3BKWEZXMjQ0T3BjaFJaenl4R0FuLVVjam0tNTVwRGNaYzNfQkFpak5fek13TDVTS3c4?oc=5", "source": "The Economic Times", "published": "2026-10-19 05:16", "score": 0.052, "label": "Neutral"}, {"symbol": "MARKET", "title": "Stock markets trim most of sharp early losses amid buying in SBI, Reliance Industries", "link": "https://news.google.com/rss/articles/CBMirwFBVV95cUxOc3lEbGJVcHoyZ2FUYzBfSjVVMHV3WnBUWlVkN2Y4QXN1Mng0aDZ4Vzd1QzVzdzZUUFkybGdBOHNmVmlBUGJDRVg1TEszV19HSGNrZXQtaU45OGc3LXpleV9JMGN6eVNaUHRHSk5Lb0xKS3lDNVRSLU5PaHZMQm5IYmhibExvQWFlM19LODhFSDNnVmFHcTZLa2ZPR3pDYkRPWjBpNnBFVkl6d0xQWnpv?oc=5", "source": "DD News", "published": "2026-10-19 05:06", "score": -0.421, "label": "Negative"}, {"symbol": "MARKET", "title": "Sensex, Nifty Mixed at Open Amid Weak Asian Markets", "link": "https://news.google.com/rss/articles/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oc=5", "source": "HDFC Sky", "published": "2026-10-19 05:01", "score": 0.026, "label": "Neutral"}, {"symbol": "LAURUSLABS", "title": "Top Hyderabad-based Stocks 2026: Divi's Labs, Laurus Labs, NMDC", "link": "https://news.google.com/rss/articles/CBMihAFBVV95cUxOYnZPOHBWT0JBbGkzbzZ2dl9xOGNDZ0dKSFR4V1YtbENNSm1IaUQwb0xmRkZnd0xFNFZ3bGdoQXNUTERBblFjZ0NfMTg3aS00YVlHY3I0cnFiN2dpem5aS3cxMVRIYzVDV1VxQTFSWGZXWFZFS3VZQ3dFeGpLZE40elB0Qko?oc=5", "source": "Univest", "published": "2026-10-19 04:51", "score": 0.202, "label": "Positive"}, {"symbol": "MARKET", "title": "Sensex, Nifty open flat as high crude oil prices offset banking stocks gains", "link": "https://news.google.com/rss/articles/CBMipgFBVV95cUxQcjFXN1VpVVY5MDI3Y3pkNFNtcC1oQU5pS1AxS0NvR3Nkc0k2WDhPdENsSkZtM0RNOGU3RUlyZjI0UVZjQlBfZHlGUWUyNUFjS29YdUNIWVY1RmJDQ0VZNk53blJkX3pWUzRESDhEbVdEZDRLZkpXdklqVWxkcnBKcHdhUmZGZDVZaDJRYkhGWTBvcHFnSVJoRmVTSDNWUzRwMExKZXlR?oc=5", "source": "ChiniMandi", "published": "2026-10-19 04:36", "score": 0.34, "label": "Positive"}, {"symbol": "MARKET", "title": "Stock Market Down: Bulls lose ground! Sensex sinks nearly 900 points, Nifty ends below 22,900; 5 key trigg", "link": "https://news.google.com/rss/articles/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oc=5", "source": "The Economic Times", "published": "2026-10-19 04:34", "score": -0.509, "label": "Negative"}, {"symbol": "MARKET", "title": "Sensex Today Trades Lower | Nifty Below 23,050 | HDFC Bank &amp; Axis Bank Top Losers", "link": "https://news.google.com/rss/articles/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oc=5", "source": "Equitymaster", "published": "2026-10-19 04:25", "score": -0.178, "label": "Neutral"}, {"symbol": "MARKET", "title": "Stock Market This Week: Top 7 Factors for Sensex and Nifty", "link": "https://news.google.com/rss/articles/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oc=5", "source": "Univest", "published": "2026-10-19 04:20", "score": 0.542, "label": "Positive"}, {"symbol": "MARKET", "title": "Markets Today: Sensex Falls Over 100 Points, Nifty Opens Near 23,150; India VIX Rises 2.6%", "link": "https://news.google.com/rss/articles/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oc=5", "source": "News18", "published": "2026-10-19 03:59", "score": 0.026, "label": "Neutral"}, {"symbol": "MARKET", "title": "Stock Market Today: Gift Nifty, Banks Q2 Results To Oil Prices; Five Key Factors For Sensex, Nifty 50 On October 19", "link": "https://news.google.com/rss/articles/CBMi-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oc=5", "source": "NDTV Profit", "published": "2026-10-19 01:38", "score": 0.807, "label": "Positive"}, {"symbol": "MARKET", "title": "Stock market outlook today, 19 Oct: Sensex, Nifty prediction - DJIA, S&amp;P, NASDAQ, GIFT Nifty, Kospi, Nikkei, Taiwan cues", "link": "https://news.google.com/rss/articles/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oc=5", "source": "Livemint", "published": "2026-10-19 01:19", "score": 0.842, "label": "Positive"}, {"symbol": "MARKET", "title": "Stock market this week with top 7 factors for Sensex, Nifty: Reliance Jio IPO, crude volatility, FII selling, Q2 results", "link": "https://news.google.com/rss/articles/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oc=5", "source": "Livemint", "published": "2026-10-18 12:37", "score": -0.052, "label": "Neutral"}, {"symbol": "MARKET", "title": "Share Market News: Nifty 50 Outlook &amp; Prediction", "link": "https://news.google.com/rss/articles/CBMimgFBVV95cUxPYWl3bzY2TEl0WEJaRWtLS0ZfV1l4NU5pdzJFbTl0NDgwZ2VEWHBBYzdBUGFXYnFYRGdRZm1UMHhPZjA0Y1VHSXowUkROclY5cDNwZ2VYMURJN0kxV0ZzSHpFcEI0TWtLMlpKd2ZwVlRMQm02S1hiRVFnVjQzaFNFenRXZC1KVm9KbTdrd29MWUh2blh6Z3dvU1Nn?oc=5", "source": "Liquide Blog", "published": "2026-10-18 09:46", "score": 0.402, "label": "Positive"}, {"symbol": "E2E", "title": "E2E Networks Publishes Q2 FY26 Unaudited Financial Results", "link": "https://news.google.com/rss/articles/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oc=5", "source": "The Globe and Mail", "published": "2026-10-18 09:01", "score": 0.0, "label": "Neutral"}, {"symbol": "ATHERENERG", "title": "ATHERENERG Share Price Today - Ather Energy on NSE/BSE", "link": "https://news.google.com/rss/articles/CBMiV0FVX3lxTE5nUk04OXo3UnhBVG15ZUJWaVhiSnJNUktNeS1pSThMN2F5YjUyTUIyZFBOU0EzQzVpWUh1WnluaEFlZWwwOXkzRkNXbVp5T1B6d21seURtVQ?oc=5", "source": "scanx.trade", "published": "2026-10-17 18:06", "score": 0.273, "label": "Positive"}, {"symbol": "ACUTAAS", "title": "Acutaas Chemicals completes acquisition of Enchem Ami Organics", "link": "https://news.google.com/rss/articles/CBMitwFBVV95cUxNMDVaazJFSUV2alBkdW9fZ0hROEdaZkdfdVFBdWF3cEFIZ2dBdGgwdzU1VFF6MkFKd0xHTUhUWkxGelZEZnlfajJZM1lSMGR6blR6M3pVTjcwaXNuTnRUQUotcDZzQWFMOXptTGtENHZVTFBUTlg0TzVDaXNfS1dFakpMeWM5SHlYaWVRMS1JazBoeVVYempvNndFVmJpV2FnZ3JuNm02cGNmdV9mX0E3ZjhoeERqMTg?oc=5", "source": "scanx.trade", "published": "2026-10-17 09:58", "score": 0.0, "label": "Neutral"}, {"symbol": "E2E", "title": "E2E Networks pays \u20b910,000 fine to exchanges for compliance delay", "link": "https://news.google.com/rss/articles/CBMiswFBVV95cUxPcmtYR3dlcWdXU1lkZlc2XzJzQUU2N3IwWEZEejd1c3c2Y1dEU2M5Y3hOZWh3aHF0ZUpGY2tvU1lYVEZXbFNRUkl6ampycXh3Y1JZRmh3eDkzTUtqTnhWRnF4VlhZU1FycDdXaVNvWGMxT3ppM2lmVUZiSnYzSGk3QWRLZUdLcnlPYXdZTDZPSVkxOHZLLTFvbXZMR0lsQmNTcXpSWVFmWHc3eTVSNXVsM1ZQbw?oc=5", "source": "scanx.trade", "published": "2026-10-17 09:32", "score": -0.128, "label": "Neutral"}, {"symbol": "MARKET", "title": "Stock market holiday on Dussehra 2026? Are NSE, BSE open or closed for trading on October 20 Tuesday? Calendar", "link": "https://news.google.com/rss/articles/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oc=5", "source": "Livemint", "published": "2026-10-17 07:33", "score": 0.47, "label": "Positive"}, {"symbol": "E2E", "title": "Indian Listed New-Age Tech Company Tracker: Market Cap, Revenue &amp; More", "link": "https://news.google.com/rss/articles/CBMimgFBVV95cUxPVU94dFhyMVNPZFBOeklEbER6NHMwNzZpZDdzamhwdXpTYWZjWkh1cVN6WFhGV2UxZWlyVEZrOUlRak5NSFQ5UWstcjFjMHNzWFNuTzZaRUFVWXVhM0YzU0F6clJYMWp1VlBSOTV2SEdTYlVFbTZkYTJQMzYyNzRZWllNaWhDWFduSmhKcmxicm51d1JuMGVjR3R3?oc=5", "source": "Inc42", "published": "2026-10-17 07:00", "score": 0.0, "label": "Neutral"}, {"symbol": "E2E", "title": "E2E Networks Ltd (NSE:E2E) Q2 2027 Earnings Call Highlights: Revenue Surges 411% YoY on ...", "link": "https://news.google.com/rss/articles/CBMikwFBVV95cUxQTGY5bk82SXRsTUdRWldyX0FMNE9heHk4NHRjTFBMOVJzcWZYamVaRHpGaVZNZ0s3WV8tMmZUTzVLZlhXZnBsemtZMm1aeXFGZUM2RmM1eEdRdjk3MFNlX0ZIMV9aRktwdHh5cF9CTE1lR0IxMkhUME5femU4Rm45UlBDOVlVdUZsMjZNOGt6YjVmRE0?oc=5", "source": "Yahoo Finance", "published": "2026-10-16 21:00", "score": 0.494, "label": "Positive"}, {"symbol": "E2E", "title": "E2E Networks fined \u20b910,000 by NSE and BSE for non-compliance", "link": "https://news.google.com/rss/articles/CBMinwFBVV95cUxOMm9fNy1HYkR2VTIteDVSZEx5Q1pXTkthZzNYbmdzNTRuZXNDUTVSb2RReTNRVUhtR2diczktRVZWZGF6VEVqd1hNUUdPZFNaczRuZVlzRmVUbHVNYlo3dlMzalhURU9vSzI0aW9vWmJ1ekdYWWR2VVlZem4xcDNUaFdNdDdpaFdrT0tBWWNXa1JZMWdwdUZ2UU1lUXFhb28?oc=5", "source": "Business Upturn", "published": "2026-10-16 17:21", "score": 0.0, "label": "Neutral"}, {"symbol": "E2E", "title": "From 50% Slump To 250% Rally: What's Behind This Small-Cap Multibagger AI Stock's Upwing?", "link": "https://news.google.com/rss/articles/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oc=5", "source": "NDTV Profit", "published": "2026-10-16 16:44", "score": 0.421, "label": "Positive"}, {"symbol": "E2E", "title": "This small-cap AI stock has surged 250% in 2026: What is behind its stellar market performance?", "link": "https://news.google.com/rss/articles/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oc=5", "source": "Livemint", "published": "2026-10-16 15:01", "score": 0.0, "label": "Neutral"}, {"symbol": "LAURUSLABS", "title": "Laurus Labs Limited (LAURUSLABS.NS) Stock Price, News, Quote &amp; History", "link": "https://news.google.com/rss/articles/CBMiXkFVX3lxTFBxLUpXOHh3Z1BMOHZRamlZR1BuVGdaOVZLUmJSdkNiQ2dBLVZIWnhMbi1WMUpzUktaQm5pazNKdGFKMjZHNUdGRHcwWWd3U1Rac1c5M1RjOF9qQjVxY1E?oc=5", "source": "Yahoo! Finance Canada", "published": "2026-10-16 14:03", "score": -0.226, "label": "Negative"}, {"symbol": "LAURUSLABS", "title": "Laurus Labs - Kotak Mahindra Bank among 5 stocks that hit 52-week highs &amp; rallied up to 15% in a month", "link": "https://news.google.com/rss/articles/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oc=5", "source": "The Economic Times", "published": "2026-10-16 13:14", "score": -0.153, "label": "Neutral"}, {"symbol": "E2E", "title": "E2E Networks Q2 FY27 slides: revenue surges 411% on GPU expansion", "link": "https://news.google.com/rss/articles/CBMiwgFBVV95cUxPbkszOTlkTE9MazlfWEZIb0hrTW4wTnZtYVhxazlvUmt1QjRuTVh2NzFQZTdnWURJU0hDRFl2cXJUSmt1X09jcC1sZFRLd1pTUXF3dUJsRUFORGplOHpTVGpaOWg3VnNVcmdYLXBrZTJKOTRBNjNta0xkR093V21VaEZLV0ZCaE5ZcGt3Y3ZVMkJieHNsTXQ3RUIzZTJIdjZZRjZiRmlacDRMRldjYnYtblZrTEJWei1WWHhGM3lqNnYtUQ?oc=5", "source": "Investing.com India", "published": "2026-10-16 11:53", "score": 0.691, "label": "Positive"}, {"symbol": "MARKET", "title": "Indian Equities Extend Gains, IT Sector Leads Rally on Strong Earnings", "link": "https://news.google.com/rss/articles/CBMiuwFBVV95cUxQdTEzZ0Z4M25ZaXRoLWgwb01DNW8xZjRTcmRHdFliV2tuWExXR2g4dzdqR191RHVqdXJIa092VTB1NXN5ZmRsRG91MHM2d2hQd1Y4dE1XbVZ5ekd3MjdWbmJVai1kUU5wT0k2RzJ3b1hvdkRlZjZxT0lYbkhTS00yZTV2M1pDY2VrMk56NGNnWkZyWUdvRTM1d3pHS3llRklaSVlKQWRTQWxwdzNhWTlEVjFXRXMzbllWelRV0gG-AUFVX3lxTE9Oc2hhNFpzVFhfRmVJbVhGdHFiQVhIY2R0dllKOUFIZ1pScWQzS3dpWFgxblhxUXpJcEVwZ3hrTnZCYVJSTmY4cTg2X2hZTHZQYjVWSzM5Y293UVZOSm9hZTI2dV9XQUFtTXdBOG1acTZURlY4VXRHV0M4TndfUV9SSG8wcElMdjRLUjJOdHZBbFB1ZHlXNDZVZzU0bnlURFlNV21NdUhUcVF1VXMxTzUxM1h3RHBlektZZ2tGdHc?oc=5", "source": "Rediff", "published": "2026-10-16 11:22", "score": 0.836, "label": "Positive"}, {"symbol": "MARKET", "title": "Sensex, Nifty extend gains for second day as IT stocks rally", "link": "https://news.google.com/rss/articles/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oc=5", "source": "The New Indian Express", "published": "2026-10-16 11:17", "score": 0.84, "label": "Positive"}, {"symbol": "E2E", "title": "E2E Networks (NSE:E2E) Earnings Recovery and AI Cloud Business", "link": "https://news.google.com/rss/articles/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oc=5", "source": "Kalkine India", "published": "2026-10-16 11:06", "score": 0.0, "label": "Neutral"}, {"symbol": "MARKET", "title": "Sensex, Nifty Rise Again; IT Stocks Lead Rally", "link": "https://news.google.com/rss/articles/CBMixgFBVV95cUxQb0MyR2JybndJRkFyVzhpUGVpT2xnSW5XUjNYNmZveDVDZi1jOXpYbGZZbjU5OW1HRGhmd2xMRXo4cmdUeEN2M1BUMkVWSkk3RUhoTFdVUkJUVzBTVEZIdmFQcTFfazNOR0I4VDAzU2NtTDhwRDk5ZmdtcHR1RDBvTTRUTDhKbDFXVy00QV9ZMFl6c2lkbW9aQjdyWDdCUjRZME9YVVhoaFh6OF9Dd01NNWZwSFV3NllnbFFLSGFxV0hCeWVQOWc?oc=5", "source": "HDFC Sky", "published": "2026-10-16 10:56", "score": 0.691, "label": "Positive"}, {"symbol": "MARKET", "title": "Sensex Today Ends 417 Points Higher | Nifty Above 23,100 | Solara Active Pharma Sciences Up 9%", "link": "https://news.google.com/rss/articles/CBMi5gFBVV95cUxNVWxzdFhYaDZqdFlWSHp0ZGlKT3RDeEp4SnFBeTJVRmdKdjJoa2lHQ090ZHpGNGRVWmVYRWJfZmo3ZXNwbDh0Sk5kLWVWV0oxMW80TlJYNWtOUFlJNGVUcUdaMmFMUkgtN1ZHeFptNHBKM0sxVVlDV3g0MWFSWG1wQ2hfcHd3UElMNVpLVkJ3bklRczNwX2FZNFhIUEtvRXNvYnhtOTN6a0U3MEI5UlEzR1RfLWIteTJjdjg4VGpqZDhhQmtjclkyV3lheE8zZnFRTkRFMXhMQ3RhZnZWdUtFSG5PTE13QQ?oc=5", "source": "Equitymaster", "published": "2026-10-16 10:51", "score": 0.66, "label": "Positive"}, {"symbol": "MARKET", "title": "Indian markets close higher on Friday as IT stocks lead gains", "link": "https://news.google.com/rss/articles/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oc=5", "source": "The New Indian Express", "published": "2026-10-16 10:44", "score": 0.382, "label": "Positive"}, {"symbol": "MARKET", "title": "Sensex ends 413 points higher, Nifty above 23,100; TechM up 8%", "link": "https://news.google.com/rss/articles/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oc=5", "source": "India Today", "published": "2026-10-16 10:05", "score": 0.402, "label": "Positive"}, {"symbol": "AEROFLEX", "title": "Aeroflex Enterprises Ltd. Share Price Today - Aeroflex Enterprises Ltd. Stock Price Live NSE/BSE", "link": "https://news.google.com/rss/articles/CBMiigFBVV95cUxOclhWUENnVDN5SVU4SmFQRnNGQkw0VDVDLUJZVW1FT2JpM1lOMjNqcl9XX2FkVjZpb0NpOTFXb1A1ZHllUTN2VWZfZUFHcktNWklfcldqaFhmM1pMVVVySjJ1cmlZR0s0VlVFVHExT3lmd2Q1ZVIwUm1wcFhhUTZ0d3JQMjFEY2hacWc?oc=5", "source": "CNBC TV18", "published": "2026-10-16 09:59", "score": 0.0, "label": "Neutral"}, {"symbol": "ATHERENERG", "title": "Ather Energy Ltd. Share Price Today - Ather Energy Ltd. Stock Price Live NSE/BSE", "link": "https://news.google.com/rss/articles/CBMigAFBVV95cUxPVVBvVThBTkRaeHZtZ3NqcTRlTGFJNFlNY0NzaTZfTWdCY1NxeHZUeFNkT3huUTJDYUFqV3FYbW5BNWFLWUVqT2FmMUFpX1lDZ1FRQWFpVWZlUmZyaTZYZ2hRNXZwN0JkLWJlektScVAzRmJ0VUpQczNmd1lUa3NpNw?oc=5", "source": "CNBC TV18", "published": "2026-10-16 09:58", "score": 0.494, "label": "Positive"}, {"symbol": "LAURUSLABS", "title": "Laurus Labs Ltd. Share Price Today - Laurus Labs Ltd. Stock Price Live NSE/BSE", "link": "https://news.google.com/rss/articles/CBMifEFVX3lxTFBlc1llMkl6NkdyQkhvS0o1cEFSQ1JBdDNfM0JYeEhmVzU4Z290TGJsekFqMm4zcU5PcmtMZm45bU9YQ2RSX1BOek05Wi0tNWhLTHNwck1FNzZJRklIQlQxLWFzZG5XenZ0STNPb3hEa0dhb1J5cEdpeFdvUk8?oc=5", "source": "CNBC TV18", "published": "2026-10-16 09:58", "score": 0.0, "label": "Neutral"}, {"symbol": "LAURUSLABS", "title": "Laurus Labs shifts gears as CDMO emerges as key growth driver; Nuvama sees 24% upside", "link": "https://news.google.com/rss/articles/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oc=5", "source": "The Economic Times", "published": "2026-10-16 09:52", "score": 0.649, "label": "Positive"}, {"symbol": "E2E", "title": "E2E Networks reports Q2 and H1 financial performance, announces key board changes", "link": "https://news.google.com/rss/articles/CBMiuAFBVV95cUxQWVQyVS1RSEpqWml3ajhOMy1lWGxJSUF3RGpNTTh6UTVzZ1o0NHgyamM0YWpYNVNRTGlQaFhTY1hmdGlZVHlkMEc2YjJmSGxDdzRfbmhtR2R1bi1JZHBuS2tuUU9WNzZ0eUduMEk2WlROTldYbkVRNk9ZU1RLWjNvb2tsVUF3cUU0V1NyNF9uNGVjU0RWTVNFMHYtaUlIYVBnOFFoeEFGdHJFTXRadkxlWGxIMTdEajlx?oc=5", "source": "Business Upturn", "published": "2026-10-16 08:50", "score": 0.0, "label": "Neutral"}, {"symbol": "E2E", "title": "E2E Networks Swings To \u20b973 Cr Profit In Q2, Revenue Jumps 411% YoY", "link": "https://news.google.com/rss/articles/CBMinAFBVV95cUxNT0UzVWg5RzEwQ19vdTRobFpWZ2NsdDU3bnI2OGVteTNWOUNEY3RHd3JlUE1vSnMxck84Z3Z5bnQ1Wjdfd3JFd0lQVGE3aURCRnJKZ3BGQUVzQnYzWTdOUm0zYkc0TzBkVThWaUsxSkdYREZQQU80b2pIMVJTTkJwdHZhRUthYTZ6aG1BRGpRVndrTW5senFnUkxfNVE?oc=5", "source": "Inc42", "published": "2026-10-16 08:46", "score": 0.66, "label": "Positive"}, {"symbol": "LAURUSLABS", "title": "Laurus Labs - 10 stocks held by 100+ MF schemes in September rally up to 205% in CY26; 6 turn multibaggers", "link": "https://news.google.com/rss/articles/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oc=5", "source": "The Economic Times", "published": "2026-10-16 08:24", "score": 0.459, "label": "Positive"}, {"symbol": "ACUTAAS", "title": "Acutaas Chemicals - 10 stocks held by 100+ MF schemes in September rally up to 205% in CY26; 6 turn multibaggers", "link": "https://news.google.com/rss/articles/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oc=5", "source": "The Economic Times", "published": "2026-10-16 08:21", "score": 0.459, "label": "Positive"}, {"symbol": "THANGAMAYL", "title": "HBL Engineering, Wipro, L&amp;T Finance shares spurt amid spike in volumes; check full list", "link": "https://news.google.com/rss/articles/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oc=5", "source": "Upstox", "published": "2026-10-16 07:20", "score": 0.0, "label": "Neutral"}, {"symbol": "RRKABEL", "title": "RR Kabel Share Price Fall Streak and Valuation", "link": "https://news.google.com/rss/articles/CBMie0FVX3lxTE9xU0xwbVRKWVJacVV1ZjVWd3VBeXNlY1RITmJGYi1MaW1jVkFsM0ExS05NMUt3Qm1COURQNC1yQklnbkRDd0FZSVY3VGY5Wk05aWdJOHpVYkl1NjBPaGZwcURDUy1NbGcwMGUtWDRYcmhrRFRlcFZDSFFFVQ?oc=5", "source": "Univest", "published": "2026-10-16 07:00", "score": -0.34, "label": "Negative"}, {"symbol": "ACUTAAS", "title": "Ami Orga</t>
        </is>
      </c>
    </row>
    <row r="4">
      <c r="A4" t="inlineStr">
        <is>
          <t>nics Ltd Share Price Today,, AMIORG Share Price NSE, BSE", "link": "https://news.google.com/rss/articles/CBMihAFBVV95cUxPUzJ6anFNWmxMU0JqNHBSSDAzUWpaVEJXa3RQeTM2MWpjOU1ZcjFySlJEVWM0a1dRR1BhejVxY1BOR1BWMzdwUUpZbi1tTkZxdjQzTHVlb1J5akw1VFBfc0J3UkdTcHc1TzM1dkhuSDkwY1FXc1h1TTdwVkhDSDNNQU9rV3I?oc=5", "source": "Business Today", "published": "2026-10-16 07:00", "score": 0.0, "label": "Neutral"}, {"symbol": "KIRLOSENG", "title": "Kirloskar Oil and Engineering Share Price - Live NSE: KIRLOSENG Stock Price &amp; Chart", "link": "https://news.google.com/rss/articles/CBMibEFVX3lxTE95Q3VtQ0REZ1hGcjhTMWdhbGNhSUtkWndjTVkza1pXVzdTbldpZm9sQTVnZ2VlRmJUbkVNWU5nMm1qQ1NSM1pwZHhzVzFhLTIyV09yVVNXamdMd1lua2RnRUxiaEllOEtDZ2lMcA?oc=5", "source": "Upstox", "published": "2026-10-16 07:00", "score": 0.0, "label": "Neutral"}, {"symbol": "E2E", "title": "E2E NETWORKS LIMITED Share Price", "link": "https://news.google.com/rss/articles/CBMia0FVX3lxTE81bHo3YVNYX3B0Q1I1VU96SVdMcHpQUWR5LUdFdDNVZHFsU3U4VlRQVE1LRVJmUTc3SGVXeFRQelpSa2FoTlg4NFRNSTA5RkRhX2VMRXZuYjlQUjZyYjJvMHFNUnRrSXE1Qzhr?oc=5", "source": "Upstox", "published": "2026-10-16 07:00", "score": -0.389, "label": "Negative"}, {"symbol": "LAURUSLABS", "title": "Laurus Labs Share Price Today: 2.06% Gain and Sector View", "link": "https://news.google.com/rss/articles/CBMifEFVX3lxTFBsUlJVMjk2QUc5YUlpbXdMM3BuckNVS3l4cUI4MFQteHYxQktMWkhnNFhYNUFUa1dmQWpMWDd0akxVS29VeFFXdm9VeVF4U09CWDN1VGdFZHJXbVBVQmxweUNKR096Um43VHZ1SFRDUHJzUVZIZ3VBdEE4aTY?oc=5", "source": "Univest", "published": "2026-10-16 07:00", "score": 0.34, "label": "Positive"}, {"symbol": "MARKET", "title": "Stock Market Today LIVE: Sensex jumps over 400 points, Nifty crosses 23,100; Tech Mahindra surges 7%", "link": "https://news.google.com/rss/articles/CBMiywFBVV95cUxQNlEtRTlmeEdoSmpfbjBGUjVWNUdfVXcyN0c0LTdLOVJyZ0tVX0ZBMUc2M2dZMGY0Nmp4U25mRTZBUlJmN2pyUHRaZGN0SG8xUmFHNkFLeWlUUnQyamIxOWZ4and2dlFGWkUtb19tN0o5WldlcUxkOVVwM0IyRDdfSU4zdExqV3NFaTlmclM4djFVWFc3aF9kV0RnalJXVGxkWHJSWkE2SkMxMng5cWVUVGpuT2ZDcU5ISnBlbjJVcmwwbkFvTk9hd2ZkVQ?oc=5", "source": "IndiaIPO", "published": "2026-10-16 07:00", "score": 0.836, "label": "Positive"}, {"symbol": "MARKET", "title": "Indian equity market open flat amid profit booking; Sensex down over 130 pts, Nifty below 22,980", "link": "https://news.google.com/rss/articles/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oc=5", "source": "cfo.economictimes.indiatimes.com", "published": "2026-10-16 05:42", "score": 0.625, "label": "Positive"}, {"symbol": "MARKET", "title": "Sensex, Nifty trade lower in early deals; IT shares buck trend", "link": "https://news.google.com/rss/articles/CBMikAFBVV95cUxNYlBmNHF3T24wXzBiLS1QRHp6X1hpZEtOWHhtZjU1NV9TR3VraFpfM2J4aWREVHdPcWhzaGtHOVVHM0hsb1ZiM3prallxN0dmUmRrM3F3QUl1WTZzQk05YmFHTmswUWVKNWQ1bGRJMnRsOTRrX3NrM1JBRmI0Nmw5TG9KSkt1LTdzd2MwTko2NEs?oc=5", "source": "Telangana Today", "published": "2026-10-16 05:25", "score": 0.226, "label": "Positive"}, {"symbol": "THANGAMAYL", "title": "Thangamayil Jewellery Share Price Today after 5.25% gain", "link": "https://news.google.com/rss/articles/CBMiigFBVV95cUxNTlRlMnE1Smcyc3JSd0dING85ZXQzcF9CRnNfbnlBTXoxRjlfQ3BsYVdYWEp4aVFZLUlBZVFHSUlDa2dOV09mdWRDTnZjbW1tRVc1VVZUTUo3NlNfQmQtYVBfT09VcEpoX0tIbF9DZXRXXzJidDFNSGVIeWNvQ2hieklkaVcwWDBHMXc?oc=5", "source": "Univest", "published": "2026-10-16 04:57", "score": 0.34, "label": "Positive"}, {"symbol": "E2E", "title": "E2E Networks NSE:E2E Onboards Strategic Advisor Anandamoy Roychowdhary", "link": "https://news.google.com/rss/articles/CBMiwwFBVV95cUxOMzRwZ1N4UUVlZEUwVG1lUEVIRDBYZVFqZ2xkQ0xQUEJNVTFYYmlDTkdzems4WmozUXVvb1pLZUhVRG5oM1pxM2R4V0VsMy1ZcGhjc215c05EMTJTbGN0OU5PNzkwaWd0MjFqal9MVE5Zck5aUzFQaEtmdDVMTURwQU9xV2M5a21QQ3J5cXBJcFJaQkpvalhZT3N4eDJ2N3BOWFhzX0txY01mSnVaekd1UFZBSUlFVHVnY29KU3JQUGZuQUE?oc=5", "source": "Kalkine India", "published": "2026-10-16 04:50", "score": 0.0, "label": "Neutral"}, {"symbol": "MARKET", "title": "Stock markets trade lower during early session amid profit-taking", "link": "https://news.google.com/rss/articles/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oc=5", "source": "The Hindu", "published": "2026-10-16 04:48", "score": -0.202, "label": "Negative"}, {"symbol": "MARKET", "title": "Sensex, Nifty erase early losses as IT stocks rally on Q2 results", "link": "https://news.google.com/rss/articles/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oc=5", "source": "India Today", "published": "2026-10-16 04:46", "score": 0.44, "label": "Positive"}, {"symbol": "MARKET", "title": "Indian Stock Market Surges: Sensex and Nifty Striking New Heights", "link": "https://news.google.com/rss/articles/CBMiqAFBVV95cUxNX1gtZk5KSnM0MFA4UmpxYzdFX3hWV3FFTHFFTDRPd3pfMlU4T1pHN1RIRlFuaXRHWkw5Zk9zX0hnUWd2b1R6Y2dLWFRoR3RkaUYzQ1dQcUplWW1oNFBCcXItZEpQd2NneWdrNTF0cFJUWnlVbExBaWJ6OV9TYkF6RVdkVk1CaTlLNWZLWmlfVVJWX1lPaWZ6M0o0NU5oT212MlB5MnRMTWk?oc=5", "source": "India News Network", "published": "2026-10-16 04:41", "score": 0.71, "label": "Positive"}, {"symbol": "MARKET", "title": "Sensex, Nifty Slip Despite Strong Asian Cues", "link": "https://news.google.com/rss/articles/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oc=5", "source": "HDFC Sky", "published": "2026-10-16 04:36", "score": -0.223, "label": "Negative"}, {"symbol": "MARKET", "title": "Sensex Today Trades Higher | Nifty Above 23,000 | IT Stocks Shine", "link": "https://news.google.com/rss/articles/CBMipAJBVV95cUxPWDJ0TFA2aGFfLWZFTDlPUkxMVzNJeUdzTEx2U2RSY0U0U0EtV1dLc2poYkxFTlduVW5wUWMzLVBNdUZEYnFnUmpiSEc0T0QwNkt0d3EwRE5WdFpyek1Ydmc0eF9KY2JRZFdYMHhuQ2tpMklYVEVHano2Nk5mY0lDY3ZCcG5GSzZUOGozZWV3RUFZYkkxMk0yU0FjVDRaaEVZNUFpcVBvLWxVOUp6aWYtYzZnb0VNUVl6T2N3VEhuajZpeEVWRDlYRWpQSUJwTWJTWVBKbkU4RnoyNVZ6dTNqVVBKYUtfWDZZUmpMeTFfb01vUG00TDFqdTZQdFlrel96RFZfSDZYRVBJQnhYQkNWVVV1VkNVQTZoWjJ0WG5JeGRyQ2px?oc=5", "source": "Equitymaster", "published": "2026-10-16 04:34", "score": 0.402, "label": "Positive"}, {"symbol": "MARKET", "title": "Sensex Today Trades Higher | Nifty Above 22,400 | TCS &amp; Infosys Top Gainers", "link": "https://news.google.com/rss/articles/CBMiygJBVV95cUxPZUlSb2x3cUNsdW5Mek5zbHh3cjRmQmJaZnViOGZ5N3ZRZFNReWhKcnVXNUJNWW9tUnNZMVo1M1B3bG9aalRjZHhNQkYzbjhfbmRxdHJRcTFFeTVweno3NThFNE5HRUdvZXQ5dEFMYTF1X2pReVdFNEgwbDAzQUxQWXBpbVlyQkcxaHBHS3VfTnpEUkw1R1RNdEhPYzJkelVhS0VFNWxoWVRfZExuSl8wZnMwNGtiMk9ZZFR0cDZVckJDUGk2Rk1YQVVhV25RUVc4dWwxX0hsYXh0c1dTLXZ5Q0FwYkxBaUlJT0JIVGV5NHd3dDdGUTJnUlpBb2tuSVB1VlNKa3ZMbU9NNWpsRkRFSU5qMWNvamRrMnJFcWVzcDR1S2x4b3FiUVhKSGVGZzN0VUlOUFowa1IzTzlxN2RtczltTGpLQkNVdFE?oc=5", "source": "Equitymaster", "published": "2026-10-16 04:34", "score": 0.542, "label": "Positive"}, {"symbol": "MARKET", "title": "Stock market outlook today, 16 Oct: Sensex, Nifty prediction - DJIA, S&amp;P, NASDAQ, GIFT Nifty, Kospi, Nikkei, Taiwan cues", "link": "https://news.google.com/rss/articles/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oc=5", "source": "Livemint", "published": "2026-10-16 01:19", "score": 0.842, "label": "Positive"}, {"symbol": "MARKET", "title": "Sensex Today | Stock Market Live: Nifty nears 23,000, Sensex gains 1,200 pts; IT jumps 2%, auto gain", "link": "https://news.google.com/rss/articles/CBMixgFBVV95cUxPbzY2MUNzNm4ySVA1VWZlcW9Qb3UtczFGV1NuSnpWS0hGQUhtYVVCTlJrWmp2Z1FqOHFydkVNMkdMYTQzYnZZeFVPbDBnUWc2Um9WWWljT2pzZjJQN2hZRmZIazRnX1hUMWNRVUkyMmp4Q3E1ZWFES0RBWGIwTHNaRWRKekc1RlhxdGtTN0pXMDVFOVVub1Z1TFJfbFctTERZWFI1SVB6d1dfc09CeEFYbGtmZVBmRFNqVzJOamxPSTM2bzZLNUE?oc=5", "source": "IndiaIPO", "published": "2026-10-15 20:01", "score": 0.866, "label": "Positive"}, {"symbol": "ATHERENERG", "title": "Ather Energy ATHERENERG IRDAI Corporate Agent Licence Granted", "link": "https://news.google.com/rss/articles/CBMiyAFBVV95cUxObGRPTURtWEZkU0s2czN2TFowWVFOc1hvU3l0TEhWRVFuS1F3a2VmRW00MHlYX1dySnBKQzE0NkpEaGdiOGhSVEZrbTNhRlBseV9Lb204Q08tbWdFREhUUHRMZGdIU1h1RUNQNjN3TEdQN0VkZnhXTVB3MnBGbTFsUnY1QWN4ZndXYi1QN1AwcVJ3aVZnZkphNi1nbldxajJ6djZDbGZHYUxZS0FEdEVJWm8xSzVHOURpQWkwRHUxVTJpemhSOUc5aQ?oc=5", "source": "Kalkine India", "published": "2026-10-15 17:20", "score": 0.477, "label": "Positive"}, {"symbol": "MARKET", "title": "Nifty sees best day in 4 months, rally remains confined to largecap stocks", "link": "https://news.google.com/rss/articles/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oc=5", "source": "Business Standard", "published": "2026-10-15 14:37", "score": 0.872, "label": "Positive"}, {"symbol": "ATHERENERG", "title": "Why did September volumes diverge for two-wheeler makers (ATHERENERG), (TVSMOTOR) and (HEROMOTOCO)?", "link": "https://news.google.com/rss/articles/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oc=5", "source": "Kalkine India", "published": "2026-10-15 13:24", "score": 0.0, "label": "Neutral"}, {"symbol": "AEROFLEX", "title": "Aeroflex Enterprises AEROENTER: Stilonn Valves Acquisition", "link": "https://news.google.com/rss/articles/CBMiyAFBVV95cUxQUl9Cb3RNa19ZSk1zX1ZuVUF3dktGdVFXYjBkbEVKajdjV1NyS2E4MHRkdVJieDZEeXRKNjhGSTE4b2l2WDBnamItM00wVTVTVzhmNF9PZXB4OUZjRExYQ1pWdmpFYzNwc2s3M3BwR1Y5MFhTRUlSdVB6a0lWWE83eVNKUDUyTU1fbXhqcHZjbkoycmpOd1RjU0JlSE05UV9wVEM1V1RZSFRxZ0xDcXBkemlITGVpTzYyTkJMTDEzSXhYZHVsak9ueQ?oc=5", "source": "Kalkine India", "published": "2026-10-15 12:55", "score": 0.0, "label": "Neutral"}, {"symbol": "MARKET", "title": "Indian share benchmarks log best day in four months on global AI slump", "link": "https://news.google.com/rss/articles/CBMiswFBVV95cUxNWDJqYmxJdGtiS3VzMHY0aFVac2x4X3k3cnlsSjFaQ1RvX1hvblpYU3RBYi12Vk8yYm1LMDVBOFR4SmtiQkVvVTBYYVNzdlJ0bFFacjVLS3VtcDlFVmc4czJhZk5BLTRjVldKcE5OWXZjSHRJb2lyVUVxR3J6aGdMUUoxbWlMazdENDc1bjJqenhqeXo4V040THNNMGNPdmYyamdlcVBWUEc1cS1OOW80SjZrcw?oc=5", "source": "Reuters", "published": "2026-10-15 11:28", "score": 0.25, "label": "Positive"}, {"symbol": "MARKET", "title": "Indian markets continue rally; Nifty and Sensex close 2% up as rupee strengthens", "link": "https://news.google.com/rss/articles/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oc=5", "source": "The Hindu", "published": "2026-10-15 11:27", "score": 0.827, "label": "Positive"}, {"symbol": "MARKET", "title": "Sensex Rallies 1,534 Points, Nifty Nears 23,000", "link": "https://news.google.com/rss/articles/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oc=5", "source": "HDFC Sky", "published": "2026-10-15 11:23", "score": 0.691, "label": "Positive"}, {"symbol": "MARKET", "title": "Share Market Today: Nifty 50, Bank Nifty | Oct 15, 2026", "link": "https://news.google.com/rss/articles/CBMiugFBVV95cUxQMjVFMGk3RjFrUDBTa2xmazlBbFpJOXNhRGUwa3dHV21DTE5rVWFlb3BaWEZ4YjcxT25vUlY0Rm90TTVuU1FWdG9EeU42aTI0MjQ5M2FzbnVjRFBtTWZxM3QzaDBTMUdqdkR2eHAyZWoza2Z5Y1FYX3ZUdUJfcnJ5b2xjZ3dBc1hWZWN0Y3lfNFh1MEVVLUVkT2ZRdW8yeTd0bUs1OGdoeHZlYzNkcEhxLWVrTXh5RnJCU3c?oc=5", "source": "Liquide Blog", "published": "2026-10-15 11:21", "score": 0.66, "label": "Positive"}, {"symbol": "MARKET", "title": "Sensex Jumps 1,534 Pts, Nifty Surges on Banks, IT, Reliance", "link": "https://news.google.com/rss/articles/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oc=5", "source": "Rediff MoneyWiz", "published": "2026-10-15 10:50", "score": 0.836, "label": "Positive"}, {"symbol": "E2E", "title": "E2E Rail Wins \u20b93.39 Crore Arbitration Award Against IRCON, With 17.25% Interest Payable on Late Payment", "link": "https://news.google.com/rss/articles/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oc=5", "source": "Trade Brains", "published": "2026-10-15 10:33", "score": 0.852, "label": "Positive"}, {"symbol": "MARKET", "title": "Sensex Today Rallies 1,534 Points | Nifty Above 22,950 | 3 Reasons Why Indian Share Markets Are Rising", "link": "https://news.google.com/rss/articles/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oc=5", "source": "Equitymaster", "published": "2026-10-15 10:27", "score": 0.691, "label": "Positive"}, {"symbol": "MARKET", "title": "Sensex jumps 1,534 points, Nifty surges to nearly 3-week high led by banks, Reliance, IT stocks", "link": "https://news.google.com/rss/articles/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oc=5", "source": "Telegraph India", "published": "2026-10-15 10:13", "score": 0.866, "label": "Positive"}, {"symbol": "MARKET", "title": "Sensex closes 1,500 points higher, Nifty nears 23,000; RIL up 4%", "link": "https://news.google.com/rss/articles/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oc=5", "source": "India Today", "published": "2026-10-15 10:09", "score": 0.402, "label": "Positive"}, {"symbol": "AEROFLEX", "title": "Aeroflex Industries tanks 11% on huge volume; down 17% in 2 days", "link": "https://news.google.com/rss/articles/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oc=5", "source": "Business Standard", "published": "2026-10-15 09:30", "score": -0.226, "label": "Negative"}, {"symbol": "MARKET", "title": "Big surge! Early Diwali for Sensex, Nifty as stock market skyrockets on Reliance Jio IPO, IT shares jump - More to come?", "link": "https://news.google.com/rss/articles/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oc=5", "source": "Livemint", "published": "2026-10-15 09:10", "score": 0.84, "label": "Positive"}, {"symbol": "MARKET", "title": "Sensex jumps over 1,500 points: 5 reasons why the stock market is rising today", "link": "https://news.google.com/rss/articles/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oc=5", "source": "Firstpost", "published": "2026-10-15 08:57", "score": 0.459, "label": "Positive"}, {"symbol": "MARKET", "title": "Stock Market Rally: Sensex Jumps 1400 Points, Nifty Reclaims 23000 - Key Reasons Behind Surge", "link": "https://news.google.com/rss/articles/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oc=5", "source": "Outlook Money", "published": "2026-10-15 07:39", "score": 0.898, "label": "Positive"}, {"symbol": "AEROFLEX", "title": "Aeroflex Industries Share Price Falls Sharply", "link": "https://news.google.com/rss/articles/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oc=5", "source": "Kalkine India", "published": "2026-10-15 07:12", "score": -0.382, "label": "Negative"}, {"symbol": "TDPOWERSYS", "title": "TD Power Systems Share Price News After Third Straight Fall", "link": "https://news.google.com/rss/articles/CBMifkFVX3lxTE9hRVNFbXVSdmlBQjU1SjVINm42NjRkZEdJeGJGdktVNC1wbVZEUGJ2ZUJQVU5rX0VHdFhZUHRPdEVfeVllWWpqZXk2WEF2dFdFblViVi1aY0xRLUZoSEprUHFFb01VdUxSX1ZheWQxaDBFVWlYc3ZnenZETjhJZw?oc=5", "source": "Univest", "published": "2026-10-15 07:00", "score": -0.128, "label": "Neutral"}, {"symbol": "RRKABEL", "title": "RR Kabel Share Price Update: Price Fall and Sector View", "link": "https://news.google.com/rss/articles/CBMic0FVX3lxTFBfZUw0Z3FFMW5wMEh2Y3hDQWYzaXBDdjYwOTU0U0F5QUhQOUJrOVBwaklBamt2WlZRV3BpSVk2cllvR1h5OUZuZ1JIX0UzWVllUEJfRVhGM3dFZzdRenlJMXpwbVp6WmhsZ0ZfdVY5bEdyaVU?oc=5", "source": "Univest", "published": "2026-10-15 07:00", "score": -0.34, "label": "Negative"}, {"symbol": "KIRLOSENG", "title": "Kirloskar Oil Engines Share Price falls 3.08%: analysis", "link": "https://news.google.com/rss/articles/CBMihAFBVV95cUxQVTBCYlNyeThHejZrRTVGVG5VTHhVZ0VFUUUybnZDRGtKSERtZ1laVGN1RGN4cWdVMHlQYVFmaElKR0RCbkxwVWtfdjE1OWFQNllYXzJjd01SS3pNZU96UU5GNkFjeDZkcVYxdHotUzYyWm9LOGM1WVRUSGF6YTVWMVluSm8?oc=5", "source": "Univest", "published": "2026-10-15 07:00", "score": -0.382, "label": "Negative"}, {"symbol": "MARKET", "title": "Why is Market Rising Today: Bulls strike! Sensex zooms 1,100 pts intraday, Nifty at 22,950; key reasons", "link": "https://news.google.com/rss/articles/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oc=5", "source": "Business Standard", "published": "2026-10-15 05:42", "score": 0.359, "label": "Positive"}, {"symbol": "RRKABEL", "title": "What Comes Next For R R Kabel After A 82% Gain", "link": "https://news.google.com/rss/articles/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oc=5", "source": "Simply Wall Street", "published": "2026-10-15 05:40", "score": 0.34, "label": "Positive"}, {"symbol": "MARKET", "title": "Three Reasons Why Markets Are Rising Today: Sensex Spikes 1,300 Points, Nifty Eyes 23,000", "link": "https://news.google.com/rss/articles/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oc=5", "source": "NDTV Profit", "published": "2026-10-15 05:38", "score": 0.402, "label": "Positive"}, {"symbol": "MARKET", "title": "Sensex jumped 1,500 points despite global sell-off: Why markets rose today?", "link": "https://news.google.com/rss/articles/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oc=5", "source": "India Today", "published": "2026-10-15 05:02", "score": 0.0, "label": "Neutral"}, {"symbol": "MARKET", "title": "Bulls Return To Dalal Street! Sensex Jumps 1,534 Points, Nifty Surges To Nearly 3-Week High", "link": "https://news.google.com/rss/articles/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oc=5", "source": "ETV Bharat", "published": "2026-10-15 04:59", "score": 0.875, "label": "Positive"}, {"symbol": "MARKET", "title": "Stock markets rebound sharply in early trade led by IT firms", "link": "https://news.google.com/rss/articles/CBMitAFBVV95cUxQOEYyUndlLVVNQjN5azhUSlBodVJLTmFRMEFwbFBERnNrRkFKR1V4WGNWRHdiQ1NIZEMxeGhUd0dFSnN1MjlYM3RZRVMxcy0tdUdfdExYRmItSVRXSElFQXM1Q25tZ3gzZF9UX2xzNGk5SFQyZ1VoRG91cDVrR2trbmlxQWVrT1BvbHJUUWdKM0VoUV9weFhCV1ZocV9uTDdBLXF1T0lWNlpVXzVJMVlNb08tcEE?oc=5", "source": "Deccan Herald", "published": "2026-10-15 04:42", "score": 0.0, "label": "Neutral"}, {"symbol": "MARKET", "title": "Stock Market Outlook Today 15 Oct: Sensex, Nifty Levels", "link": "https://news.google.com/rss/articles/CBMiwgFBVV95cUxObHlpWmRvcGozN25zX1ZGcy03NDVXeTJNNjdPT1hvdnFYaWpNYjZvVnZlZEdHLVEzRjJYdUZNbFdraU9yeFRyVzctTVlEb3hOOV9PTWY4UXdGZ2ZPTG5SZS1waVpXOGFoTnlfMVZ4cXBsRTFSMDFHMjBINEpUcEFXWmZaQVRqZUFUVk1MS192R2owa0VpWXBVU2c2cHlfV1lKSTJRWGhkd3NuYTUyS2xnaE9BZU5SOVEwb1Q3b3h1aDc0Zw?oc=5", "source": "Univest", "published": "2026-10-15 04:39", "score": 0.402, "label": "Positive"}, {"symbol": "MARKET", "title": "Sensex Today Trades Higher | Nifty Above 22,650 | Tata Tech Rallies 7%", "link": "https://news.google.com/rss/articles/CBMixgFBVV95cUxNUVdZRlFHb1VXYy1sMG9YT1lndTJqS21mSTFKbTlzSUNGQURXV0tGbmxYSTNfVkJvYVRWSVVEX1l2MV8xbHlCVFNyeDFTQVh6WldVeGt3dUZobXRack5jRndHMWtmMERQc0NnZjc5NkZEVF9WSzhscFNSb2NQdzk1TU1tbjFyTmhacUdURWl3ZnRMT3lLNjY2YXdKWXlJa1NvWWNTSkU4TWV6aC04RXQ4Wm52R0lGTUkza3YtdjhHMGZDMVNlRFE?oc=5", "source": "Equitymaster", "published": "2026-10-15 04:37", "score": 0.691, "label": "Positive"}, {"symbol": "MARKET", "title": "Why is stock market up today? Sensex jumps 1,534 points, Nifty ends at 22,997 - Top 3 reasons explained", "link": "https://news.google.com/rss/articles/CBMi-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oc=5", "source": "Livemint", "published": "2026-10-15 04:33", "score": 0.758, "label": "Positive"}, {"symbol": "MARKET", "title": "Sensex on fire! 1,500-point rally puts bulls back in the driver\u2019s seat. What just happened?", "link": "https://news.google.com/rss/articles/CBMiiAJBVV95cUxQT3N1ZXZHdU5QWlBFZVNaY2RqZzJyd3loeEhsenZyMzZSSC1yOV9lWnhJRDBJYVBISXhPSUI2R1NPUm4zVy1NQ3pvd19qRXBhZV8yRThkOWJfZi12bmlkbkhrbkJGYTJXdldLQVNuam52M2tidkg4SF94X</t>
        </is>
      </c>
    </row>
    <row r="5">
      <c r="A5" t="inlineStr">
        <is>
          <t>0J4dl8zZ2lrN05jT3YtMDlRWWRic1dhQVVmNVBDWUtyeFAteml5Tk0yNzFGMm14T1ZsT0d6TF9LMnlXYkpjUGhBRk9NRWNfczhTYUNYY2NuWGlNNTBlRVFpSVBXTTl4NEJPSkFlRHJaaGFqc21RWlBGdFg2VTZWeXpLang1dWhUUVV2UE1JRFQ1THBOUHfSAY4CQVVfeXFMTnZLQ2VxWWhNYktRNTRkTThiTWVDZ1FWSVBKUHdNdVZsdHExY2tEUUZBRGdXY01keXdwMTFEV05oamY0VXptU2ItcGFUamsyQnV1MjZ2ak9lOHhMbFNnbFNvQjk3aFFraFRuR09kOHYzY3BuQWJSWFB2WmE4cUVNdWhxbVRMNTBqcUg2VV9QZHkwMkt2QVpMcncwaE1BdXd0N09UYjZQX080YWhha094b2owb3doYUZxOEpqMVNjOEFFM3psVTUtVkMxQ3F3ZllOVGtnNTdwNjVadE5idWxvQUV6WHRzS1RQWFlsc3FlbXpZQ1dBX3paX1NjZndYTDZ0blB3VWdiZGxqUk1iWnJB?oc=5", "source": "The Economic Times", "published": "2026-10-15 04:29", "score": 0.224, "label": "Positive"}, {"symbol": "MARKET", "title": "Sensex settles 1,500 pts higher, Nifty ends near 23,000: Buying in IT, financial shares among key reasons...", "link": "https://news.google.com/rss/articles/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oc=5", "source": "Moneycontrol.com", "published": "2026-10-15 04:14", "score": 0.402, "label": "Positive"}, {"symbol": "MARKET", "title": "SENSEX surges over 900 points, NIFTY50 above 22,900; Here are key things to know", "link": "https://news.google.com/rss/articles/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oc=5", "source": "Upstox", "published": "2026-10-15 03:56", "score": 0.494, "label": "Positive"}, {"symbol": "MARKET", "title": "Sensex, Nifty open higher as IT stocks rally, US inflation concerns cap gains", "link": "https://news.google.com/rss/articles/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oc=5", "source": "India Today", "published": "2026-10-15 03:49", "score": 0.807, "label": "Positive"}, {"symbol": "MARKET", "title": "Stock market opening: Sensex over 400 points up, Nifty also in green | Business News", "link": "https://news.google.com/rss/articles/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oc=5", "source": "Hindustan Times", "published": "2026-10-15 03:47", "score": 0.402, "label": "Positive"}, {"symbol": "MARKET", "title": "Indian Stock Market Today: Sensex, Nifty, Global Cues", "link": "https://news.google.com/rss/articles/CBMisAFBVV95cUxQZmhIZkhKLWQ3U0EwaDlaTTZta1FjUDhJc2VZc29PX3pFUWRTU0dULUxSRGVvR1dKZFp5LVJCRXIxdV9ZSHE2X3RtQWxXNVpKR2g5WHR4dzlsTEdjdl9PTFhqRUY5RGgtbWNZOHZLeTdzdHRoUC1sV0RyLTA2Z2tmV1pueGZCNjZidlJGQXF4LU5LZWlFWUlqQWd5R1ZHbm1vMG9CWjJVelRUZEdkZHlpUg?oc=5", "source": "HDFC Sky", "published": "2026-10-15 03:39", "score": 0.402, "label": "Positive"}, {"symbol": "MARKET", "title": "Stock Market Today LIVE: GIFT Nifty signals muted start for Sensex, Nifty; Crude at $105", "link": "https://news.google.com/rss/articles/CBMivAFBVV95cUxQeThRRElDR2Vxa1d3c0tEUGF5UHU1SmRCazNsVWlTa0dYYnRvV0I2ajRoRndoRFJ6MzZfM21GTHNxNm5qX290ZnE0b3J3WXppLXlocG9hVFpaZTk5ZjFvTmhVZmhhZDJudDFubTJ2REh4bm1yT0RSVEROMHBYSHVSeHRNT1EyTm1fWWktUkItWmUzcXVRbzNwdUlSTFZqRmE3b3FxWHJ4cjNrMnhDdVAyRlhzWUYzNWZEYVcwSw?oc=5", "source": "IndiaIPO", "published": "2026-10-15 02:32", "score": 0.652, "label": "Positive"}, {"symbol": "E2E", "title": "1:10 Stock Split Alert! L&amp;T Backed Small Cap Stock Fixes Stock Split Record Date | How To Get Eligible?", "link": "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"source": "Goodreturns", "published": "2026-10-15 02:23", "score": 0.624, "label": "Positive"}, {"symbol": "MARKET", "title": "Stock Market Today: Gift Nifty, US Inflation To Gold Rate; Five Key Factors For Sensex, Nifty 50 On Oct 15", "link": "https://news.google.com/rss/articles/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oc=5", "source": "NDTV Profit", "published": "2026-10-15 01:22", "score": 0.807, "label": "Positive"}, {"symbol": "MARKET", "title": "Stock market outlook today, 15 Oct: Sensex, Nifty prediction - DJIA, S&amp;P, NASDAQ, GIFT Nifty, Kospi, Nikkei, Taiwan cues", "link": "https://news.google.com/rss/articles/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oc=5", "source": "Livemint", "published": "2026-10-15 01:19", "score": 0.842, "label": "Positive"}, {"symbol": "MARKET", "title": "Ahead of Market: 10 things that will decide stock market action on Thursday", "link": "https://news.google.com/rss/articles/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oc=5", "source": "The Economic Times", "published": "2026-10-14 15:51", "score": 0.0, "label": "Neutral"}, {"symbol": "LAURUSLABS", "title": "Laurus Labs invests \u20b91,078 crore in Krka Pharma, retains 49% stake", "link": "https://news.google.com/rss/articles/CBMiuAFBVV95cUxPdkdvclE2U2FTaTJwMENlTVRMcFNWRzFrMXc3TkJmRXYtVkZTd2hXSmgxVTVhMy1ja2hZT1NwbnhlN01kZm5UT3JEMjdTRW5FX3g0TzdRbHZwSzd3d1Q4WWh1cnp4U3Y1VVdsejBnYmpFeFRZYmxnNnZjNDZ5VmxlSmIyRldaNkkzZlAzeHJUYmE2Q0xZQVNnUG1CYjVSeUFpOEJLREZ1VDFndEJhVHlhTmFyZHY3MmUw?oc=5", "source": "scanx.trade", "published": "2026-10-14 14:57", "score": 0.0, "label": "Neutral"}, {"symbol": "LAURUSLABS", "title": "Laurus Labs KRKA Pharma Investment: Rs 107.8 Crore Rights Issue", "link": "https://news.google.com/rss/articles/CBMizAFBVV95cUxOdjhrUmtJb19XME91VGVHc3dTMUF1WldJSVpOc29sdE5maF9lVXNpU09NZDQyUjlVUWIySTdXNzc3MEtwTkVnN25ISmxZdkFxdWpnUlNpMTBMQWJvU0hPRmREZlFlMFJjaS1GVmJTT0pXUGZ0VnBzV0ZZWGxfMWRqR19ndGhXbTVhb0QtNHBIZDJMZnBzdlM1MWVGTDBVc2xRbzZFd0FvRS0xWXVkdGFlbXkzNHR6ZWlicmxhSTJFaGlyV1FaZ1hfeFB2VUs?oc=5", "source": "Kalkine India", "published": "2026-10-14 14:37", "score": 0.0, "label": "Neutral"}, {"symbol": "KIRLOSENG", "title": "Kirloskar Oil Engines NSE:KIRLOSENG Reg 74(5) Certificate Q2 FY27", "link": "https://news.google.com/rss/articles/CBMiwAFBVV95cUxQejlpQVJiLVFMdW0wZlV0N3U0Vnh6UHozbHoxT2hIWmxBWXhUbkN3ZjgydlAzUDBESmVOa3ZjV0JOMzFYMGRtd2liQm5MOVBMTXRqSWcxX3p6ZnN0Nmt2eTVYTEM4OHE2TzMzQllrWFY0Znk1alJnTlpnVExjaW1zYzFqMDk5NWlDY1RPdk5IR2dINmhDVEQzckNIcThTWU90TjZKZU9MR2dJemtTeVJxenpZcGZzSHF0VnNvenplNUM?oc=5", "source": "Kalkine India", "published": "2026-10-14 13:22", "score": 0.0, "label": "Neutral"}, {"symbol": "MARKET", "title": "Indian Stocks Dip: Inflation &amp; Crude Oil Weigh on Markets", "link": "https://news.google.com/rss/articles/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oc=5", "source": "Rediff MoneyWiz", "published": "2026-10-14 10:50", "score": -0.572, "label": "Negative"}, {"symbol": "MARKET", "title": "Sensex Today Ends 252 Points Lower | Nifty Below 22,650 | LIC Housing Finance Down 5%", "link": "https://news.google.com/rss/articles/CBMivgJBVV95cUxPMVZOWHp1YmZCbzViUTRZeDdmYWVCYWwyOUV1NGw5OE9pVV9tQTBXNngzNUh2TDhlc0J1SVc0R1ZnbTBFTDBYc0g4dFM4OHV4bE1NZm5RQXBDWDRGN1YxbnNrbFR5R1dZN2xmSzZabmF5R2htNWc3Zy0tUkJtTnZ5TWZWM1hSQ2tFVV9nZjhta3JmZ1RjVkpoSlB0aXd1RWdKeGdHNGRQRDBwTFZlM0ZEZjdTNVFYNXo1OFRoRnVtSmx2cmhrdjAxWWdjMV9LN095QnlkRXZMRGJOTW5VTUJxaERXaG5tcmpoOXA4ajZnTTkwQnNZS3JhOFFFcTlCLVlDbHFvYlJxV2x3X1VrU1p5cjJzS3o1bDJLUkVveURXaGpweDBQOGxGNjlESzU4YUFXemlxUXdVRHc0RXhpYkE?oc=5", "source": "Equitymaster", "published": "2026-10-14 10:25", "score": 0.226, "label": "Positive"}, {"symbol": "MARKET", "title": "Sensex, Nifty snap winning streak, end lower as crude oil tops $106", "link": "https://news.google.com/rss/articles/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oc=5", "source": "India Today", "published": "2026-10-14 10:05", "score": 0.599, "label": "Positive"}, {"symbol": "AEROFLEX", "title": "Aeroflex Industries Rs 202 Crore Capex Plan by March 2028", "link": "https://news.google.com/rss/articles/CBMixAFBVV95cUxOR1hzaVpnSGVVMzdTcDBla0lIbE9RVTdOYnJFc2ZubFZGTG4wNUtKX29nU2JpSDFPOTVZUTAzcXJVbDJwWmplMEl5N0F4OHhDQ3BpUjNrSHhXRUg5VjcxMEVRblFXRk5wVlpCYlZGdVdEa3Q0RHRxZzhKQjFlUC1oM2pXUzVhOEpXdFFZNVVEZHpYcDZPQUJrTHJVYWN6aDRnVk5IbERISV9OTU5iT2c5enNCUWZMWXVsQzMtZFh0TUluRl82?oc=5", "source": "Kalkine India", "published": "2026-10-14 09:56", "score": 0.0, "label": "Neutral"}, {"symbol": "AEROFLEX", "title": "Aeroflex Industries shares rally 10% to 52-week high as board approves capacity expansion plan; check details", "link": "https://news.google.com/rss/articles/CBMi-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oc=5", "source": "Upstox", "published": "2026-10-14 09:28", "score": 0.836, "label": "Positive"}, {"symbol": "AEROFLEX", "title": "Aeroflex Industries Share Price news and valuation view", "link": "https://news.google.com/rss/articles/CBMihwFBVV95cUxOZWdYU0xLYUJYR3QwY3N5RXNVb3c4cTMzbUlrcWVoRndKQVAwbmZqakRQeTB3Z3E4LUk1ckxpRGd5WURhaWNRNFlBZlVYRThLNnVfSzRGUXhTdVpnRFZMWHhNNFJ1bTljbFV2VnZPMWJfc3ZYMWQ4bHJIRGZCbE94ZElPc3lIM28?oc=5", "source": "Univest", "published": "2026-10-14 09:14", "score": 0.0, "label": "Neutral"}, {"symbol": "LAURUSLABS", "title": "Laurus Labs Ltd. (LAURUSLABS) 52 Week High Streak: Sixth Session Near Peak", "link": "https://news.google.com/rss/articles/CBMijgFBVV95cUxOeFo0VHJ1ZGlSZFZjOUI4TDJjdEZKYXdkd25sZU1kN0VwRzAxam9nYUJZYTA1R1JVSWpLTGZ4MWxIeUFDc0VnRmlUMUJHS2YzM2RZWEIwUmpwMS1ld3dHU05BM2xLYy1IRFRWbjcwZ3h2aVhpdW1Cckl1NHR1SnA0bFpOMkpnZ3lIWlRYMW5n?oc=5", "source": "Univest", "published": "2026-10-14 08:02", "score": 0.202, "label": "Positive"}, {"symbol": "RRKABEL", "title": "R R Kabel (NSEI:RRKABEL) Stock Forecast &amp; Analyst Predictions", "link": "https://news.google.com/rss/articles/CBMiiAFBVV95cUxQNGxTOExuMUFDS0lWOXFkeEJtX1FrY24wT0hJQVFNbjlvT2hiRTltb2Fad1VCWV8wZTBvNE56VDdqOEpRbzcwejNkQVYwTHFfMm1HY1FXN0NsNUJCczVqVEd6b3lhMzBpLThjZG1GV3dnc2MyVUFSY0JXeVdrV1QxZlp2OExZX2pB?oc=5", "source": "Simply Wall Street", "published": "2026-10-14 07:00", "score": 0.0, "label": "Neutral"}, {"symbol": "RRKABEL", "title": "RR Kabel Share Price update: Rs 2,680.20 and key ratios", "link": "https://news.google.com/rss/articles/CBMieEFVX3lxTE5fVGlFMXRsV2Rxc2s3UXQ1MHA5dHNLWm5HejEyMG1PdlpBQUw4QkhEOTd0VXl3YjY3Z3d5YU9rWFpuUlNFUEFkeGpGQ3BJYlQzNEhvVFFWT2hDcHVLbWpsWjhVTFN2YUN4QlV6YTJ4VTFTSXRQZktjNg?oc=5", "source": "Univest", "published": "2026-10-14 07:00", "score": 0.0, "label": "Neutral"}, {"symbol": "E2E", "title": "Larsen &amp; Toubro (NSEI:LT) Stock Forecast &amp; Analyst Predictions", "link": "https://news.google.com/rss/articles/CBMihwFBVV95cUxQbmZGX3Fjei1iMFA4RGU4cDl2LU9UTUQyWW9DdUp5T1VjMDhVaVM5NFNZTThGaEVwelRJaFdqRDdxZURYdkZldDBJQXV0al9WOGhoTVZ2SXNlU0ExVjI0Zy01ZG5WczhUdjdmT0U0akJBTHo2aVdITVp4VkpCVGJPLTgyVjFDeTQ?oc=5", "source": "Simply Wall Street", "published": "2026-10-14 07:00", "score": 0.0, "label": "Neutral"}, {"symbol": "MARKET", "title": "Sensex Today | Stock Market LIVE Updates: Nifty below 22,700, Sensex flat; Nestle, Infosys, Coal Ind", "link": "https://news.google.com/rss/articles/CBMixwFBVV95cUxQNTdIXzdVWGFrcUdDQlN4SmNfY091ekowWWduTzlxdmtLaHJmakNvMTJoTWxKU1BfQVEwclE2V1FvU0lBdVZPbGlSVjBvcVpqdXZUalF2LWFIYmkzQmtJa1V0Y2JTbXZpd1JPUGowMmRJUUpYcU1mcmRRWnlFdFVMZGd6NW5CSVBPaWFjWXFvLTFtUHQ0OW5XR0o2OXQtaUhENlc0NjNkNzhwajNrTGRfeTR4OXAzRUZfX2NDX1BWT0x0ak1JaXN3?oc=5", "source": "IndiaIPO", "published": "2026-10-14 07:00", "score": 0.402, "label": "Positive"}, {"symbol": "MARKET", "title": "Sensex falls 252 points, Nifty settles below 22,650; Bajaj Finance, M&amp;M see big cut", "link": "https://news.google.com/rss/articles/CBMitAFBVV95cUxQajI0X0tyUk1EblJOVTBFMnQ4VGVLemdRdTVDeWdSM1J4TW1Qd2JRSlpnODJIR0Nfdk8zdGxUelpQWndzWDhOSjZMd3lrMHJiYzM2OFQwTUl5TjBydV9HanhGVmU5aGh3N09jN2VMdHpvcE4wNDQ5b0ppQ3ZETFRvU0xrYTVOYWxxYlBxcjRlSDctOC1tcmU0Y242Q1RYbDdGRHNJaERsTWY2ZDVUaElFUFo3TWo?oc=5", "source": "IndiaIPO", "published": "2026-10-14 07:00", "score": -0.25, "label": "Negative"}, {"symbol": "MARKET", "title": "Stock Markets Today: Sensex, Nifty Pared Early Losses in Volatile Trade", "link": "https://news.google.com/rss/articles/CBMi1wFBVV95cUxNRHU4MWFOaVZBa1Vld3Nqa2JzUjdWbDJoMEE1RXFTbTFQTkJxMXp6ZC1WM2EwRjJ5ek5wOTZVN3liQWVSTi00S241SnR5S2tMa1F4Q2pZTl9mVW55bXlPMjJKYjdnbVNsSnZJb3lFMmZtQjN2RnEyU3FWaUdzSlJLQ0Rnb0pUanhuSklRWVhSUG1sQ0xMd09ib3c4RnU2d2RGdEVqcWExaVdhb2JaRDZsbk44Tnp5dDl6ZFdCUWswNmFKQVBIVGs3RXVYVkltTmh0c3FPaUJHWdIB2gFBVV95cUxOZU5kUlVoNkt4MmY5OGplRVNBV0NGd09oaXZRenhmWHZzT3ZCenllSHpVWXFITUlucFJxV3JHSGNmSXJfSUNjTWI4cURiMUNQLUJjOWltY2RSUWpZYmh4ZVBZbTU5TEMwcHJpQUNUWnJxVnF1UlJWYy1aLU9WWDlOdlVZR05jdzVnZ2lKdTFUc2FxMVFFMU5acUpWaUNLdVJrNFVQZ0lxY0JsRmgxWVZHMEJxa0VPQlFpM2FSbGxyQTZ2RWY1SVhaQkFiY0NiSC10QkZiQW9hNXdZUQ?oc=5", "source": "Rediff", "published": "2026-10-14 05:23", "score": -0.026, "label": "Neutral"}, {"symbol": "MARKET", "title": "Stock Market Today: Sensex, Nifty Settle Lower As WPI inflation Rises", "link": "https://news.google.com/rss/articles/CBMiuwFBVV95cUxPRG13UTBuT0JEMFllZ3ZDLTZVX19ZNEtTMS1NbXVvTFNYVXRLUmk3RjhRVU8zYjRKeFVWZFB6VVFsTUZlY0ZMU0tna1JMbi11YjFjcTdqNFJJenpCZmxkRmVDUGd0RnpKWi01VGJOVEFLMVQ5VmxScm9yYkpqY3pDYnZxajRjLVlBcVhhbW9fZE5IZjJHaExqS2s1ZG9vSlpvX0JQUTFPUU1tbERGeW1kUXF2T3R1alkyWE4w0gHAAUFVX3lxTE1hWE5tVEdFc3JCY1NDZFE4bVdSOGZNOU1qQmxIdmNuemdKckdGT2RNMXA0Z1BhSTIyRTVWdmxtOGp0elktVVVFUFIzaEg1cThWbE5zb2dycnJpUFZRcG9mT2xvWlNUMjhIRVBHNF83bi1JbFVvZjBnMVA4dnYzUE82anZya3FkazZkNk1oM3ZuUmVQenlpeGZRZjFtWWtHNEFsVnlzRmpyZENGMnczMFBpYmNnZ1l3VVZNMGQ2SHV1bw?oc=5", "source": "ETV Bharat", "published": "2026-10-14 05:18", "score": 0.226, "label": "Positive"}, {"symbol": "MARKET", "title": "Sensex, Nifty recover after weak opening amid hopes of LTCG tax relief", "link": "https://news.google.com/rss/articles/CBMingFBVV95cUxOWVREZE5mYlZmZlUtdGwwN1libEhJRzRMU0ZQcU9BclYzazJqb3ZpYlpDX2x1d05zN3FNcWw4YXluOFduamZpU21JMHgzWWxQOUZ0N2p6OXJPbVJVakNtWG1IVTktQjE3N1dRVm9CT3FHV3ZXMGp1c3VPdzR2dUpIQnhyemEwc3hLdUd3SE5VN21WamFNM0ZyVXo0SkU1Zw?oc=5", "source": "ChiniMandi", "published": "2026-10-14 04:43", "score": 0.718, "label": "Positive"}, {"symbol": "MARKET", "title": "Sensex Today Trades Lower | Nifty Below 22,700 | Shriram Finance &amp; Polycab India Top Losers", "link": "https://news.google.com/rss/articles/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oc=5", "source": "Equitymaster", "published": "2026-10-14 04:38", "score": -0.178, "label": "Neutral"}, {"symbol": "LAURUSLABS", "title": "Laurus Labs schedules Q2 FY27 earnings call for October 29", "link": "https://news.google.com/rss/articles/CBMisAFBVV95cUxPVXlnT0xoel9qUUtRTDAtZGQ5UHM4clYydGFvWkpNdzVSWGFpQTZmLUlFMGl4SGYwV2g4LWtkRVFIdlh6dlg0OUZteHpLV0wwcmF4YmV3STRPR2JRWDFzcTM0Ni1wSWVIS1J4UUdCYXhlWUI3aHlwY0ZpbDczZGt0QjFESldUejc0SDVRZGFIUWpMVXU5WGRrNmNuVkZSRnNGVHJpRUpWcHo4ZWFPX0dFWQ?oc=5", "source": "scanx.trade", "published": "2026-10-13 12:46", "score": 0.0, "label": "Neutral"}, {"symbol": "MARKET", "title": "Late rally: Sensex jumps 1,110 points, Nifty over 22,700: 5 factors behind market rise; these stocks rebound after UPI", "link": "https://news.google.com/rss/articles/CBMi8AFBVV95cUxQMWQwM1dBd3JvMWkxNEF5WVFNVE9oZXVUTEpUa3h3X01WZlU5MlpFYUJ2MmVmeTR6RjgtbUZKdzAtRDM5eFd2SFhjWDBrVjlBY0ZwWU5SekNRZThRZFdfSVlmZG5WNmJpOWdFY1JuTW1JT0hWcjhDT2pCVXZIbHF0bmtlV1FXb3hhYkdNdXV5Ni1jdmxnQWx0d2dHcDRsSGU2Z0diT1gtV1hMN2gwQ1pXTjdDbHpZTEZxUTV2c28ySWptU3FEbjRzNEZMQWVIUEJxellZc0NuZDl0Y3ktVjA4NXRyN3hHZk9JWi1VZTRrejbSAfYBQVVfeXFMUG5Ia0FLeEdlN0haNlZKVFUxSk8zWHRvWUJaYmJBNkpsamFNOHRpYmZVSzl2cVdmcHVNVl9BbjRLNjFtYTJtT2trVGVUWGNJalczY2RXY2M4cFRjbzk4QWNxaGRLZVFGMXF3dnI3bTd2RE84LXJic1c4QUhIcS1sTUx6VV9tSWpvSnBBME1SSTR1eE5wSTF6RlBTa0tDMndDb3A3cmxtazdlakJMTGxpX2V6eTRscHVya0g3SGlKQ1NYR3VTT3RFbE1CamNpVG82VmZWTU5oY1VwVldUVUIwRzZ1UTBhbWZkUnhlR091d2ZHMVNqVW5n?oc=5", "source": "Livemint", "published": "2026-10-13 12:19", "score": 0.827, "label": "Positive"}, {"symbol": "MARKET", "title": "Sensex Jumps Over 1,100 Points, Rupee Rallies. Why Markets Went Up Today", "link": "https://news.google.com/rss/articles/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oc=5", "source": "NDTV", "published": "2026-10-13 11:55", "score": 0.718, "label": "Positive"}, {"symbol": "LAURUSLABS", "title": "Laurus Labs Q2 H1 FY27 Earnings Conference Call Date", "link": "https://news.google.com/rss/articles/CBMivAFBVV95cUxPWm5SVDBURlZVc0pOT0VWbDFBTk16WmluNUdKMWhENGRJZFZDcnNpYVlkMjJkUks0T2NUVmpoNGJZbkdGN1hsalhUemtYYWhoTzh5TkRoNGdtNnVqZ19ZVXk2MkJmS0M0T1ZuSUZFLU9YTlplMGY3NFhGclp0U25aeVZhUXhwWkJQaFowMXBiRl9nUW5IUmhJN1dtUHc3Vi1pRkE3Y0lwRlRCM2FZU0l0b0tIUWxSZlF1U0hrdA?oc=5", "source": "Kalkine India", "published": "2026-10-13 11:20", "score": 0.0, "label": "Neutral"}, {"symbol": "E2E", "title": "Hitachi Energy, E2E Networks, Anant Raj, other AI-linked stocks slide up to 5% as global AI rout hits Indi", "link": "https://news.google.com/rss/articles/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oc=5", "source": "The Economic Times", "published": "2026-10-13 09:19", "score": 0.128, "label": "Neutral"}, {"symbol": "RRKABEL", "title": "Cable &amp; Wire stocks: Polycab, KEI, R R Kabel, Quadrant Future slip up to 5%", "link": "https://news.google.com/rss/articles/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oc=5", "source": "Business Standard", "published": "2026-10-13 08:33", "score": -0.34, "label": "Negative"}, {"symbol": "E2E", "title": "E2E Networks, Hitachi Energy India, other AI-related stocks fall up to 5% amid global AI jitters", "link": "https://news.google.com/rss/articles/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oc=5", "source": "Moneycontrol.com", "published": "2026-10-13 07:46", "score": -0.077, "label": "Neutral"}, {"symbol": "ATHERENERG", "title": "Ather Energy Share Price News: Valuation and Sector View", "link": "https://news.google.com/rss/articles/CBMieEFVX3lxTFBJQ0hiQ1ZuU2pKT2tSbTdaelNCNXduZWdNdE82cUh5NWNMZGUteVV1NEVBSVktM1dXRVpKc3Nzbk9RU2VxR3VVVDR3RGpKMm83MEZwZWdONmkyZmJNbzREd3F2Tk1JU1diVVdCWlhGWkxnUW04NDBKSg?oc=5", "source": "Univest", "published": "2026-10-13 07:00", "score": 0.273, "label": "Positive"}, {"symbol": "LAURUSLABS", "title": "Laurus Labs Share Price Today: Large Cap Declines 2.41%", "link": "https://news.google.com/rss/articles/CBMid0FVX3lxTE50NlRLX0hNeXphMTFfZTRycEtybmUtbWJ0ZXEyU2dndDAtZVg2akpTZmtPbjZkTkhLY01DRVB1eURzQ0Y5SVpwTUJpRS1ScWxMekpGWjJqYnFUbldKZWVMRnBZSUpJU3BRc29VZlBKV1VHS2ljcHZF?oc=5", "source": "Univest", "published": "2026-10-13 07:00", "score": -0.382, "label": "Negative"}, {"symbol": "MARKET", "title": "Closing Bell: Markets rebound; Nifty above 22,700, Sensex jumps 1,100 pts", "link": "https://news.google.com/rss/articles/CBMipwFBVV95cUxNcThURThSVGVFVjVhV0QtejFEWEI3M3piUzBRTXk1R2s2bWhFUk1rcVBpblBKcmFfbWgyeUdCeVhRUFNrVENONDB1T2s0VzJkd0FTTTZUdWh1UjVLeWxLbDhoUzVVVUNHN3c1T0l2cFgyRzBHRGZyZUNkbEY0bTBOZTZSMnFqQWZISml4NzZ3b1pNOHotbi1ZWWlsdEFzVjBrZXJaUG9fOA?oc=5", "source": "IndiaIPO", "published": "2026-10-13 07:00", "score": 0.691, "label": "Positive"}, {"symbol": "AEROFLEX", "title": "Aeroflex Enterprises AEROENTER NSE Price Movement Clarification", "link": "https://news.google.com/rss/articles/CBMiywFBVV95cUxObDNMTUhmLVQ1ZlVSdGxrZ21NTkx6V2p2VkIyUGZaZUIyRWZ6cmR1cHNwSDJieWFkQWdneEU0WmhnMzZVbndPc1NOanJHMzZwejB4eDdueDRTVzJRLVBwT3hmVmNWb3JtYVpHX3NyMHJyM2hweVRJZ3VLOXZ2UndTYXVPQ0ZNOHdRbS1IRTh1WU9iU0xMMzVXSU1sRFNnYjNmaXdSTm41eWNtdk5YbW9FNVlxaHlETl9sNDFhYW9oUkNiTGVtT1U3b0hxOA?oc=5", "source": "Kalkine India", "published": "2026-10-13 06:55", "score": 0.0, "label": "Neutral"}, {"symbol": "MARKET", "title": "Why did market rally today? Sensex surges 1,100 points, Nifty closes above 22,700. 5 key factors behind D-", "link": "https://news.google.com/rss/articles/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oc=5", "source": "The Economic Times", "published": "2026-10-13 04:26", "score": 0.836, "label": "Positive"}, {"symbol": "ATHERENERG", "title": "Nomura on autos: EV penetration to decide stock returns, picks Ather, M&amp;M", "link": "https://news.google.com/rss/articles/CBMixgFBVV95cUxOczNFM3dEVVhwLS1IeU45MnBxMTFNME5MT2U2QktkNDQ4MDVhYzNqc0lzdVdpaHIxOWxSclJULW9oMnFWeVowNTB6TXpzd3E0YjlrOU5wU0gxcGlMRjRnR0g5amNrdW9FekdEWm4zeE9TN1NUM1p6aTR3YzNFQTZVa1drWmRreWRNZE5kT1JSX0k0LUhXWDRMM3JUWTJ3NmNzRFQ1amd4bi1mNTRKRTcyVTAwelBXNWFDNElNWUs1c2k1c0ltWUE?oc=5", "source": "Business Upturn", "published": "2026-10-13 03:06", "score": 0.0, "label": "Neutral"}, {"symbol": "RRKABEL", "title": "A high-conviction Indian materials pick is up 19.79% since our models flagged it", "link": "https://news.google.com/rss/articles/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oc=5", "source": "Investing.com India", "published": "2026-10-13 02:13", "score": 0.0, "label": "Neutral"}, {"symbol": "MARKET", "title": "Stock market outlook today, 13 Oct: Sensex, Nifty prediction - DJIA, S&amp;P, NASDAQ, GIFT Nifty, Kospi, Nikkei, Taiwan cues", "link": "https://news.google.com/rss/articles/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oc=5", "source": "Livemint", "published": "2026-10-13 01:15", "score": 0.842, "label": "Positive"}], "errors": []}, "created": "2026-09-28T13:27:26", "last_updated": "2026-10-19T18:48:37", "research": {"method":</t>
        </is>
      </c>
    </row>
    <row r="6">
      <c r="A6" t="inlineStr">
        <is>
          <t xml:space="preserve"> "notes", "generated": "2026-09-28 13:27", "title": "Stock by stock", "stocks": {"TDPOWERSYS": {"symbol": "TDPOWERSYS", "name": "TD Power Systems", "view": "Bullish", "view_score": 1.5, "tone": "bull", "summary": "The stock is 10% below its high, a shallow pullback within a strong uptrend.", "why": "Guidance raised, shallow pullback. Check for a fundraise.", "points": [{"text": "The stock is 10% below its high, a shallow pullback within a strong uptrend.", "kind": "context", "source": "", "url": ""}, {"text": "Q1 FY27 revenue rose about 72% YoY.", "kind": "catalyst", "source": "5paisa", "url": "https://www.google.com/search?q=TD%20Power%20Systems%20site%3A5paisa.com"}, {"text": "It raised its FY27 revenue guidance to \u20b92,600 crore.", "kind": "catalyst", "source": "fyers", "url": "https://www.google.com/search?q=TD%20Power%20Systems%20site%3Afyers.in"}, {"text": "A board meeting on 14 Aug was set to consider raising funds, so check whether a dilutive QIP is pending.", "kind": "risk", "source": "5paisa", "url": "https://www.google.com/search?q=TD%20Power%20Systems%20site%3A5paisa.com"}, {"text": "Valuation is stretched (P/E around 70).", "kind": "risk", "source": "5paisa", "url": "https://www.google.com/search?q=TD%20Power%20Systems%20site%3A5paisa.com"}], "short_view": "Bullish"}, "AEROFLEX": {"symbol": "AEROFLEX", "name": "Aeroflex Industries", "view": "Bullish, high risk", "view_score": 1.25, "tone": "bull", "summary": "Q1 FY27 revenue grew 72.4% and PAT rose 162%.", "why": "Strong growth, expensive, volatile, thin liquidity", "points": [{"text": "Q1 FY27 revenue grew 72.4% and PAT rose 162%.", "kind": "catalyst", "source": "sahi", "url": "https://www.google.com/search?q=Aeroflex%20Industries%20site%3Asahi.com"}, {"text": "Liquid-cooling skid capacity was raised 50%, with further expansion planned.", "kind": "catalyst", "source": "sahi", "url": "https://www.google.com/search?q=Aeroflex%20Industries%20site%3Asahi.com"}, {"text": "P/E is about 102, volatility is the highest of the ten (67%), and liquidity is thin (\u20b953 cr/day).", "kind": "risk", "source": "share", "url": "https://www.google.com/search?q=Aeroflex%20Industries%20share"}, {"text": "That makes it the most fragile in a falling market.", "kind": "risk", "source": "share", "url": "https://www.google.com/search?q=Aeroflex%20Industries%20share"}], "short_view": "Bullish, risky"}, "ATHERENERG": {"symbol": "ATHERENERG", "name": "Ather Energy", "view": "Bullish, mid-pullback", "view_score": 1.25, "tone": "bull", "summary": "Q1 revenue grew 89% and the loss narrowed 71%.", "why": "Strong catalysts and brokers, but still pulling back", "points": [{"text": "Q1 revenue grew 89% and the loss narrowed 71%.", "kind": "catalyst", "source": "indmoney", "url": "https://www.google.com/search?q=Ather%20Energy%20site%3Aindmoney.com"}, {"text": "It was also added to the MSCI India Domestic Small Cap Index.", "kind": "catalyst", "source": "indmoney", "url": "https://www.google.com/search?q=Ather%20Energy%20site%3Aindmoney.com"}, {"text": "Hero MotoCorp is lifting its stake to about 32.8%.", "kind": "catalyst", "source": "freepressjournal", "url": "https://www.google.com/search?q=Ather%20Energy%20site%3Afreepressjournal.in"}, {"text": "A global broker raised its target to \u20b91,926.", "kind": "catalyst", "source": "hdfcsky", "url": "https://www.google.com/search?q=Ather%20Energy%20site%3Ahdfcsky.com"}, {"text": "The stock has slid about 16% from its early-September high, so the story is intact but the price is digesting a big run.", "kind": "context", "source": "", "url": ""}, {"text": "High oil prices are a tailwind for the EV theme.", "kind": "catalyst", "source": "", "url": ""}], "short_view": "Bullish"}, "RRKABEL": {"symbol": "RRKABEL", "name": "RR Kabel", "view": "Moderately bullish", "view_score": 1.0, "tone": "mod-bull", "summary": "Q1 PAT jumped 129% and EBITDA doubled.", "why": "Strong Q1, moderate volatility", "points": [{"text": "Q1 PAT jumped 129% and EBITDA doubled.", "kind": "catalyst", "source": "5paisa", "url": "https://www.google.com/search?q=RR%20Kabel%20site%3A5paisa.com"}, {"text": "CLSA initiated at Outperform with a \u20b92,850 target.", "kind": "catalyst", "source": "fyers", "url": "https://www.google.com/search?q=RR%20Kabel%20site%3Afyers.in"}, {"text": "The stock is 16% off its high, so it is consolidating.", "kind": "context", "source": "", "url": ""}, {"text": "Volatility is moderate (44%), which is better than most here.", "kind": "catalyst", "source": "", "url": ""}], "short_view": "Moderately bullish"}, "E2E": {"symbol": "E2E", "name": "E2E Networks", "view": "Speculative, neutral to bullish", "view_score": 0.5, "tone": "spec", "summary": "Q1 revenue was \u20b9156.76 crore vs \u20b936.11 crore a year earlier, with a profit of \u20b943.88 crore, on GPU cluster expansion.", "why": "Big revenue jump, P/E near 400", "points": [{"text": "Q1 revenue was \u20b9156.76 crore vs \u20b936.11 crore a year earlier, with a profit of \u20b943.88 crore, on GPU cluster expansion.", "kind": "catalyst", "source": "angelone", "url": "https://www.google.com/search?q=E2E%20Networks%20site%3Aangelone.in"}, {"text": "P/E is about 398 and the stock fell 11.8% in the month to 18 Sep.", "kind": "risk", "source": "anandrathi", "url": "https://www.google.com/search?q=E2E%20Networks%20site%3Aanandrathi.com"}, {"text": "It has bounced since.", "kind": "context", "source": "anandrathi", "url": "https://www.google.com/search?q=E2E%20Networks%20site%3Aanandrathi.com"}, {"text": "It is an AI-theme stock with thin liquidity and gap risk in both directions.", "kind": "risk", "source": "", "url": ""}], "short_view": "Speculative"}, "ACUTAAS": {"symbol": "ACUTAAS", "name": "Acutaas Chemicals", "view": "Neutral", "view_score": 0.0, "tone": "neutral", "summary": "It received PLI approval for an electrolyte additives plan and commissioned a high-potency API pilot plant.", "why": "No catalyst, sideways trend", "points": [{"text": "It received PLI approval for an electrolyte additives plan and commissioned a high-potency API pilot plant.", "kind": "catalyst", "source": "fyers", "url": "https://www.google.com/search?q=Acutaas%20Chemicals%20site%3Afyers.in"}, {"text": "Quarterly revenue and profit were lower sequentially (\u20b9327 cr and \u20b976 cr in Jun vs \u20b9436 cr and \u20b9137 cr in Mar).", "kind": "risk", "source": "anandrathi", "url": "https://www.google.com/search?q=Acutaas%20Chemicals%20site%3Aanandrathi.com"}, {"text": "The 6-1 return is negative.", "kind": "risk", "source": "anandrathi", "url": "https://www.google.com/search?q=Acutaas%20Chemicals%20site%3Aanandrathi.com"}, {"text": "The price has moved sideways since June.", "kind": "risk", "source": "", "url": ""}, {"text": "There is no clear trigger for a 21-day move.", "kind": "risk", "source": "", "url": ""}], "short_view": "Neutral"}, "DIACABS": {"symbol": "DIACABS", "name": "Diamond Power Infra", "view": "Neutral to bearish short term", "view_score": -1.0, "tone": "mod-bear", "summary": "It hit a 52-week high of about \u20b9395 on 17 Sep, up 202% in six months, with a P/E near 128.", "why": "Extended, weak balance sheet", "points": [{"text": "It hit a 52-week high of about \u20b9395 on 17 Sep, up 202% in six months, with a P/E near 128.", "kind": "risk", "source": "anandrathi", "url": "https://www.google.com/search?q=Diamond%20Power%20Infra%20site%3Aanandrathi.com"}, {"text": "Book value per share was negative in the July data.", "kind": "risk", "source": "bajajfinserv", "url": "https://www.google.com/search?q=Diamond%20Power%20Infra%20site%3Abajajfinserv.in"}, {"text": "It is now 14% off that high.", "kind": "risk", "source": "", "url": ""}, {"text": "The T&amp;D order-book story is real, but the valuation and balance sheet make it a momentum-only trade.", "kind": "context", "source": "", "url": ""}], "short_view": "Neutral to bearish"}, "KIRLOSENG": {"symbol": "KIRLOSENG", "name": "Kirloskar Oil Engines", "view": "Neutral to bearish", "view_score": -1.0, "tone": "mod-bear", "summary": "June-quarter revenue was \u20b91,482 cr vs \u20b91,284 cr a year ago, but EBITDA slipped to \u20b9176 cr from \u20b9184 cr, so margins are compressing.", "why": "Margins and momentum fading", "points": [{"text": "June-quarter revenue was \u20b91,482 cr vs \u20b91,284 cr a year ago, but EBITDA slipped to \u20b9176 cr from \u20b9184 cr, so margins are compressing.", "kind": "risk", "source": "anandrathi", "url": "https://www.google.com/search?q=Kirloskar%20Oil%20Engines%20site%3Aanandrathi.com"}, {"text": "The 6-1 return is \u221211% and the stock is 16.5% below its high.", "kind": "risk", "source": "", "url": ""}, {"text": "Momentum is fading.", "kind": "risk", "source": "", "url": ""}], "short_view": "Neutral to bearish"}, "THANGAMAYL": {"symbol": "THANGAMAYL", "name": "Thangamayil Jewellery", "view": "Bearish", "view_score": -2.0, "tone": "bear", "summary": "It hit a high of \u20b97,429 and traded near \u20b95,085 on 22 Sep.", "why": "Downtrend, avoid", "points": [{"text": "It hit a high of \u20b97,429 and traded near \u20b95,085 on 22 Sep.", "kind": "context", "source": "anandrathi", "url": "https://www.google.com/search?q=Thangamayil%20Jewellery%20site%3Aanandrathi.com"}, {"text": "It is now about 31% below the peak.", "kind": "risk", "source": "anandrathi", "url": "https://www.google.com/search?q=Thangamayil%20Jewellery%20site%3Aanandrathi.com"}, {"text": "Q1 EBITDA (\u20b9145 cr) fell from \u20b9214 cr in the March quarter.", "kind": "risk", "source": "anandrathi", "url": "https://www.google.com/search?q=Thangamayil%20Jewellery%20site%3Aanandrathi.com"}, {"text": "It has the weakest chart in the batch: a clear downtrend, a negative 6-1 return, and a gold-price-sensitive business.", "kind": "risk", "source": "", "url": ""}], "short_view": "Bearish"}, "LAURUSLABS": {"symbol": "LAURUSLABS", "name": "Laurus Labs", "view": "Strongest, bullish", "view_score": 2.0, "tone": "strong-bull", "summary": "Its close is only 1.1% below its 12-month high, and its volatility is the lowest of the ten (28%).", "why": "Relative strength near highs, lowest volatility, defensive sector", "points": [{"text": "Its close is only 1.1% below its 12-month high, and its volatility is the lowest of the ten (28%).", "kind": "catalyst", "source": "", "url": ""}, {"text": "FY26 profit after tax was \u20b9740 crore vs \u20b9380 crore the year before.", "kind": "catalyst", "source": "torusdigital", "url": "https://www.google.com/search?q=Laurus%20Labs%20site%3Atorusdigital.com"}, {"text": "It is up about 94% in six months and holding near highs while the index falls.", "kind": "catalyst", "source": "anandrathi", "url": "https://www.google.com/search?q=Laurus%20Labs%20site%3Aanandrathi.com"}, {"text": "Pharma is also defensive in a risk-off tape.", "kind": "catalyst", "source": "anandrathi", "url": "https://www.google.com/search?q=Laurus%20Labs%20site%3Aanandrathi.com"}, {"text": "P/E is high, so it can still pull back.", "kind": "risk", "source": "anandrathi", "url": "https://www.google.com/search?q=Laurus%20Labs%20site%3Aanandrathi.com"}], "short_view": "Bullish"}}, "shortlist": ["LAURUSLABS", "TDPOWERSYS", "ATHERENERG", "RRKABEL", "AEROFLEX", "E2E", "ACUTAAS", "DIACABS", "KIRLOSENG", "THANGAMAYL"], "missing": []}, "research_notes": "Stock by stock\n\n1. TD Power Systems (TDPOWERSYS): bullish\n\nThe stock is 10% below its high, a shallow pullback within a strong uptrend.\nQ1 FY27 revenue rose about 72% YoY.\n5paisa\nIt raised its FY27 revenue guidance to \u20b92,600 crore.\nfyers\nA board meeting on 14 Aug was set to consider raising funds, so check whether a dilutive QIP is pending. Valuation is stretched (P/E around 70).\n5paisa\n\n2. Aeroflex Industries (AEROFLEX): bullish, high risk\n\nQ1 FY27 revenue grew 72.4% and PAT rose 162%. Liquid-cooling skid capacity was raised 50%, with further expansion planned.\nsahi\nP/E is about 102, volatility is the highest of the ten (67%), and liquidity is thin (\u20b953 cr/day). That makes it the most fragile in a falling market.\nshare\n\n3. Ather Energy (ATHERENERG): bullish, mid-pullback\n\nQ1 revenue grew 89% and the loss narrowed 71%. It was also added to the MSCI India Domestic Small Cap Index.\nindmoney\nHero MotoCorp is lifting its stake to about 32.8%.\nfreepressjournal\nA global broker raised its target to \u20b91,926.\nhdfcsky\nThe stock has slid about 16% from its early-September high, so the story is intact but the price is digesting a big run. High oil prices are a tailwind for the EV theme.\n\n4. RR Kabel (RRKABEL): moderately bullish\n\nQ1 PAT jumped 129% and EBITDA doubled.\n5paisa\nCLSA initiated at Outperform with a \u20b92,850 target.\nfyers\nThe stock is 16% off its high, so it is consolidating. Volatility is moderate (44%), which is better than most here.\n\n5. E2E Networks (E2E): speculative, neutral to bullish\n\nQ1 revenue was \u20b9156.76 crore vs \u20b936.11 crore a year earlier, with a profit of \u20b943.88 crore, on GPU cluster expansion.\nangelone\nP/E is about 398 and the stock fell 11.8% in the month to 18 Sep. It has bounced since.\nanandrathi\nIt is an AI-theme stock with thin liquidity and gap risk in both directions.\n\n6. Acutaas Chemicals (ACUTAAS): neutral\n\nIt received PLI approval for an electrolyte additives plan and commissioned a high-potency API pilot plant.\nfyers\nQuarterly revenue and profit were lower sequentially (\u20b9327 cr and \u20b976 cr in Jun vs \u20b9436 cr and \u20b9137 cr in Mar). The 6-1 return is negative.\nanandrathi\nThe price has moved sideways since June. There is no clear trigger for a 21-day move.\n\n7. Diamond Power Infra (DIACABS): neutral to bearish short term\n\nIt hit a 52-week high of about \u20b9395 on 17 Sep, up 202% in six months, with a P/E near 128.\nanandrathi\nBook value per share was negative in the July data.\nbajajfinserv\nIt is now 14% off that high. The T&amp;D order-book story is real, but the valuation and balance sheet make it a momentum-only trade.\n\n8. Kirloskar Oil Engines (KIRLOSENG): neutral to bearish\n\nJune-quarter revenue was \u20b91,482 cr vs \u20b91,284 cr a year ago, but EBITDA slipped to \u20b9176 cr from \u20b9184 cr, so margins are compressing.\nanandrathi\nThe 6-1 return is \u221211% and the stock is 16.5% below its high. Momentum is fading.\n\n9. Thangamayil Jewellery (THANGAMAYL): bearish\n\nIt hit a high of \u20b97,429 and traded near \u20b95,085 on 22 Sep. It is now about 31% below the peak.\nanandrathi\nQ1 EBITDA (\u20b9145 cr) fell from \u20b9214 cr in the March quarter.\nanandrathi\nIt has the weakest chart in the batch: a clear downtrend, a negative 6-1 return, and a gold-price-sensitive business.\n\n10. Laurus Labs (LAURUSLABS): strongest, bullish\n\nIts close is only 1.1% below its 12-month high, and its volatility is the lowest of the ten (28%).\nFY26 profit after tax was \u20b9740 crore vs \u20b9380 crore the year before.\ntorusdigital\nIt is up about 94% in six months and holding near highs while the index falls. Pharma is also defensive in a risk-off tape. P/E is high, so it can still pull back.\nanandrathi\nSwing-trade shortlist (21-session hold)\nRank\tStock\tView\tWhy\n1\tLAURUSLABS\tBullish\tRelative strength near highs, lowest volatility, defensive sector\n2\tTDPOWERSYS\tBullish\tGuidance raised, shallow pullback. Check for a fundraise.\n3\tATHERENERG\tBullish\tStrong catalysts and brokers, but still pulling back\n4\tRRKABEL\tModerately bullish\tStrong Q1, moderate volatility\n5\tAEROFLEX\tBullish, risky\tStrong growth, expensive, volatile, thin liquidity\n6\tE2E\tSpeculative\tBig revenue jump, P/E near 400\n7\tACUTAAS\tNeutral\tNo catalyst, sideways trend\n8\tDIACABS\tNeutral to bearish\tExtended, weak balance sheet\n9\tKIRLOSENG\tNeutral to bearish\tMargins and momentum fading\n10\tTHANGAMAYL\tBearish\tDowntrend, avoid\n", "fundamentals": {"TDPOWERSYS": {"name": "TD POWER SYSTEMS LTD.", "pe": 85.44379, "fwd_pe": 48.537815, "sector": "Industrials", "industry": "Specialty Industrial Machinery", "mcap_cr": 22649.634816, "pb": 21.047108, "rev_growth": 0.721, "earn_growth": 0.72}, "AEROFLEX": {"name": "AEROFLEX INDUSTRIES LTD", "pe": 102.0676, "fwd_pe": 51.85859, "sector": "Industrials", "industry": "Metal Fabrication", "mcap_cr": 6793.8619392, "pb": 15.18935, "rev_growth": 0.724, "earn_growth": 1.582}, "ATHERENERG": {"name": "ATHER ENERGY LIMITED", "pe": null, "fwd_pe": 516.02814, "sector": "Consumer Cyclical", "industry": "Auto Manufacturers", "mcap_cr": 57631.3819136, "pb": 21.641281, "rev_growth": 0.888, "earn_growth": null}, "THANGAMAYL": {"name": "THANGAMAYIL JEWELLERY LTD", "pe": 39.837044, "fwd_pe": 27.495428, "sector": "Consumer Cyclical", "industry": "Luxury Goods", "mcap_cr": 15576.7537664, "pb": 11.000529, "rev_growth": 0.712, "earn_growth": 0.861}, "RRKABEL": {"name": "R R KABEL LIMITED", "pe": 45.891792, "fwd_pe": 31.331299, "sector": "Industrials", "industry": "Electrical Equipment &amp; Parts", "mcap_cr": 27821.6933376, "pb": 10.807082, "rev_growth": 0.539, "earn_growth": 1.285}, "ACUTAAS": {"name": "ACUTAAS CHEMICALS LIMITED", "pe": 68.217316, "fwd_pe": 43.793648, "sector": "Basic Materials", "industry": "Specialty Chemicals", "mcap_cr": 26316.652544, "pb": 15.918781, "rev_growth": 0.591, "earn_growth": 0.671}, "DIACABS": {"name": "DIAMOND POWER INFRA LTD", "pe": 89.51187, "fwd_pe": null, "sector": "Industrials", "industry": "Specialty Industrial Machinery", "mcap_cr": 20289.560576, "pb": -29.587477, "rev_growth": 1.272, "earn_growth": 2.083}, "KIRLOSENG": {"name": "KIRLOSKAR OIL ENG LTD", "pe": 57.251335, "fwd_pe": 37.53199, "sector": "Industrials", "industry": "Specialty Industrial Machinery", "mcap_cr": 31168.6397952, "pb": 8.596884, "rev_growth": 0.134, "earn_growth": -0.199}, "E2E": {"name": "E2E NETWORKS LIMITED", "pe": 237.98479, "fwd_pe": null, "sector": "Technology", "industry": "Software - Infrastructure", "mcap_cr": 12859.6099072, "pb": 7.4469357, "rev_growth": 3.341, "earn_growth": null}, "LAURUSLABS": {"name": "LAURUS LABS LIMITED", "pe": 99.195854, "fwd_pe": 69.47338, "sector": "Healthcare", "industry": "Drug Manufacturers - Specialty &amp; Generic", "mcap_cr": 108640.567296, "pb": 20.480774, "rev_growth": 0.291, "earn_growth": 1.252}}, "telegram_sent": "2026-10-19", "corp_actions": [], "pending_alerts": []}</t>
        </is>
      </c>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2026-10-19T18:48:43Z</dcterms:created>
  <dcterms:modified xmlns:dcterms="http://purl.org/dc/terms/" xmlns:xsi="http://www.w3.org/2001/XMLSchema-instance" xsi:type="dcterms:W3CDTF">2026-10-19T18:48:43Z</dcterms:modified>
</cp:coreProperties>
</file>