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Closes" sheetId="2" state="visible" r:id="rId2"/>
    <sheet xmlns:r="http://schemas.openxmlformats.org/officeDocument/2006/relationships" name="Returns %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Portfolio Path" sheetId="5" state="visible" r:id="rId5"/>
    <sheet xmlns:r="http://schemas.openxmlformats.org/officeDocument/2006/relationships" name="Batch Info" sheetId="6" state="visible" r:id="rId6"/>
    <sheet xmlns:r="http://schemas.openxmlformats.org/officeDocument/2006/relationships" name="Research" sheetId="7" state="visible" r:id="rId7"/>
    <sheet xmlns:r="http://schemas.openxmlformats.org/officeDocument/2006/relationships" name="News &amp; Sentiment" sheetId="8" state="visible" r:id="rId8"/>
    <sheet xmlns:r="http://schemas.openxmlformats.org/officeDocument/2006/relationships" name="_state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%;[Red]-0.00%;0.00%"/>
    <numFmt numFmtId="165" formatCode="₹#,##,##0;[Red]-₹#,##,##0"/>
    <numFmt numFmtId="166" formatCode="0.0%"/>
    <numFmt numFmtId="167" formatCode="+0.00;-0.00;0.00"/>
    <numFmt numFmtId="168" formatCode="+0.00;-0.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C9D3E6"/>
      <sz val="10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475569"/>
      <sz val="9"/>
    </font>
    <font>
      <name val="Calibri"/>
      <color rgb="00171A1F"/>
      <sz val="10"/>
    </font>
    <font>
      <name val="Calibri"/>
      <b val="1"/>
      <color rgb="00171A1F"/>
      <sz val="10"/>
    </font>
    <font>
      <name val="Calibri"/>
      <color rgb="006B7280"/>
      <sz val="9"/>
    </font>
    <font>
      <name val="Calibri"/>
      <b val="1"/>
      <color rgb="0064748B"/>
      <sz val="9"/>
    </font>
    <font>
      <name val="Calibri"/>
      <b val="1"/>
      <color rgb="000B1F3A"/>
      <sz val="16"/>
    </font>
    <font>
      <name val="Calibri"/>
      <i val="1"/>
      <color rgb="0094A3B8"/>
      <sz val="8"/>
    </font>
    <font>
      <name val="Calibri"/>
      <b val="1"/>
      <color rgb="000B1F3A"/>
      <sz val="11"/>
    </font>
    <font>
      <name val="Calibri"/>
      <b val="1"/>
      <color rgb="00ffffff"/>
      <sz val="10"/>
    </font>
    <font>
      <name val="Calibri"/>
      <b val="1"/>
      <color rgb="000f5132"/>
      <sz val="10"/>
    </font>
    <font>
      <name val="Calibri"/>
      <b val="1"/>
      <color rgb="007a4a00"/>
      <sz val="10"/>
    </font>
    <font>
      <name val="Calibri"/>
      <b val="1"/>
      <color rgb="00374151"/>
      <sz val="10"/>
    </font>
    <font>
      <name val="Calibri"/>
      <b val="1"/>
      <color rgb="009b1c1c"/>
      <sz val="10"/>
    </font>
    <font>
      <name val="Calibri"/>
      <b val="1"/>
      <color rgb="000B1F3A"/>
      <sz val="12"/>
    </font>
    <font>
      <name val="Calibri"/>
      <b val="1"/>
      <color rgb="001F9D63"/>
      <sz val="10"/>
    </font>
    <font>
      <name val="Calibri"/>
      <color rgb="002F4BD8"/>
      <sz val="10"/>
      <u val="single"/>
    </font>
    <font>
      <name val="Calibri"/>
      <b val="1"/>
      <color rgb="00D64545"/>
      <sz val="10"/>
    </font>
    <font>
      <name val="Calibri"/>
      <b val="1"/>
      <color rgb="0064748B"/>
      <sz val="10"/>
    </font>
    <font>
      <name val="Calibri"/>
      <color rgb="002F4BD8"/>
      <u val="single"/>
    </font>
  </fonts>
  <fills count="1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E3A66"/>
      </patternFill>
    </fill>
    <fill>
      <patternFill patternType="solid">
        <fgColor rgb="000E7C86"/>
      </patternFill>
    </fill>
    <fill>
      <patternFill patternType="solid">
        <fgColor rgb="00334E7E"/>
      </patternFill>
    </fill>
    <fill>
      <patternFill patternType="solid">
        <fgColor rgb="00C9860A"/>
      </patternFill>
    </fill>
    <fill>
      <patternFill patternType="solid">
        <fgColor rgb="00D9DEE7"/>
      </patternFill>
    </fill>
    <fill>
      <patternFill patternType="solid">
        <fgColor rgb="00FFF4D6"/>
      </patternFill>
    </fill>
    <fill>
      <patternFill patternType="solid">
        <fgColor rgb="00FAFAFB"/>
      </patternFill>
    </fill>
    <fill>
      <patternFill patternType="solid">
        <fgColor rgb="00F3F5F8"/>
      </patternFill>
    </fill>
    <fill>
      <patternFill patternType="solid">
        <fgColor rgb="002F4BD8"/>
      </patternFill>
    </fill>
    <fill>
      <patternFill patternType="solid">
        <fgColor rgb="000f7a4a"/>
      </patternFill>
    </fill>
    <fill>
      <patternFill patternType="solid">
        <fgColor rgb="001f9d63"/>
      </patternFill>
    </fill>
    <fill>
      <patternFill patternType="solid">
        <fgColor rgb="00d7f2e3"/>
      </patternFill>
    </fill>
    <fill>
      <patternFill patternType="solid">
        <fgColor rgb="00fdecc8"/>
      </patternFill>
    </fill>
    <fill>
      <patternFill patternType="solid">
        <fgColor rgb="00e5e7eb"/>
      </patternFill>
    </fill>
    <fill>
      <patternFill patternType="solid">
        <fgColor rgb="00fde2e2"/>
      </patternFill>
    </fill>
    <fill>
      <patternFill patternType="solid">
        <fgColor rgb="00d64545"/>
      </patternFill>
    </fill>
  </fills>
  <borders count="11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/>
      <top/>
      <bottom/>
      <diagonal/>
    </border>
    <border>
      <left style="thin">
        <color rgb="00D9DEE7"/>
      </left>
      <right style="thin">
        <color rgb="00D9DEE7"/>
      </right>
      <top/>
      <bottom/>
      <diagonal/>
    </border>
    <border>
      <left style="thin">
        <color rgb="00D9DEE7"/>
      </left>
      <right style="thin">
        <color rgb="00D9DEE7"/>
      </right>
      <top/>
      <bottom style="thin">
        <color rgb="00D9DEE7"/>
      </bottom>
      <diagonal/>
    </border>
    <border>
      <left style="thin">
        <color rgb="00FFFFFF"/>
      </left>
      <right style="thin">
        <color rgb="00FFFFFF"/>
      </right>
    </border>
    <border>
      <top style="thick">
        <color rgb="002F4BD8"/>
      </top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0" fillId="11" borderId="5" pivotButton="0" quotePrefix="0" xfId="0"/>
    <xf numFmtId="0" fontId="0" fillId="7" borderId="5" pivotButton="0" quotePrefix="0" xfId="0"/>
    <xf numFmtId="0" fontId="10" fillId="10" borderId="6" applyAlignment="1" pivotButton="0" quotePrefix="0" xfId="0">
      <alignment horizontal="left" vertical="center" indent="1"/>
    </xf>
    <xf numFmtId="0" fontId="0" fillId="10" borderId="6" applyAlignment="1" pivotButton="0" quotePrefix="0" xfId="0">
      <alignment horizontal="left" vertical="center" indent="1"/>
    </xf>
    <xf numFmtId="0" fontId="11" fillId="10" borderId="0" applyAlignment="1" pivotButton="0" quotePrefix="0" xfId="0">
      <alignment horizontal="left" vertical="center" indent="1"/>
    </xf>
    <xf numFmtId="0" fontId="0" fillId="10" borderId="0" applyAlignment="1" pivotButton="0" quotePrefix="0" xfId="0">
      <alignment horizontal="left" vertical="center" indent="1"/>
    </xf>
    <xf numFmtId="165" fontId="11" fillId="10" borderId="0" applyAlignment="1" pivotButton="0" quotePrefix="0" xfId="0">
      <alignment horizontal="left" vertical="center" indent="1"/>
    </xf>
    <xf numFmtId="0" fontId="12" fillId="10" borderId="0" applyAlignment="1" pivotButton="0" quotePrefix="0" xfId="0">
      <alignment horizontal="left" vertical="center" indent="1"/>
    </xf>
    <xf numFmtId="164" fontId="11" fillId="10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1" fontId="7" fillId="10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5" fontId="7" fillId="10" borderId="1" applyAlignment="1" pivotButton="0" quotePrefix="0" xfId="0">
      <alignment horizontal="right" vertical="center"/>
    </xf>
    <xf numFmtId="166" fontId="7" fillId="1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4" fontId="7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4" fontId="8" fillId="1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center" vertical="center" wrapText="1"/>
    </xf>
    <xf numFmtId="1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5" fontId="7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4" fillId="12" borderId="1" applyAlignment="1" pivotButton="0" quotePrefix="0" xfId="0">
      <alignment horizontal="left" vertical="center"/>
    </xf>
    <xf numFmtId="167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0" fontId="14" fillId="13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left" vertical="center"/>
    </xf>
    <xf numFmtId="0" fontId="18" fillId="17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168" fontId="7" fillId="0" borderId="1" applyAlignment="1" pivotButton="0" quotePrefix="0" xfId="0">
      <alignment horizontal="right" vertical="center"/>
    </xf>
    <xf numFmtId="0" fontId="24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ont>
        <name val="Calibri"/>
        <b val="1"/>
        <color rgb="001F9D63"/>
        <sz val="16"/>
      </font>
    </dxf>
    <dxf>
      <font>
        <name val="Calibri"/>
        <b val="1"/>
        <color rgb="00D64545"/>
        <sz val="16"/>
      </font>
    </dxf>
    <dxf>
      <font>
        <name val="Calibri"/>
        <b val="1"/>
        <color rgb="001F9D63"/>
      </font>
    </dxf>
    <dxf>
      <font>
        <name val="Calibri"/>
        <b val="1"/>
        <color rgb="00D64545"/>
      </font>
    </dxf>
    <dxf>
      <font>
        <name val="Calibri"/>
        <color rgb="001F9D63"/>
      </font>
    </dxf>
    <dxf>
      <font>
        <name val="Calibri"/>
        <color rgb="00D6454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by stock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'Dashboard'!F20</f>
            </strRef>
          </tx>
          <spPr>
            <a:solidFill xmlns:a="http://schemas.openxmlformats.org/drawingml/2006/main">
              <a:srgbClr val="2F4BD8"/>
            </a:solidFill>
            <a:ln xmlns:a="http://schemas.openxmlformats.org/drawingml/2006/main">
              <a:prstDash val="solid"/>
            </a:ln>
          </spPr>
          <cat>
            <numRef>
              <f>'Dashboard'!$B$21:$B$30</f>
            </numRef>
          </cat>
          <val>
            <numRef>
              <f>'Dashboard'!$F$21:$F$30</f>
            </numRef>
          </val>
        </ser>
        <dLbls>
          <numFmt formatCode="+0.0%;-0.0%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(₹)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Path'!D4</f>
            </strRef>
          </tx>
          <spPr>
            <a:ln xmlns:a="http://schemas.openxmlformats.org/drawingml/2006/main" w="28000">
              <a:solidFill>
                <a:srgbClr val="0E7C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Path'!$A$5:$A$23</f>
            </numRef>
          </cat>
          <val>
            <numRef>
              <f>'Portfolio Path'!$D$5:$D$23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return vs Nifty 50 (%)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Path'!F4</f>
            </strRef>
          </tx>
          <spPr>
            <a:ln xmlns:a="http://schemas.openxmlformats.org/drawingml/2006/main" w="28000">
              <a:solidFill>
                <a:srgbClr val="2F4B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Path'!$A$5:$A$26</f>
            </numRef>
          </cat>
          <val>
            <numRef>
              <f>'Portfolio Path'!$F$5:$F$26</f>
            </numRef>
          </val>
          <smooth val="0"/>
        </ser>
        <ser>
          <idx val="1"/>
          <order val="1"/>
          <tx>
            <strRef>
              <f>'Portfolio Path'!I4</f>
            </strRef>
          </tx>
          <spPr>
            <a:ln xmlns:a="http://schemas.openxmlformats.org/drawingml/2006/main">
              <a:solidFill>
                <a:srgbClr val="9AA2A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Path'!$A$5:$A$26</f>
            </numRef>
          </cat>
          <val>
            <numRef>
              <f>'Portfolio Path'!$I$5:$I$26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32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search?q=Laurus%20Labs%20site%3Atorusdigital.com" TargetMode="External" Id="rId1"/><Relationship Type="http://schemas.openxmlformats.org/officeDocument/2006/relationships/hyperlink" Target="https://www.google.com/search?q=Laurus%20Labs%20site%3Aanandrathi.com" TargetMode="External" Id="rId2"/><Relationship Type="http://schemas.openxmlformats.org/officeDocument/2006/relationships/hyperlink" Target="https://www.google.com/search?q=Laurus%20Labs%20site%3Aanandrathi.com" TargetMode="External" Id="rId3"/><Relationship Type="http://schemas.openxmlformats.org/officeDocument/2006/relationships/hyperlink" Target="https://www.google.com/search?q=Laurus%20Labs%20site%3Aanandrathi.com" TargetMode="External" Id="rId4"/><Relationship Type="http://schemas.openxmlformats.org/officeDocument/2006/relationships/hyperlink" Target="https://www.google.com/search?q=TD%20Power%20Systems%20site%3A5paisa.com" TargetMode="External" Id="rId5"/><Relationship Type="http://schemas.openxmlformats.org/officeDocument/2006/relationships/hyperlink" Target="https://www.google.com/search?q=TD%20Power%20Systems%20site%3Afyers.in" TargetMode="External" Id="rId6"/><Relationship Type="http://schemas.openxmlformats.org/officeDocument/2006/relationships/hyperlink" Target="https://www.google.com/search?q=TD%20Power%20Systems%20site%3A5paisa.com" TargetMode="External" Id="rId7"/><Relationship Type="http://schemas.openxmlformats.org/officeDocument/2006/relationships/hyperlink" Target="https://www.google.com/search?q=TD%20Power%20Systems%20site%3A5paisa.com" TargetMode="External" Id="rId8"/><Relationship Type="http://schemas.openxmlformats.org/officeDocument/2006/relationships/hyperlink" Target="https://www.google.com/search?q=Ather%20Energy%20site%3Aindmoney.com" TargetMode="External" Id="rId9"/><Relationship Type="http://schemas.openxmlformats.org/officeDocument/2006/relationships/hyperlink" Target="https://www.google.com/search?q=Ather%20Energy%20site%3Aindmoney.com" TargetMode="External" Id="rId10"/><Relationship Type="http://schemas.openxmlformats.org/officeDocument/2006/relationships/hyperlink" Target="https://www.google.com/search?q=Ather%20Energy%20site%3Afreepressjournal.in" TargetMode="External" Id="rId11"/><Relationship Type="http://schemas.openxmlformats.org/officeDocument/2006/relationships/hyperlink" Target="https://www.google.com/search?q=Ather%20Energy%20site%3Ahdfcsky.com" TargetMode="External" Id="rId12"/><Relationship Type="http://schemas.openxmlformats.org/officeDocument/2006/relationships/hyperlink" Target="https://www.google.com/search?q=RR%20Kabel%20site%3A5paisa.com" TargetMode="External" Id="rId13"/><Relationship Type="http://schemas.openxmlformats.org/officeDocument/2006/relationships/hyperlink" Target="https://www.google.com/search?q=RR%20Kabel%20site%3Afyers.in" TargetMode="External" Id="rId14"/><Relationship Type="http://schemas.openxmlformats.org/officeDocument/2006/relationships/hyperlink" Target="https://www.google.com/search?q=Aeroflex%20Industries%20site%3Asahi.com" TargetMode="External" Id="rId15"/><Relationship Type="http://schemas.openxmlformats.org/officeDocument/2006/relationships/hyperlink" Target="https://www.google.com/search?q=Aeroflex%20Industries%20site%3Asahi.com" TargetMode="External" Id="rId16"/><Relationship Type="http://schemas.openxmlformats.org/officeDocument/2006/relationships/hyperlink" Target="https://www.google.com/search?q=Aeroflex%20Industries%20share" TargetMode="External" Id="rId17"/><Relationship Type="http://schemas.openxmlformats.org/officeDocument/2006/relationships/hyperlink" Target="https://www.google.com/search?q=Aeroflex%20Industries%20share" TargetMode="External" Id="rId18"/><Relationship Type="http://schemas.openxmlformats.org/officeDocument/2006/relationships/hyperlink" Target="https://www.google.com/search?q=E2E%20Networks%20site%3Aangelone.in" TargetMode="External" Id="rId19"/><Relationship Type="http://schemas.openxmlformats.org/officeDocument/2006/relationships/hyperlink" Target="https://www.google.com/search?q=E2E%20Networks%20site%3Aanandrathi.com" TargetMode="External" Id="rId20"/><Relationship Type="http://schemas.openxmlformats.org/officeDocument/2006/relationships/hyperlink" Target="https://www.google.com/search?q=E2E%20Networks%20site%3Aanandrathi.com" TargetMode="External" Id="rId21"/><Relationship Type="http://schemas.openxmlformats.org/officeDocument/2006/relationships/hyperlink" Target="https://www.google.com/search?q=Acutaas%20Chemicals%20site%3Afyers.in" TargetMode="External" Id="rId22"/><Relationship Type="http://schemas.openxmlformats.org/officeDocument/2006/relationships/hyperlink" Target="https://www.google.com/search?q=Acutaas%20Chemicals%20site%3Aanandrathi.com" TargetMode="External" Id="rId23"/><Relationship Type="http://schemas.openxmlformats.org/officeDocument/2006/relationships/hyperlink" Target="https://www.google.com/search?q=Acutaas%20Chemicals%20site%3Aanandrathi.com" TargetMode="External" Id="rId24"/><Relationship Type="http://schemas.openxmlformats.org/officeDocument/2006/relationships/hyperlink" Target="https://www.google.com/search?q=Diamond%20Power%20Infra%20site%3Aanandrathi.com" TargetMode="External" Id="rId25"/><Relationship Type="http://schemas.openxmlformats.org/officeDocument/2006/relationships/hyperlink" Target="https://www.google.com/search?q=Diamond%20Power%20Infra%20site%3Abajajfinserv.in" TargetMode="External" Id="rId26"/><Relationship Type="http://schemas.openxmlformats.org/officeDocument/2006/relationships/hyperlink" Target="https://www.google.com/search?q=Kirloskar%20Oil%20Engines%20site%3Aanandrathi.com" TargetMode="External" Id="rId27"/><Relationship Type="http://schemas.openxmlformats.org/officeDocument/2006/relationships/hyperlink" Target="https://www.google.com/search?q=Thangamayil%20Jewellery%20site%3Aanandrathi.com" TargetMode="External" Id="rId28"/><Relationship Type="http://schemas.openxmlformats.org/officeDocument/2006/relationships/hyperlink" Target="https://www.google.com/search?q=Thangamayil%20Jewellery%20site%3Aanandrathi.com" TargetMode="External" Id="rId29"/><Relationship Type="http://schemas.openxmlformats.org/officeDocument/2006/relationships/hyperlink" Target="https://www.google.com/search?q=Thangamayil%20Jewellery%20site%3Aanandrathi.com" TargetMode="External" Id="rId30"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qAFBVV95cUxOYzMybHpFSFdNMElLU0ZZZDd6cFlGbk5INDhsaUFRYkZta2gyYnNLYVRRV18zcTBHSXlyczRYd2VEcjliQXZoN3Y1Yk9GVkFGbDJwV1VZU1VHRFFaS0t3aUdvd3NZZElDMkdaV2xJcGhMQ1Y2anRvTW0zbG0ya0E1RWd3UlJBUHFKY19yYWoxR25sdDR0NjFhaTUxUm8zaGNZMzZya2VaZ24?oc=5" TargetMode="External" Id="rId1"/><Relationship Type="http://schemas.openxmlformats.org/officeDocument/2006/relationships/hyperlink" Target="https://news.google.com/rss/articles/CBMiwgFBVV95cUxPQnIwOFFjZ0FXd3hPQzNZZjRGalJkb1BNUmF6QkszZG9KeC1pN2N6VTBmeW0wOWtPYW94STFRZEtGbk4xbHpwNjYtNnREaGtlcjg3blBQQmNPcGdQX1ZmMWRuR0VGZ0puRVNfanc0R3J4UFA3aFlxcUFOc3ZjRnNuaW9fZWU0MnY3NmdYdWdxcjF5eVpZN2pROUdKRHFCaGRkbkswVVU4SFFRN2sxaEF0NVNzeHZuQmpXZGxDUjFUMkl6UQ?oc=5" TargetMode="External" Id="rId2"/><Relationship Type="http://schemas.openxmlformats.org/officeDocument/2006/relationships/hyperlink" Target="https://news.google.com/rss/articles/CBMiwgFBVV95cUxNVVVFQzlqUVNaMm8xRml0Mnc4NHlkQjFrbFVwZ1FtanZPa21CSldPNi1IRUUyc18zQ1FIQUJ5M3prMEVab0hlLXBXSmtFU3EyZ1ZKbzZyNms4S1JnS0Z2cV9hNEp3X0ZCWDZXaVg1RFY4U0xRVWljQ1hpYTJpSTFFTFdpdnlLM1RzcUlyMFpJYlpHYzg5VG5QTW9raUVGTlFiQmttcGo0REJUQ3pKbURVYmlSSDluRTczQk81dnFUMWlXZw?oc=5" TargetMode="External" Id="rId3"/><Relationship Type="http://schemas.openxmlformats.org/officeDocument/2006/relationships/hyperlink" Target="https://news.google.com/rss/articles/CBMi4AFBVV95cUxNQjZyWl9nQ19wVmduaW02NS1MVFBCM1dyeExicTVkRVRTYVAwejlXTERkQkRYRm1HWW50YjJkVWxmR0NlNmo4V0NpbXo2eVFmcEJjWVgtM2tiQXZDQUo3NG9oRlBsbG8tcHZIU2ZLMnhTQ05ocGNqc0RWcmtsVVpjRFBOcnUwNGZMQUwzWXdRUUtNSThobWdLakdCclhjcDRIQ1p1ei03bzRFZGx4ZmRybVhtTHZha0F4c0xJWnZKcm9oRVpQQWlCdER2QzkydlRzczR5ZWVpbGRkb2xzQ2dnMA?oc=5" TargetMode="External" Id="rId4"/><Relationship Type="http://schemas.openxmlformats.org/officeDocument/2006/relationships/hyperlink" Target="https://news.google.com/rss/articles/CBMiswFBVV95cUxNUUEyRkU5Tmk2WllPUDNDVGp6b3dkVTI4SGVfd3B0ZS1lMXF1OEVNNG1jckgtVE9yUTg5VTFVM2xCQmFjeXRkd0pSY2lOSW9NR3psZzJGeXNjbkpYdFFHUGZ0VjU0VGhHMUp4dW85d1MyMHJrSzlHOXhRbUltWXQ3NVB0czhweHBLdWEyRFZMcDg3Qm5XN0RVOWd5M2lVZnJRS1ZEcFBPN0hDQTdUczdzcWdSZw?oc=5" TargetMode="External" Id="rId5"/><Relationship Type="http://schemas.openxmlformats.org/officeDocument/2006/relationships/hyperlink" Target="https://news.google.com/rss/articles/CBMiqgJBVV95cUxPMFNuVzhBMFJfY3VMdW5SSFhEcndpR3Z2M2lGd1A0ckgtNWhIcThFa3VrNV8xSnpic3B5bEVLaG5vZExHcnFickJ3Y05sV1czbXFvWUdxeFRXandBdWZkS0s0N1V6aXo3UXIxbURBZXZ0T3MzMmxOYm1UTkxrVWFSZmVxRkZIMndwdmVmcl96enNkdXZHNVNhS0JraXFqM3JlRjBWOS1XOGh5R0M4X1dSTmVjQTJVOEFIY0hueFRDU1ZveHQzTHcwS2JwaVB5YUZQRTZ6bUFha1p1TzZ2MG45Q1RZYXNyeGtZM0owRWNYNEhWZE1ELUI3VVN6Rll2UHQzLWFwelNVNUhsSkVkblN1T0VyVlZManpBam04NlRrbHZGRkc3VmpuMXVR0gGvAkFVX3lxTE9VUkk4NHNwdHA0V1hSMWdtWkJfdEhvLWt6YUdRRTJDTzd5Ym9wRFdJX0hnbWxURzNTVWlnckNqWnhmMWxVUnFRa2lpNG5Td3J6dEJDQlFDUktJNkJQNGozSmM1SzZiVnl6eUotczhYYU1zYW55MU5RMWRJU2sxdjNqUTZqcFFMSE0yS20wX1RDeHVFSGNQNFZ2LXlYX2dvRTh0Tl9Pb3lDbmp0M2FhR1hleWZJWENBbVZ1Mk9CN1JhdGhpZU5LM002MG85M0RocVg5Y0JMa2RyNEN4UGdKNFlfc0tSdWx4Zk5rNGhaTTRBVEp1c3dacnU1dEY0T2V4WFJ2ZWFFUjZzTFdlQnNDMU9DZE42N0RlVURjcUlrczZPemI0V19meVc5WTNoMDVrQQ?oc=5" TargetMode="External" Id="rId6"/><Relationship Type="http://schemas.openxmlformats.org/officeDocument/2006/relationships/hyperlink" Target="https://news.google.com/rss/articles/CBMifEFVX3lxTE5Gd3lWUVc4RURIc3hYYkFVeVNDa3BOcHMydVBxX3Z1TUJEUmRrYk9zMDEzX1Y2RDJHN2NCQ0JPSGd2MmVBWDRSRzR1ZU5BRzN5UVA3R204elgtTGRNLTlTWlhXQ2dSLVNVMmFXR2NKQ2hzYXh3akVmSWZuRDA?oc=5" TargetMode="External" Id="rId7"/><Relationship Type="http://schemas.openxmlformats.org/officeDocument/2006/relationships/hyperlink" Target="https://news.google.com/rss/articles/CBMi4AFBVV95cUxOdC1raFlJNDlHakZlX3RsbnlzalQ2Sy1qQmJYVXpISmVRUjJWTXIxcVVCLU52enFtdWM5bVdQenczZ2FuVVZTbGNFYW1FVk9OMFVwTFY5QV9zNjVYbWFkVlhrMGJwQXJBMUp2TVBwMXVmQ0NCUmdrMjZ5LURaYnZhYnJxdXVWV2NpOWdoVmVmdlp6YmI1ekhCOGI5TVhheDJfNzgybmpyTWhscS14Q1YzeUpvcU1zVUlfMF92VWIxN0pOMlZTYlZHNlFrcGlHbENDOTExLVJjUjlTY2lHbDZpTA?oc=5" TargetMode="External" Id="rId8"/><Relationship Type="http://schemas.openxmlformats.org/officeDocument/2006/relationships/hyperlink" Target="https://news.google.com/rss/articles/CBMi4wFBVV95cUxQaXBZQnNaMjB2VC1wWDJkeG1PZHlVSjRhVkM3bTNpSmhxZWhmOWcyV0VTTVgyWUpaQ1p5c1ZObU51QmllYkM5TkZsVDlRWlItMS01c3hHblVTZ2VzeUJTNjBVdzZVTUZKbUNFLUZjSDA3eE42ZEFZdTJuQUlfYVFVcE94VjZ3WklqdnZ4VUZCSmNtZ0hfSU0tVzk3aDlaaHJIRUt0Ulg4SEs0ejFXR3lCSmZwZ2lOWUEwVndUb3Y3TjItOTFXanoyZUdLcEZjeGU3M1NoX1RfS0liNFFRVEU1Z0dYa9IB5gFBVV95cUxQWllvblBMU0tiYzRlZ3F6ekNTeGZhYXVvd29XRDl0QVRmaEltMm1PZ3FOYXg2bUI2VzRxWnlwN0VpdVdjYi05T1Z0REZjVGM2cTdLT2ZGODZQZzA5MURmOU9YSGF2ZUZoX3hVZ2FoYWNvdnB5cFBNWjRjdDRXUENsa0hUdVdvd2JqVFBTQmdXQmREaWttNlk4TlZvY19BYkdBbS0wQnpXWGttdlh2dHIzS1lmWWQtaTVVQ0xpeGplelFaZE9QYWdCek80UFBvM0tZSnd1QlJjb251cXVJSGpTQmluOFVsZw?oc=5" TargetMode="External" Id="rId9"/><Relationship Type="http://schemas.openxmlformats.org/officeDocument/2006/relationships/hyperlink" Target="https://news.google.com/rss/articles/CBMiqwFBVV95cUxORmEzQjFiR2tJQmJBSXFpR2kyVFJMeEZWUnBZYVhhR2dlUEg1Y2xfRWZDekFuNVN3UWxiMmtQQ25xRUdVd2M0aUI2ZUx1MnYzajFGdlFrLXJlRk9jSFRNZ1Y2MnV5RXI2cm84X1NmUlFfdlFBWWlWcVVnRF9fbkk5WUk3R0JPZ2M4bnRQbmVndGVFYXVlRnNQQllWWGt3V3A2M1RCVTc5MjZ3aUk?oc=5" TargetMode="External" Id="rId10"/><Relationship Type="http://schemas.openxmlformats.org/officeDocument/2006/relationships/hyperlink" Target="https://news.google.com/rss/articles/CBMirgFBVV95cUxOcW5MSjcwWkJSamFDMl9hNUpSdG9Bd0lwWkJyQ2RrVy1ReVJJNzlVa0Q4TklPRUdKNFBqV1pQSHgxbVo4aVhBSUlZa3I2VUJWMlRSQ2gxUXV5QjNISl83LXFlVklqc2dOdXJVV2M1YzlGV3JidjFYQkVfaU01djVpdS1pLThxZ2pNTlRua2VjT1l3MkF6U3VxcW96S1NmQ3JPa0pyYkEycTlzS1ZBZVE?oc=5" TargetMode="External" Id="rId11"/><Relationship Type="http://schemas.openxmlformats.org/officeDocument/2006/relationships/hyperlink" Target="https://news.google.com/rss/articles/CBMizAJBVV95cUxPbWlwSjh6U0oxZ2hNUG5ZblRyNGlDZzQ4RWpPcTQzWUdTVGVyc0FxNW9Vdm9CV09WSUdMejBwdGpPbUlvMjZBcVc5SndQVEV2TVFjcnU3NmdCdUpzUjl2Rk1lRVZvMUdlS1B0RUFMbEptbE8wQjZQZmpNeHdEVzRrR2prMDlmc1F6UXJka1JQRDZZZHRrMDJ0V2dwM2JxT0FwQmVnNDFIT0FxaGJOZG1ZOEJKV0hhX0paQVNad2oyX0VCLW5EV0JqX21XNmVlMl9fUnBMLWZBSGxMWlV2Mll2QmxPY1RJUlJjc09NSEdOQ2pYc2tNWFVKaTN4d1NxZHF3dWxiY2d4U18zbkYtZ3VjQkt0aFR4aWlnSms1VTlxZjJicXFlNHhYWFRMc2Zab0g5SHpjTHo5bXQ5YUVwbTFuaEthVkhvT3N5N1kwUg?oc=5" TargetMode="External" Id="rId12"/><Relationship Type="http://schemas.openxmlformats.org/officeDocument/2006/relationships/hyperlink" Target="https://news.google.com/rss/articles/CBMi7gFBVV95cUxNYW5sZ3RaSVR2VDdOejhPbVFQLWpkaWQxWG94Qk9MNVhoelNIWjJtSm8xazh2NUtTSHhPX0hkNlZXcU1nRVRqdDF6T1J2cFpOd3JjTm15TEdUSkNCb0ZGNUR0eHBLN2JsaURxN3FPdDVreG1sdUtzUjlGRTVXeUo5V202Rlo2SkJKT2U2Mnhkc2JHak83TG5YenNKVnNFdnJHc1hpRmZ2TUsxSjBpOGVIc0ZGMnhWYWw5ZmZ3R0pxRXIweUZmcjF2VE9HdlhzRU9iWV9LRTlwWFJsZ1FWMFFlTGpzUWs5TUY0eU80OVdR0gHzAUFVX3lxTE5CaEdTMDBTbEFBa0tRaF9kbllVem9uUklwZXNqUGZGWFBaQTdKcndrSk1UR0Raak5NV091MlFFYkdoNjhibkNocERJMWctSzg4M0xrdFp6U1lEb0RuM2FfN0hDckh0bzg5aEVZXzdvR1dnNFBBb2ZleXMyOGxVODl0NGdfUV9na1M0WTF5ZEY2S3BlUWtVcEJkVUF6S0ZNYlVLUGxhUUJVOExELXIxRHg0d1FpaTZDNUJMZFZKcllhSEVLR1Rsb3ZLemVlZzlQMWI1Rl9Da25ZY0l6R2xBSmdGcUZfTUtoYjdGN3dPa2lYTm5Zcw?oc=5" TargetMode="External" Id="rId13"/><Relationship Type="http://schemas.openxmlformats.org/officeDocument/2006/relationships/hyperlink" Target="https://news.google.com/rss/articles/CBMiyAFBVV95cUxQc1JaVTd3SURLaTBsd1BBOE5VLXdMV2dzMEtzcy1TLXlpN0Fzclg3Y21KTVdxejFRcVZvQUlUOHB1em1Oa2k4VEN1VDJ1VGZ2STZfRVNGUmwwWUxzQkJRdGRyZnROOW5Ob0NleDk5R0tVVXJPSE1COU9IaEJjS3JLZU5IWXV2X25TMG1QRjZBREhraGI0dTIwSU5yUVdIRFNWLUJiTXdFdGpxWWREaHBlMUpSRzdpaHY3QXZWNWFSWkpHYzZvNXNGQw?oc=5" TargetMode="External" Id="rId14"/><Relationship Type="http://schemas.openxmlformats.org/officeDocument/2006/relationships/hyperlink" Target="https://news.google.com/rss/articles/CBMi2wFBVV95cUxNZWRLUVZCZWZCTzhPRmRIOFZmWGFWajR1ZmRSOXc5VlpydTdOQTM1S0dvRWV5Q0tsdUh0RkJmWmxldFRkejNPbllGdi1jUEw2ZE8wdzExbHNJa2FSbHoxRl9vSDV2VmtlVWZXTEZ3QThVT3VnNzhycWRVdEFzYVB3NlRZcklUMGhCWnNZMnVwX285RFpacnlCeDE2b1E5Q3UyRHFhZkRIYWFhRWR0cTc1a1lYUE1tRXdCM2txQXRVWEIyVEdEeEcwTXY5c1NJR09KLXdSZjQ5anR4Wk0?oc=5" TargetMode="External" Id="rId15"/><Relationship Type="http://schemas.openxmlformats.org/officeDocument/2006/relationships/hyperlink" Target="https://news.google.com/rss/articles/CBMi3AFBVV95cUxQVjBkcXFZQng1RGg4cTRCVzZ3cDNpdlNpZmNwY3hBT2lRcEdQTDhzZzNSMzVnU21BYTJYek1INGMzTzFwZV82dzZsbEpwWThNbHZYbU1ZdHJQT19qVWVndEdrZjJDVFZkM1VWOThtalpEUWFvYUljdWRNbXZ5UW10TWNhRDZCTXo1UndTRkxtODdGeDdCTFNRZ0JxV200VWRQWnRiQ0NaaUVsUlZIWkkwazZKS1huemJGTGZXNVNVTzdBRzNyQWRQTl9nNUFGRWVsaVMxZ0ZTeUVEeU5H0gHiAUFVX3lxTFBram12dlViVDhYS1U4a0ZxaDQ0empDUGR2R2EyYWtiQ25rbEtkNHJBMXNlNEYzZlZGRnZfa3VoOTVQcUxLUl9uRmF6QlVScndHeUNEMGlBbGhQYzRXYXR4ZGEwczE1c3l6cTNXbXFzenE2WElVZFhKa2wya282V19SUFY0eDRCSE5fUHZKWXJwcTV4dWo2S0FKT280akp0YW41bTR4MjdPMzlTUmVHaHNPUFhmMVh5VkVjUWZPdk13S256eDE0bXNQclRvSHNLektuZUtmUDVuQXl5dXhJLXAxdnc?oc=5" TargetMode="External" Id="rId16"/><Relationship Type="http://schemas.openxmlformats.org/officeDocument/2006/relationships/hyperlink" Target="https://news.google.com/rss/articles/CBMiwgFBVV95cUxNWU9YZDFKQmpIeVlVTndmSHZISmdIOTZ1X3c2elpYaWlIWTNQTE1OVUxZaWhLR0dISllmeW93dVFzdzk2STFFNFdtaF91VU9qdFlaSUJMTjdNaldFRkVUQlczTFZXWmtQU3VjaDBrTmM0TGxTS3BtazFOSXBUWXUzeWp6RENIRmpzeGY4RGJ5YzFSZEx4SUppVm41U3p1SmVMVzItSDA3OWRSX3V6VTRTSjNPamYyNVlBaW1IWERpSWlrd9IBxwFBVV95cUxPdDhWcVBjWDkxenRBTjVZSVVqX25ncUxqdl9jZzRpRWo4VzBNN1lvX0JRb1laWHRQRUxsVkpLZWludldnMGNJN3VYSlFOQVI5ck5tVjB1dFk2cmpNWkZtcVlvT05SY3FFSzJnOHA0YWp5VnhyU2lORHYzN0ZwTWtMcHFOOXkxYXNrXzM1M3B4cGxwRnQyOW00TTZ6Y29NMmNmV2ZJOG9Td1RZWEM2OXFydFQ1SVpSQUYxcEtLc0VrWnE3c0JwSVAw?oc=5" TargetMode="External" Id="rId17"/><Relationship Type="http://schemas.openxmlformats.org/officeDocument/2006/relationships/hyperlink" Target="https://news.google.com/rss/articles/CBMi6AFBVV95cUxObWFadjlUem5OeW1WM0ZnWmF3NlpnSkQyd053NHNvanJ6VzFOZUNIdzhleVNJLTc1V3VWWnFrVWowMXlQd2U4YkxSSmRVVERjRFVTc1g2M1hGWGI0OE1tYW84S3VUWWlPdGsxWFFWa1dqUVB3dlFZUkl1ajlyYU9iY210YzBncHoyUENrY0F2ek8zSUtfYkZMd1Jra0RBUm5ybEtBdm1lZTFja3NiYVVsYndIMk9GNWR2eU9hVlB4R1pxUU5Oc0FqRzhZQ3hGa29MVVU4RXNQaF81TkFnempwTGxtWUJRekNF?oc=5" TargetMode="External" Id="rId18"/><Relationship Type="http://schemas.openxmlformats.org/officeDocument/2006/relationships/hyperlink" Target="https://news.google.com/rss/articles/CBMiV0FVX3lxTFBvU1A3YXdwdkdEeEhvQ1lLLVhhUk9sWUdXUFdDb1F4NjUxRDlnVDFkOUNjdFVjbTBBc09kNmNkRl9UbzkyOFVvbjIxYjFoMVQ3MUNJNGFmOA?oc=5" TargetMode="External" Id="rId19"/><Relationship Type="http://schemas.openxmlformats.org/officeDocument/2006/relationships/hyperlink" Target="https://news.google.com/rss/articles/CBMiiAJBVV95cUxQcFBFTjQtVDNpM255Z3czRXdHbno4UThYdVNRdnUzNlNOMnQyYmZ1eWRwSkhIb1FrT1Y0OTB5QlBsNTdaa2t2Q2Ribm12SDJ4ckEyYmZZamZQbEhFWktPeFQ3TmcwV2lrLTlSQmtRYjZsZU1nbjZqYkNRRHFpcVFtR1BIU0dZTUhoTjNDWHpMdmYwdmZPVC1POURWb1U0SXAyOTFtaFhkVFJpaHpfam01UFQ2X1VoYUF0RzV6MVQyNC1MUDdmQnFSV2M5SHBsb1ZZRldzWUdDT2tmV2szVkVJWWg1VjJWTDJ6cy1KdUs0WEVveGhqWE1YTTN0N1Y2RGFaUVhCVk0xcG3SAY4CQVVfeXFMTklrZEZlazREcHF4Zmw0X3dsSUFvWFFEektRZ1oxN082dWdWYmxyN21XVlNyLVd4UlVnTWs3dnQ5OERsQk45UG9JLVJ4NzQxQ3U0ZmVXSFR2M2FYOTM1STV5VzkyN1h0RzJPQ19GS3E0aExLTmFNSWZSMWg0S0NQQ1IxSENyUWQ0ejB3a05kbE1HdGlzRC1XZ0puS0ZyM1ZxMHAtT25zdTQyUXVUQ2tqUFhvNWVyVnNHbzNFMGkxVTRfN0VmWDVBbVZBWlRYcGtDQ3M2U0pVTFc4SUgtM3dCZEplUVZQdWlqVjRRNVlObVVoZmZxVFBsOG1vT3YzdktNbjEzazAxeEZMTnVZbzNR?oc=5" TargetMode="External" Id="rId20"/><Relationship Type="http://schemas.openxmlformats.org/officeDocument/2006/relationships/hyperlink" Target="https://news.google.com/rss/articles/CBMi0gFBVV95cUxPWmx2T3pmclloM0dPOE1zRmlMU3d1STU5aTNVRVJ2Qy1INzRoU1drUW45eUE4dUpXNlZGRXllYUdhUEZxT0hFcmRneTBwU21KSHdDUHhOYl9tZWNqbFFBVDhZX1RfSzQwa1lfQ1NtZ0hINERWaGdIazBXV1FnX0hsLW9iUXkwUEYyaUM4OWl6X1l4MXpHOXZlRC1ReWJpRUNLQmM2Wmw2cEtkaWYzZWV4bG50Qkl6Q0FfLUNNSzRidk5hV1dpZk9UTFduSkVfVklMWXfSAdcBQVVfeXFMUDJxX2htblVLczJOY25aS3dpZGxqd193OE5EX042R2ZaX0M2bVg2VDdrYkZEbV90SWFzMDBmU2p4MlUzQWg3UjBqSjBIZHdXRGtUWDNVRll0V0JLYzJJRF9lMmhudUtmNlRkSnNxbF9LRXhxcUNCNnRNc01fRTZoOWxjQ1Z0cTNUanRKRlVNLWg5T0M4ZnRhLU1UOG1yYkxYODRTNmcxb242NzAzS1k5b1Z1SlFQaVAxUzdBVmk4cnVEbnpjd3RFdHVJY3hjSU1zTlJmX2l4RW8?oc=5" TargetMode="External" Id="rId21"/><Relationship Type="http://schemas.openxmlformats.org/officeDocument/2006/relationships/hyperlink" Target="https://news.google.com/rss/articles/CBMiigFBVV95cUxNMmpPVXcxeVFIRHF1aHV6dFRLVnhXV3djOWRQN2tuMmxVTnhDeVNJSnFoV2ZscmFoaEtaWXhCT0tabGNHdVhlOV8zcG45eTJrYS04ek9hSlNlMEZPYlpyeS1pbXNqbjlVVklKeEFrX1R6OUEzXzhRdjNneFZzbEFFMjc4MmZ4T3dSMnc?oc=5" TargetMode="External" Id="rId22"/><Relationship Type="http://schemas.openxmlformats.org/officeDocument/2006/relationships/hyperlink" Target="https://news.google.com/rss/articles/CBMi2gFBVV95cUxPYm1hVGg0RlZqTG5DbXRHX2syNGJsc29fajJzQWh5N1lVb1dCOFVMOVlRczhQeV9MTFJCOG55S0MwMGw1RGk4dFBpNWQ0MDYtS2hxdnJWMTRkTHBldzgzUGNIQ3hvQXFaNTlKWnVGRWFNc3dJVml6Y05wNTZSVjRMREY2M1kyZUZITkM5Vi1hWkRRZ1V3aWFlU3lmUG5hRmJ4RG1KTUdMbkZoMUwxeEdOTG13eXNLQlFXb1VZUDJRdUxmcE91QmhSSmwtejlROXhBU3pJOWZDTzVZUQ?oc=5" TargetMode="External" Id="rId23"/><Relationship Type="http://schemas.openxmlformats.org/officeDocument/2006/relationships/hyperlink" Target="https://news.google.com/rss/articles/CBMipgJBVV95cUxNZXh6eXI2Q3Z3dV92VDJ3NjBuZ3hvMUlrZzBnTlNaNUZyOWFTV25zbDBKdGEzMnJhMlNqQzBhZ3UyR2U5Tjc4ZXdCcFAyVjZTZ2hrTzB0UXFyRUtJQXU5QWVKTDA0bjU0dVU2VWo1UkMtZlRjM1Y1dnphNmMySWRBS1lhc0Z3OWl3OFdabDREaVV5TklGdFRaYnE2eGpCRjlxWENuS3hWbklCNG1pRWhlLTBzYk9Oai1XcDBMYkt4RkVLRF9uZGI2ODYwV1FyZzg2ZW91bFNPTWw3TGRFeTg4NTdva1pEWHczZzBHMUhPeE9nY0swdVNudzd6MmdZbjkwYThsY3hYQjhrQ0FFV0cyUUxaQVNtRXdFb0ZUZFNEUHhNSDAxV2fSAasCQVVfeXFMTjZLRFV5cWhFaldYazl1ZmItVTg3WmtJWFdQZzVmeV9kOXNncElIOTZWLUVTcVU2T2loVUxSRVF5d3BhcGNJaXJOcjdyN1lCQ3lnQlhuLWVsRU1vVGVoZzlGY1R6bDBVX1J4THRDM0JvNXdNVzd2VnBOYkVmR2o3cjFfVFdiWk5wbUxYTUhjSFhXQ0syNGdQWGx6eGxDZmI3dmc1OS1jb1VXQ2ZGeDJLR3kyZ3hHdllUYXFCQ1hWTWl5dWdkbkdtdFBoWWFncFBpSXVienJzaFhpUE5oY2dCVUV5RFMzTUp3Ynp4cnJYdWZxUXB5RXBKUkw4cEFhQ1otLXY2WkNkQ1R4OXZ1YmF5NlpTX0lLZFJYTXN4bEtIR3hJcW1Zc24yNWxkNjQ?oc=5" TargetMode="External" Id="rId24"/><Relationship Type="http://schemas.openxmlformats.org/officeDocument/2006/relationships/hyperlink" Target="https://news.google.com/rss/articles/CBMi1gFBVV95cUxNSW9vYTRDMkNRLS04emdkd0E0WFBkbWJkNFpZbm1OV1F1ZFI5MGFPT3FkZzhlSGZucHFJOU5oTWtJcS1vZ2xHT1l0VmFuLTV1R19kc1pEVlFvRmRyNV91NTZUZ2pYSmhiOXVJNFprNDV3OUdTSkdVenRuXzZXWlJ5X1BoSTJlY0dsZnQ2Q3J1b3lGazA1R0tuRzYtV0hvX0VqZ0pGMDRJdi1icmFfdWNzSEZmZ0JiTVY1Nk5aUHN6NnRCOTJ6bUhrSmE1MXRQM08xVXViTHBn?oc=5" TargetMode="External" Id="rId25"/><Relationship Type="http://schemas.openxmlformats.org/officeDocument/2006/relationships/hyperlink" Target="https://news.google.com/rss/articles/CBMi0wFBVV95cUxPel9aNDh6UXVaS2pWWUlzNlNWa0RERDZRWlpncG5pcDRqbk14ZzdfTDllSEVJVGhlVC1FcXVZbjNKMDBIbTRZVnpWb2dZbk9SUzEzaHlrZ1VTVDVMeFZEcW5xYmp3RWhJX0R0RGFwclQ4LUxwelRPazF3N3BTcElQdE9OZjMxWThIM0paNWFUWDIyNTVleFVqS0JNV0kzX05MMlFSdFg0a2VMM09uTG9uY3dab0c0c3I3aFJ3cWVjM1lmUXByRENVOTJiYjlrbDVZUF800gHYAUFVX3lxTE1rdk92bmZRSzdQcUlRdEdNSzNQeEFZbjJsdk5tbHpsM29xa1J3Z0EwbVJnbXU3dlVvV1lYbVp6NlN6dGo3NkJxRHFxa08ta2tmY29kNVB5M3J6SXcxZ3ZGV2l3eU1QUHM5cllNcW1NUTM5UHZOSDlQd2Z2ekZqNi1MTGZPcU1UOUVRYnF1eDItRXZKUzVTaDhrQTAwdVlzMlhhY1Z2d2pjeElNaWhtSll5a09lVENaZ1RFOWEwdkhfd1pOaTRGYU8wYllVZWRjX3hDMXdPQVhuaw?oc=5" TargetMode="External" Id="rId26"/><Relationship Type="http://schemas.openxmlformats.org/officeDocument/2006/relationships/hyperlink" Target="https://news.google.com/rss/articles/CBMi4wFBVV95cUxPQ2MyTEhfRW1jclh3d1E0dmNmcUg5a0ZvbkRLVE5ROUM0RWVLeGxObWRiQXFsbFF1bVRCWDQ2WVFKbzkzWjZGZk1UdDV2UTBIRGhpLWUxWUFUZWlyNlprUnp5bDJLTU1BUWpLMHJzaDR0dHE5QTNKbVRXVy1KbE1IanNFTTI1bDFvckg2T2F2TUhRTFlraE1CSklVTlNtZlJ2b0RGTmQ3dExFSjJURkdJWXJ2WVNESmZNMU9kLXJESmpEMDdnWlZDa0huOHJ6VW4yREFGWmFFeU1qVkUtR3QyTzl3TQ?oc=5" TargetMode="External" Id="rId27"/><Relationship Type="http://schemas.openxmlformats.org/officeDocument/2006/relationships/hyperlink" Target="https://news.google.com/rss/articles/CBMipgFBVV95cUxQN2pCLThGUk9vOU44QzRrMGloVTF1TzlUSkpROWxZOFgwdm1sRGVlWFR5WFM5a3NBd1hGMkFpUjkyQW01bFZLSEpBTFR5aGplR3hPRkFUbU0wM0NBaXpJLUJ3NTZDQjhJUnhpeVlJUGp4bjhNMU9jTlRVcEI5RzYxLWswaVhJN1JSV3VyZG1UUVlLVWoyYXVIM2tsYloxQWpmZ0o5OFdn?oc=5" TargetMode="External" Id="rId28"/><Relationship Type="http://schemas.openxmlformats.org/officeDocument/2006/relationships/hyperlink" Target="https://news.google.com/rss/articles/CBMiswFBVV95cUxOTGQtcjc2NUVXTW5pUXpzOTlyQnVxSEotM0JoS1hzUm5mb1Y4UUI1NjljMllhVy1CeTVkdVZHdUZkbHFaWjk4ajc2WVdCQldabWxLQk03T2NTYW0yWmFxSzlMQTktZ0l4Z3lodVRuS0Rjc3RHM3FlWDlOU2FTVE9VZWZWR253bkFnVHZqdDlQMzk2c1U4UThlZWdBbUNXbEphMlVDa05yTVdhNTUxZ0RORGw0RdIBuAFBVV95cUxOaGlIdTF2eHp3dTRjdG9pTDBkdUYxTDd4bDBhYlF6a21QYUVBMmo4ZklLdk9JVEFDLU84TnF2a2FBVkE4QjVCd2tyRmhoWWJiV1JWUnZraWRtVUhDd1NtbUNvZjF3S3YtSjZfRHZEdjBCckhQZDB4Smducm5mQjlIbVdNMDlXZWt1NTNYNG9Ja3h6Z1ZxeUJiQzg5eUo5UHFhMHh1N2hYc0ZZemR2Qm5WMGl1V0EyRElp?oc=5" TargetMode="External" Id="rId29"/><Relationship Type="http://schemas.openxmlformats.org/officeDocument/2006/relationships/hyperlink" Target="https://news.google.com/rss/articles/CBMi3wFBVV95cUxPY2czY09uX1B3ZTlpQTN6VTJPNTJ6Uk15eDhNYWNwNHpfdnFHbFJiaWxmZDJOSmc5VTM1N2ZKWHhVYnVyeTNxbzMtMVdzYUFCSVV4NEJ5MDJiWUVUTDBOU3VHNVd0OUpmajh5WEV3S0JTWVdiUEx5bVlCalN4dWxEcFVoYjNRSl9mUmxqZnNINkhIQnlPd0QxUUI0d0tydjI1NXZNR050cDFsYU1oTkptSWpHTFVSR1hSYklmVFZtN2pxM3VFWTVJU21fMTJEd3g4WXFjWmdQamJKU3Vrd2dR0gHnAUFVX3lxTE5aal8xOTYxeTF5cWZ2VE9vWmpBTHlNUEZZZFdJTGgtZEpPS25DTEFPZEFGWEstdlh4SUZ1MVZkemk0WDVBOTNQeGVRR2dvSVNMdV95Sy1LT296bERheUozbFN4dEpsV09WTVVHbjl1dWVZOEZmZ1dLREtaaFZGZTVCWFJTUU5zdjNJcW1ESzNhc0FoVDBkOXkwcXRDMW82YnNldHVYQlJjT3hHbGNFWGt4anZNSDMzcFhIRGNHN1RhU3M2N21feG54OVJleE83M1haR2hUN1UxX0NfUEg0SC0zRGZWYlNvcw?oc=5" TargetMode="External" Id="rId30"/><Relationship Type="http://schemas.openxmlformats.org/officeDocument/2006/relationships/hyperlink" Target="https://news.google.com/rss/articles/CBMi0wFBVV95cUxQRHJkNU5lNUtYWnBHY1lnQ25VMjJCUEhfZ2NRLXNEdERZTFRpaFFURGZLYWw2NTduZEtGYnNRRmJxc3RUYklWVFRkdmhobndHNTlGb09Bd0lOMURPTnB3VUNXVXVlWGpWaWE2WjNfZFZzWlY5TWlsRnBJWXdKQ2tCdFhZbWZrXzJFZ0V2cXM4ZG5pZHYwVzdTOFBnUUNBeVlENjVZSW4tR1lEX1JIMzFNZFg1TGdPVlJCOVpmcmhfRkhheWltVGdHRUJXSlVSZnpUUGU00gHYAUFVX3lxTE1IcEJrS2MxQkpDandGS2FvQ3RaZVE3ZVE3X3lmVVpYeDVSd0FzWHVycmhBbGg2VHQza3E1VmZjMldJRXNqMFdYc1ZPRFhlWERCeVZpS0FGckNSTW9XbWMwekhQYVM2NmdJWVZHMXFmNXU3Y2xtQzUwZ1ZNeXRFZEZrMEMyN1E1NzIyNGpya2pRRjNpR3NSX3NxTURwbmdYRzk2WldQVFlGQnhYZ2lnNzdVZTNoQXBKMElQSGU1amU2a1BmcUN2R2txR2g1RUNDM2NpdXRxSUFDVw?oc=5" TargetMode="External" Id="rId31"/><Relationship Type="http://schemas.openxmlformats.org/officeDocument/2006/relationships/hyperlink" Target="https://news.google.com/rss/articles/CBMi3wFBVV95cUxQTlVFTFhuM0lRR3lNS2I4OHBtWWxBZU1iNm9EaFNHT2M4Mk94LWI4ajBDWlcwbS1GODhQRWxSY3NQMEhWV3QtZzB0YW1HaVJNZGF2aWJmSVdNTmRXdUhpTXZrSWxfM3VJVWNQU1M1R05wcnI0ZFNBSzNlVzVzWjhrYi1ycWM1all5VzUtVUQ1bzNtWUI4QmoySTFZSkxWVmJmX1k1aEtZR01rd2dubUg0M01tS3lVQm1XcVBqZnYtemZvVGs4QmtZdjlOUkhlVzU0MzVNSnFpNVV1S0NqNkFR0gHkAUFVX3lxTE9pQU16WXh6eHlLdVpDaUJvdDVVeGxyWXM5ZHBlZzNOUkV1T0lGcUFndlVOQkZqcHB6OU5FVFprVnJPNnZTc2ZoNTVxV0R4N0JPYTBTY19yWU54Skp3UF82cmVXWDNBOU9YNHc0TkcyZGYwcnJfZXJaUGoyMmUzSkh6OFFvTDV0MnhwRGhjSHcyVEhRcnB2SmlMZzR2RTlaY0JtMjg4bHNyR2l6Q21KOUFjcXR0bGNaX0pRcGIzbkEyczlrMHptVF9PVEI0Mld0R0dqMF93WFJaaDhkTTN0RDFLd0xrUQ?oc=5" TargetMode="External" Id="rId32"/><Relationship Type="http://schemas.openxmlformats.org/officeDocument/2006/relationships/hyperlink" Target="https://news.google.com/rss/articles/CBMi1AFBVV95cUxQMGhtM3RXOEpCaENVaE1ldTZqLTBPWThQVWVaNlVMN3hfN0NROVdHc1RYRE9QRmtabHlpaldxU0pldWh5UzdwX2QySEJLODVCX2o5aTdMNmI4TW43NzlVMmN5cWFiaGs1N1VubXh0TUdmLW5MMEJQMVpqWXYxazJvYy0zWnZ1NUxBbEZ2N0FZRTBvWVBMM2paS3JnVGdkQV94LUk3Ui1aOUp3Z28zeV8wR0I4cjRnMkVYUEhRREF4SnUyU1g2QktwaGhiZ2JhUXBWcHFiNw?oc=5" TargetMode="External" Id="rId33"/><Relationship Type="http://schemas.openxmlformats.org/officeDocument/2006/relationships/hyperlink" Target="https://news.google.com/rss/articles/CBMiowFBVV95cUxQSlJoQ3Y4b1BtVE83ZDN5amthN0o5SXJZQlBwdzlkTXBwSUFGQmdwczNzenQ1aHQxdWMtQ1liaWdDV3hELUdMRXdfQXRwcXZoUG8zMmxwRUU5WHIzaVlBb3lROVRDOGJJWEsweTBvbkVPNWJvZl85Q3huaVJtZ2JtY1hHcV85N2UzTnlHZk03dEU2NjlFaHN1TU11TEVpTE5RV2Rn0gGqAUFVX3lxTE5kRGFuTUhWbFJHOVZuVlBlMXJkZzNsd0RUQXY2VlNoYl9nUlZZX1Q4ZmtpcUxmS0trMm5uZGlLd0RPT1hlWVBfTVhIdjJtZk9kVTF2ZkxNdWJ2SlhsV29TVEkxVTFIaWlxNXFCTnY0clVLeExrWWliWlMtcWRiVWFlMUQwZ09XdnVndHpWOUZ2aXJHTTJhbGpSRVV6c01OSkVOa2tCTVNHdzNB?oc=5" TargetMode="External" Id="rId34"/><Relationship Type="http://schemas.openxmlformats.org/officeDocument/2006/relationships/hyperlink" Target="https://news.google.com/rss/articles/CBMikAJBVV95cUxQbXBZSnR4TUhRaHlTNXd6RXB3VmJfQzBkc3hKdlhDVWFPSVY4NzZicHlfeUprLWlieDFfZjl3SjFjQkgxM0lEZnF4V21Bd0ZEaWExeWl5OHF3bnFQZjRQVTVwYkZWcUU0NjJVLWFGdV9GSDZWSUhzTXhwZlNqXzhvQTJqSklNSzhRNFFhYk5BTkx4NjFQODB6TzlzRFFZb2VjS3RPYXZNLW15UTJCWGphTFBoazNiSUVVblVjbUwzbG1IbE1EdGJYOG5IMEJXMFhEdWNyLW5zZUVaRnIwV25YZEQ0UjV6VUtKcHc0Y0JMX083cTJpaDN4T1lKQjNvUEJlaXU4U25BbVZqSFQwdkVBT9IBlgJBVV95cUxNVXRBT3ZFOHlHVDI2cXNOM2ZfQTZnVTVXWF9tT0lTbEtVMmJYbmpkcXlCVVFEeFgwaWpIU2U3QjR3dEFyR05EMTJWX0FMUEp0Q09BaWQ0bVpuVFNqdDNlYUdoMTM5SFhvLWVGczByUGJ4emdPWXdyeXB3RHFnTklhbW1hWlh2a3hHOFE2LVFPNktRbmFYYk5oQ3RkdG1MMXppeW1hVDhYTmJ2SlZyVld0SkdtSl9UNnpCYlJsUjdlaGtoNTlQa2s5dlg1dGtjbG9vekZNVXBnSUZwUldUYkJBejhEREN2SzJmUWctZHA2ZHpIazlQSlYtYWZoeWUyNnI0ZlpqNTM1LVhmakw1V3VsejBoZXFVZw?oc=5" TargetMode="External" Id="rId35"/><Relationship Type="http://schemas.openxmlformats.org/officeDocument/2006/relationships/hyperlink" Target="https://news.google.com/rss/articles/CBMi0wFBVV95cUxOUkptTXgxekd1dmlzcmxmSDVFUjRnNUN0em5YSnNILTF5Vjl4MUcxRk1JOE1iMzRvajVHMDhvX0hWY1ZLNDJtam0xeC1HdElVcWlRZzMtbVMyZnQ1NWhmN3RhU1ZacnI5QXhoeGg1YmlOcTdJMm5QUFU5c3dsTDhxV3VqNlBRcFBtaFUtUVhUMS1HMGhpaWpSeDlNQVhIN1E4SUpSVWJLN0pVekVPaGViREtyMHBwNTUtVXQ3b1pUSm13c01nOVd5akYwc0ZpS3ZWQ3Jv0gHYAUFVX3lxTE93OEFlY0hVdG5NeGdNSk5UOHBGS1F4eTB0QXp6SmNtN1FTRGl0MV94U00tdWwwcUVBLWJqY00xc0Q5ZEJIS3BHVjhjbDUxVDREQ0dIekRhZUJjRG1jUDFhZ0lOMXhydkZjemtXSEpkTjVxaWZTcUdQNmM1ZF91c1BiYTdhcV9WTjdhNEJoUDBjbFBQNkFhb1lCQWVmNmVyY1pjdFFrVHpEdFl6V3I0akw2TXhxNmtVQk1qaWR4a0RJbTNrUDJrc3VmQmdXOS1rNjFnNW8wTEhycg?oc=5" TargetMode="External" Id="rId36"/><Relationship Type="http://schemas.openxmlformats.org/officeDocument/2006/relationships/hyperlink" Target="https://news.google.com/rss/articles/CBMi1wFBVV95cUxNa1JlREhRMlM0NlhPM2V2MDJ1Q0N5S1l5b3U2VThGS0o3elNmaDZjNm9Ja0F1cUJNUG5rOGd2V0Zkd21zSTU1SkxHeTRDSmZZZnEzb2lpYWNTeDcxR2dsYUxFQkZEQzJBcjBNazRiX1VpT2dfMUNuUlBGb09DNTBpcFA3X1hGUWNrRldNREFyT3lfU3pmcWtMR3NqUFo2U1hSLVFaUHZGV3ItQjBvMUk5ZlNRajZkUEgyZHNUNGNlajcxdm5qSkJIMUpuaWMySjN5TlZKbmlhMNIB3AFBVV95cUxNRklJU18zdUFyZTdWaE9veFhYelJ6dWlnZk0wZjBkNklfTjFxeEw5QUVtVG1wWEltQTlCQWotQzNKa1ZGQzdVWklkRzZsUWotNXVqcG9Xdlc0V2RmVTlJSl9zc1ZydE9uRVhZVzVnQWo0aDRVektuLV9WWnFoY0FRbk5pZjRUWkdrcS1LMVViVm1pUWJMMHhSMFpMUHp4MXBYR3otaXk3Q1F1TEN6bFNkYzJvMVlUX3Rzb3gyOGZhYnEzX3BPSU9yQWJMMXJYMl9DU256TWtVQ2Z0ZVBw?oc=5" TargetMode="External" Id="rId37"/><Relationship Type="http://schemas.openxmlformats.org/officeDocument/2006/relationships/hyperlink" Target="https://news.google.com/rss/articles/CBMinwJBVV95cUxPcnV1Zi0yYVRuMi1CZkFTdi1BZWFKaGJMZ3VHb1NxM1U1cGs3R240RkIyMXBUcVE5ODBsNVVZTFAtOXpRdlV6TlY4V3pNd3hVVTdaU1g4QlFBaHNHc3hoelltMTczcC1NUUpEWDJBUUpvaWJtc3FvRkNXQWE4VXZyMnBaVzBQNTZRenNuTy1Qay1lVVNHMGhyTGhsLVJhdjFWOXRDR2tGbm85WDBiODJaWmRCcmh4M3k2bDJacnRKdUtjYnh3OGY0M1VaSHhPRFYyNWJDTmQ3amdqREhidDAxdkx3aXE2SVNSUjBxeDdlT3UxbEk5UWtSSVJISTRKZ3hnZ2dHSjhXWUh3OVhVQVVZb0lXWTgyQS1rSE9vRDN2ONIBpAJBVV95cUxQLUZaRUNndmw0c1k3WHFBYlNwWFBDMXNxWDB5UEZWRWtfbUZ4R1VTaktxSlFaVnoyakx5cXc2dTlWNDVvdTNFMGNJWGN3SV84OW1fSzNZMGNrcTllZnRLZHdvOU5rbTNTaHptMUN6blkwQmNMT3JlM0d0NHRoZ0xxVTI1OUVmdkNxLXBqakpLZFJvOW9hemw1Zy1TNjJZc2lyY08xcmZ1UkdIdHRwMHEteVdDbnhRUmRyekRtNDZhZHktNXJvUVVhM3NLQ20yV21IUmMwT2QzMlN1Z0FlX1R1RnJFTE9Yb2JtY0FxNjdLNjVrVnpiMlpGbTh5QmpNX1BfRHJGZlB6Y284cUt2ZFNWVDhCcHRJNlBxNGM4QTM5M3hqU1RV?oc=5" TargetMode="External" Id="rId38"/><Relationship Type="http://schemas.openxmlformats.org/officeDocument/2006/relationships/hyperlink" Target="https://news.google.com/rss/articles/CBMi5gFBVV95cUxPek1kTGNfc2lTSFpmdURYNHdzX0pKQjZSS1dseGJIZWRDbFV5T21SdG5aN1FYRlNjQ2l3cENqVDh1UnMwVGYwMHpOcmlvbmVHb3VQLTVxWDU5SEs2Vnlld0tzMjVZeVBoUzVzdkNJazBnVmNSeU1Pb3NHUXBrYTF4ZW1pckwwNkhQNGZwLWo0QXBZQUh2Wl9FYVd4dkd0TWRHQWIxd0VUV3I3RjBlMVVmQXFOR1l0VnhWZVEwaWhCM3ZwOTVOQWRhVUZidGxmRGt4a3lLcTZvaUN4LUhCR1hCUzhQc0FBQdIB6wFBVV95cUxPZ3c5ZkNOMEdQaWVTaTRvSXJiN2NHZnRZdkUzY3hGbEFmenEyNmE3MlNiYms5a0tSMlhhYnZFOUNhNjU2cUtWRlVCUDMtQm9jeVhjMmh5WTNiV3kzdHZ2cmtBM2hvTmVweVFSMG1tdWJoTDlYWnRuLXpMdGlPbDU2T3h5RWdlQXB4bXNNNTE1TkVQMGRvOGhLeEM2N09ib2hxQVBQclhiMEVURG5BM19INFRteFNpZTl3U3M5LWpmb3BQbGNVb2NndVZjYlVUdnZWSWo4ZkxEU3l3WjVjc3J0WDBwVXZOOFFPLUZr?oc=5" TargetMode="External" Id="rId39"/><Relationship Type="http://schemas.openxmlformats.org/officeDocument/2006/relationships/hyperlink" Target="https://news.google.com/rss/articles/CBMi0wFBVV95cUxORHE2eXQySVVQU2tHU3hBYXNRaDlKZ2VDN0MzLTRNYkhjSXhZUXN3M1k2aHJvbGpfU21KTHc0dlh1LXN5WktJdDZERXpZcEs3a0FMVEx2TldTWmdHLUhvZWRMa2J3aUpfaENNNGV4S3VzZVBBSFBiU2dITTRUNVkxOGtHcXNMMHVOX2dHU2JJSGRiZ0I0dFpOMk94TEM4ZTdQdGlvYmhEdzNPTC1JclUwSmJNWGQ4Y0w2a1pBUldzVmlZQ0VzRGhKN2J4SEVNMnd5R0k00gHYAUFVX3lxTE0xQ1pqOHZHWlJNc3h0c2ZtanRqMU9xU09wYm9lenZCQ2tpelhKb0NKSFVwNTVzeG5ycFFEazJaM1pBR1BBMEY2Z2NvamJZWW8wcDJub3BHVDBwWERYbDl3WkxnaHExclJGb1A2cVFiQjJ2WF9sb044OVY4VzVJeTdrdkhLZUM1VC1SekVQOWtwR0pfME53YjFydk9pTTlQbVA3ZXdBdUw2cGpaSFJaMEktUjBuLXNuNjR2REt4dURWTm10OV9VX04yS2JWeFdHY3FiTFJuVTk3VA?oc=5" TargetMode="External" Id="rId40"/><Relationship Type="http://schemas.openxmlformats.org/officeDocument/2006/relationships/hyperlink" Target="https://news.google.com/rss/articles/CBMimwFBVV95cUxQRHB1V0V0REszTFp6bmJZdENuVHRoMmN3MzBlcTNjRXhmNDlPZnBUWlhKRmpuTjhrMEx0ZzlVSHp6NVRRSjBSc19EZC13VW83M0wwNFlxcF9pWUVKZ0lwa1BLNXRvREZUbWNDcEJZWWFwSXF1bnllRG5GWERNWHhfaUlEcWVCS0dSbEFNVG1QZGxQRGZlenY2T1gyQdIBoAFBVV95cUxOMG9jdzdVT0NKQkJNLXhsRVpIb3BYNkZRRHJsckxabnJueWN4X1E1dG83b0N2UTBZX3pEeGwwdnlIc3JfeTlNd05WN2tqYlV6cUdEaEEzWk5vU1JnZkg3Y292OENyWjFaekI5Y2JWQ2F4eDd6MG1mYlFCdDVLSW1CLXlRTUoxcDV5bFk2TTZYX2szSWRtWUVwMmhfRVpueU9r?oc=5" TargetMode="External" Id="rId41"/><Relationship Type="http://schemas.openxmlformats.org/officeDocument/2006/relationships/hyperlink" Target="https://news.google.com/rss/articles/CBMipwFBVV95cUxPNFFQSk9iUFdMLVBOcmk1RnRmY1pLYk9mS0FCNF9XUi1iU3dYYkNsV0ktUzFhTVhtYjdVT2dsWDFLeElsb1F2dDU1UG5HQW9DWE1GLXhpSFRyV1lWZVk0d0FTQjV5U09MYm9YZkxvNWJoQ1k5OG1tUjR6QjdGQS1RYU5GXzFMMlY3ZzZfNGJRb3ZsM2lUUlk3NzlwQ2FGVTdXRGp0ajQ2Zw?oc=5" TargetMode="External" Id="rId42"/><Relationship Type="http://schemas.openxmlformats.org/officeDocument/2006/relationships/hyperlink" Target="https://news.google.com/rss/articles/CBMizgFBVV95cUxQSVhXc3E2UEFfWXdoODIwS29pdEFsWF9BUjJQajQzaG83bTk3cTF5RjZNR2hzQUdZVmNfcklZVmxjeXZneXlVdkwxTFgyZENGeV91NElhd2VFckNjWm9xR19aTmpCWXp6b2FmR2N1eGgwYTRYeHBMX2ZFeFQzNXVMaURRd2JuYlcycUVseWtBLXQ4VVg3d2JGanJ2T1pDYzN4SVBjdFNlWVBTYXFOMWlVZndvcHFVTE1xTnJvcVU5bVpNNlMxa0lnalRGY2EtZ9IB0wFBVV95cUxQXzh2VGo0Mko3NkM1V3lGbEVIRkpldTc4a3c2ZWRlcUQyenpnaHVmM3RNMTkzZHBLNjJiRk44bjRMUjFnV25mNWVvRUFONnZadWR1N0tOem42T2NKSlM4bUd2ZXdoelNSbkJKM0I5V1lPZVRnMVZGNlpPTHB6cDBRYU5JRUV2ZEt3V0xyZXRMSGRHdWVVSXFRdHg0OG11MGFxRHpWeUJlYXN6cDl2MjhLeUVCcVY1RVU3cmkwZVdLU00wR2d2N053TGRvOVdVc25NV2o0?oc=5" TargetMode="External" Id="rId43"/><Relationship Type="http://schemas.openxmlformats.org/officeDocument/2006/relationships/hyperlink" Target="https://news.google.com/rss/articles/CBMizgFBVV95cUxQSVhXc3E2UEFfWXdoODIwS29pdEFsWF9BUjJQajQzaG83bTk3cTF5RjZNR2hzQUdZVmNfcklZVmxjeXZneXlVdkwxTFgyZENGeV91NElhd2VFckNjWm9xR19aTmpCWXp6b2FmR2N1eGgwYTRYeHBMX2ZFeFQzNXVMaURRd2JuYlcycUVseWtBLXQ4VVg3d2JGanJ2T1pDYzN4SVBjdFNlWVBTYXFOMWlVZndvcHFVTE1xTnJvcVU5bVpNNlMxa0lnalRGY2EtZ9IB0wFBVV95cUxQXzh2VGo0Mko3NkM1V3lGbEVIRkpldTc4a3c2ZWRlcUQyenpnaHVmM3RNMTkzZHBLNjJiRk44bjRMUjFnV25mNWVvRUFONnZadWR1N0tOem42T2NKSlM4bUd2ZXdoelNSbkJKM0I5V1lPZVRnMVZGNlpPTHB6cDBRYU5JRUV2ZEt3V0xyZXRMSGRHdWVVSXFRdHg0OG11MGFxRHpWeUJlYXN6cDl2MjhLeUVCcVY1RVU3cmkwZVdLU00wR2d2N053TGRvOVdVc25NV2o0?oc=5" TargetMode="External" Id="rId44"/><Relationship Type="http://schemas.openxmlformats.org/officeDocument/2006/relationships/hyperlink" Target="https://news.google.com/rss/articles/CBMiuAFBVV95cUxPQ0xWVE1oc2JTOGdCUHZYbFpLNGVaYTg4QTBEMFFVNEd4Qko1a3M1VjFfY0NTUVotd29Yb0RtQ0xiLURjbzhiWF92emtxT19iOTRXQ1VaMnVwWlFJTkd0YW1RYnVEdXZsbUdWMjI2eWdyOHA3Q1ROdnJRLU56enBwZVg1bGVQQWJ4UDhVRGJ5cEN1cjdud1RROTZPLVJVWkgyd3N3Y1Nub0Z6TW9jWnZDaWtlUFRBTWdh?oc=5" TargetMode="External" Id="rId45"/><Relationship Type="http://schemas.openxmlformats.org/officeDocument/2006/relationships/hyperlink" Target="https://news.google.com/rss/articles/CBMi5wFBVV95cUxPM2JJVm5iOXhFZ2ZhUjNQcDNOZk1kMmdFR0tTZTRzUUZ3SEpkVGl4Znl1OHZfQVcwVGR6VDhzUG8yZWl6Z3dDV2RBRlNrYlM0azBYd2ZVZk1EYmpqWkdIeUpockF4YWZFV29SNWZJc043SXlQRGxzS0RybFJfVk5mdjVfdm4yMTN2dUp4bVpSMFlDQUdDSmpTSWN1b2doNExkQTlqcUFyblVWa3BSZXJ5Z0c0UHBRV2RSOHNqQlNrREZMYm1EY1cza1RhQkpvQXBoc1Z0THhOcXZuaXIwRmxMY19Pemc1Rk0?oc=5" TargetMode="External" Id="rId46"/><Relationship Type="http://schemas.openxmlformats.org/officeDocument/2006/relationships/hyperlink" Target="https://news.google.com/rss/articles/CBMi-AFBVV95cUxPVVFWdXlMMnNDdkdKZ3ZGX0xoNHBSQzNnbnB4OXQxZldKVVUtRm9yaEJjckw0ZW1ocDdXSDd1UDJpb3hYczRnQUZHSzF3MWFpNWEtTVFyd2h5YnNPNTdLaVNZRlBrY21QdVBfblNyQVhpX3IwWEVYUVpZSXJjVEtRSUZ5QS0tVjBRRkdxY2pGMHZLMmFBdWxnR25Ibi1uNnVDS21mTzVLTXBXN1YtVjVuX2xkWl93OVpxeXVqZU1idnVndmZreU5RUTBBeW0xZ19zYkw0cVVKUTVhTHR0QnNUdk4xZV9aTmVNck9sbDA5OFpBYnhZTlRLdtIB_gFBVV95cUxPWTI2SmE3LU9PbEJ3QllFNmI1SjhqY29oLUlSQWxpS0NsRG1UdkVFNmNkU3BsTHpoVDhkWmlzRFpJZ2g5d0p3dWdDME9Rd0RicjlCXzJCQ0xXYUNpOTdNeVA5SDZzTURZTXhpS19TMUY2YXg0XzZkWUlhQ2QyS2VHbEZwRDNJMl9QNk9zYmRRcHdrS0xtYWhsdUhjTXczektiNHJBLVdsMm5uZnhRcUJzTC1oTDF4ZkNISkxPcTROTzdOUzVId24xMVR4OHphQS1BcktWckVjS2dHazJ2VXlPOHdOVV8xazZqSDNHSTNHOWFJdERXZEJ6U0RtRU5NUQ?oc=5" TargetMode="External" Id="rId47"/><Relationship Type="http://schemas.openxmlformats.org/officeDocument/2006/relationships/hyperlink" Target="https://news.google.com/rss/articles/CBMi1gFBVV95cUxQaHI5UktOeTNYcUdwZWFwd3lHUkZOX2NYMVZVTEpBVjI1SzNBVGUxR2t6NHFhWlJ0bG9wNlh4MC1HbFpWaWdrOENncFhiRFN4R0YtQ0laTmJUTUxZNVByRkpEWENDdUx4bjZlbDM4ZlUwbS15aXFhaVNQYlFyOWg0OXFINHZWTGJPOEVqUHZPRXM0eWo0SXZmX3lndTFJQUc0N3c3OURQQmZXMzJHQlBOcnhYeU5pS2N4LVI4a0hjdmtwaVpLLU5vSVdYMTZHVDVxdTF5ZXRR0gHbAUFVX3lxTE5rd3kzb3JPQ1JwdGpXS0Exdld4b3F6cjJ3eDQ2MzFFcTZVZXg3VTJUc2tmaVcxeG5rdEFlRTcxT2czLW1TYVlRb2lYbDNiSHdjS2dkUkpMMjVCYTF3TUt2T0Z0enRXRU5TNW05cnJqeDhzakFoeGFENXBCWDNYVWFKYXhMQUZXcTY1VVVJM1UyNW82MkNua0ZObVNwYkZLcUtMLUp0UF9rUTNvSEdDY005VS03bkRVcjlkaUtmRDh3NFJRcVRRQUtiRl9YaXFYdGkzWmtmc09weUNRdw?oc=5" TargetMode="External" Id="rId48"/><Relationship Type="http://schemas.openxmlformats.org/officeDocument/2006/relationships/hyperlink" Target="https://news.google.com/rss/articles/CBMi6gFBVV95cUxQR250SWE3RDBETXh2Unp3ZENZa1ZNX1k3QnVlaUk4cERpOVl1Zm5XT25FNVAtZnJXc1YwSnQxY3VIUjdRckM2Wm1DZjhUMXpIVW96eXdIb2IybkxlOGNETDFvR0xVYjZuazlaNkcwNWhSMzU1b2pqUnZwVHlPYUtULVphbmh0VUhSNjFSOGNCY0RiVGM3MEdibzZLa05FQUNCc2ZkRi1FY1F1dDR5MHZnSVBWamVQSzlvaTNxNVpmLW9hbUtqRFN2QzhGX3BLOGc0Qldqdlp5c01PMkVLOUZxdVRrTVZrOXd1OVHSAe8BQVVfeXFMTmpwTlpEb25yZXVFWHRXUzhuQ2RDYVVTX08xSWZSVGFTMHlTU2F2SDVJTkN5ZU9hWWdIb0tsUEdtdzE2M1kxcTRxTWt1ZDdRdVNSS0t0bWlFWTlkSXh2Vk9wQUstRldGT0JDbGNkX3Vab1FZQVZkcWtqNmM5QUZiRS1qOFNsR0pHRmdRUkNhY195TFBMN21HNEl5OTA3aVhVYkdHWXgyMmppN0JlY3dDRVRkZ1dMeWpReHZmaWJCc3ROMHFJWEY2dE0tSU83TXFXdEpvRm1leVBLVzhmQXlHMEhNZUFJQlZmR0xDOXp4V0U?oc=5" TargetMode="External" Id="rId49"/><Relationship Type="http://schemas.openxmlformats.org/officeDocument/2006/relationships/hyperlink" Target="https://news.google.com/rss/articles/CBMi4wFBVV95cUxQeTRtUHZzWkxoV3hfVUFYN1dydlZxdkYxMV9RYXBMb1JNUW5CQWNLRzJ2dUFfbE9FVk9VV0JHWThQUHNwTG9FdmtUdXdkaDFIaEFhM0N2c2kya29OSHhEbk5icGZEbjBzZ1pYVlVUdkRWUTFvYU1ieWk5azhidmZlTlRvTUhKSUw2N3plOXZ0ZDNOclktNGFDN1BvYVRYU2Z6UUFIU19yZ2dhUjQ5QW00M0ZCQ09FdlktUGozQThrUElTUHo1ZkxLSHYxdWFlbDVzLVUxX1hkRWo1dXBIOG56RWVIUQ?oc=5" TargetMode="External" Id="rId50"/><Relationship Type="http://schemas.openxmlformats.org/officeDocument/2006/relationships/hyperlink" Target="https://news.google.com/rss/articles/CBMi1gFBVV95cUxOeWhIN2xrT2Fpams5WV9XMGZla25RQjE5ZlBCaHI0RDgzRWRwUi15TW5ISG1KS0ZjQjVKZ2VwZ3hCOUppdERRQk5SWjdVcFJLcWU0aFVHTzRTcThYSHlpdnRFR0htb2U0aHJudEVQdWVqOGRhWnNKSkNVVWtORW9JS0xGaElGRVh1MG5ZT0M3SHlISEkwR1hsUkFkUlRiRk5QcTVIaWdGQVZBcG9QMVV2QktMUFFsaG01YUxSaDdNVjhxaW5fZEpnTWgyLVY0N0RBLUZFRjBn0gHbAUFVX3lxTE8wY3lVNjlRU2VRZmZoaVd4Y3Y0WGV1eXpod3dtM010MHV4M0ljamd2MlVialFpZjE2T2RiaEpXei1NSWI4dW1mMmJkaDcxZjdIbXZHS2xQanljVVNoTlJRRzJZakFLZW40VjBWelluVngxYW1kSnd1V29MWkptQWJ0aHlvWVZpbkdUSmFuclpEZXNZSlYwQjl6WUw1bHhZcm9IZHdSNFFOYWNzMmdnamk4TXZXV3h5UEVZVDcxdFZBcmZjMS1fLTV6RFU0d21McVNCamJJMDhhaTFwRQ?oc=5" TargetMode="External" Id="rId51"/><Relationship Type="http://schemas.openxmlformats.org/officeDocument/2006/relationships/hyperlink" Target="https://news.google.com/rss/articles/CBMilgFBVV95cUxQVVJ2aVlaQTJEU3haR3RsX2lmNHI3UGRXM0dicDdHcUc1X2lLV3lzT1RoOXlOdEVNZzdKMmJFTUJ0Rll6cm5LbGpJSG0xTE5BOXJ2bUMySGQzbXJ4d2ZoVkdleWtEUjFFR1NCekNDT1FnZXQzcDBHUGJjVlRVRzJmVl8wRkdiQkVfZUNqajN4bHJxb3l4dmc?oc=5" TargetMode="External" Id="rId52"/><Relationship Type="http://schemas.openxmlformats.org/officeDocument/2006/relationships/hyperlink" Target="https://news.google.com/rss/articles/CBMiwwFBVV95cUxObjJZRHBmTlFZUVJ0VmgyZzhzdDJ0SEhCdTRvaXpjZnpIWnZTZ3JSS1ZhM2p2Q3FyR0dkeGhNbGZFaFJfZTRzb1JnTDR0ODhONzBxUjY3M1VoRzJBWVp2Rmg1aURiZnRCalhiYmsxT1dZeWRPbTJDLVBaVTNOd1ZXb2RJdURERXdLNVk5Rl9MellOSGU2SEVjdDhBaFNldWZXbDc5TnRSN1FuOGlxNGdHQ2dNMnQyNHR1dHJBejV1NzhaMzQ?oc=5" TargetMode="External" Id="rId53"/><Relationship Type="http://schemas.openxmlformats.org/officeDocument/2006/relationships/hyperlink" Target="https://news.google.com/rss/articles/CBMi3gFBVV95cUxNRW1NOXcxQU14TU13N3VaeTJLV1VFblZTMThubS1kel9zaFZVWXc5b2tWZktrSUphOEk2eWVzbEpmdE1MSmxxTm9OQkFhajBPdEpaX0lqYWJVX2MzRHhOSEtfRGt0cFRnOXBTZG1ycEVmM2lsZzZBS2xiSHd3Q2xoaldIdE9hRC1HTlVaZ0Q3NlV3TjBRT1ltNjNCS0xXVV92UVRlcC1hX1BPUHZzNkdZQUFxWDI5MzBxWXBfcW5IOHM3WmZsZThyY013dzJkY0RJSER0YU1JS1BBM2dSUlHSAeMBQVVfeXFMTnFCaEhHbi1rSkhZZThKUjU5bnBnTGVxb2NIcHJqZWlLMmp0cnhwZ0JLY01WcndTR1VSbjVZam8tMW40ZlcxTXMwUk1Rak51V2JRLVE4Wm9OeU9icm9BLXEwUTRTVG9DOW5TUm5lQ0NKVUxVRW9sZEdGN29yems1N1J3b2J2WFhWaUdpRTMyQVR1N0RSbUV0blUtaUl4LV9TOXJnTTZzUjVXTXozd29FSWpwdTBYdjgySUZ4bktvMDlsSFBFdmttd29pQTBzU0FSbEEza2ZUbUFOeThpRFdxbGYwVlE?oc=5" TargetMode="External" Id="rId54"/><Relationship Type="http://schemas.openxmlformats.org/officeDocument/2006/relationships/hyperlink" Target="https://news.google.com/rss/articles/CBMi1gFBVV95cUxQaDZKTGJWNVVPb0VxaWZ1R2NSNGFTTENlYlJzZi1IZ1hBbm1yYjV1NlROZDhNMi1FcXF6UXhTOUJOd1dJbndIUDRmM28wMEpzYndDTlpoQk1acjB4Z0owbmtkTzJYeEg0dEFfSUptQk94d2I5S2ZBY2NuNHhQeEdCMHNwN0FKVFFDY1AzcnphUTBfcWwwTmdieUd4MFI3LXpSYkFWVGE3dmYtTXNmRHl6N2xTaVBZSmlWMHBBX0hqd0hURkYtdnVjNXZyeVAzMWtUcnU0eUVn0gHbAUFVX3lxTFBlSnV0bC01bmVXbXBNTHlJUEtCSTI0QzBtNUlZbGFDTUxNOGZ1NFdfUjQyd3NTNU85S2JhZi1NcVVaR2tCT0JkMnZZcElxVlU4RktuRk10VjRZVk1memNiYW9Zc2lPUmtBWmVPQld0eXRxeXp3X2RpOGVTVnZGUEdkbmJuY09GMkY1Q19WbjlrZVdTeFREendoQ2IwWUZsckNMXzc0Q2NuY1lMMmdXSkI3VDFsb1c5bmpNY1VCVl9fOExORnhaakFKblZiYWFKOU5wZjVqOWZoNTdvNA?oc=5" TargetMode="External" Id="rId55"/><Relationship Type="http://schemas.openxmlformats.org/officeDocument/2006/relationships/hyperlink" Target="https://news.google.com/rss/articles/CBMi8wFBVV95cUxNQU8wY2JvYVJwUDBPSnlWcG5Sb0Vvd25xQ3htbkFJZFBiU0x0ZHJTeW5tQXJ6YklhVWlDZmMwNXg0M0pSVDV3UUc2ekw3ZGVtaDJoNW96UFdXeU13LXk3NVdpbGVxUGZEX2hGbTdHT1JMdFB0YVA0RkpQdTB6c3U0eF9tVmZLb0NGdW5icmw3ak03NmNlbW5ibXpaaFZja3BMM25EOEFtcWlnOWlKWm1PeWo4ZmVia1NFMFp1Z0lkQl9SbmVsWkRrWFk1RC1zT3FiWk54a3ZLTlVTaVFTSFBMalozLUstS2d1WFp5TnkxNlA0VkXSAfgBQVVfeXFMUG1VTm4zeXNUcDZ3ajN3UFFxOFVWZFpPQ1pNeHVEMEgwQV9RbW42RUM3bHRYeTkxOHkxQjN0UGJ6UVJxQ0ZWNkpyTXM0Qlcxb0xYUlBvQTBhNG1NSlNibVRTR0d4RUJHV2MzbllPR3g0RmFJZ1BvaUhtTUFTMnozQ2VsamJwZGtVS3VaU2VOVmRnSkRudmR5RGJsZmgwc1VFcGN2Tm90WEM2NzlxSURaT25CcC1tRHVFbWxKS1k2NjF6TFozQ2dkMEp2d0NkUVViSkE5cHFfTzhTV0xTR1RwQjhveXNfQ2ZmN1JoTmpqV042RlhnUDQ0WHM?oc=5" TargetMode="External" Id="rId56"/><Relationship Type="http://schemas.openxmlformats.org/officeDocument/2006/relationships/hyperlink" Target="https://news.google.com/rss/articles/CBMi2gFBVV95cUxNSjBDSWdBVjlmU1NWMU5sQjhvY1V5aUt1QlQzQU56aGY0aEJwZEZvaVUzekdaSDNaYi1ZNkNGM0U0S3YtQVJ6TVJDZVUybjVVLWFXQkVobXc1N0JiWW9iTmJ0cEZiZVZOTjdmaERhbllzNTJQV2Z6Y2hPU29HdF84MFVEbHc3RGN6bi04bXozcmEwbjNwSGFmMVk3SW1WRkZMSHdSRGMxSWpxbGxsaUo3S0VsSEtDbzBFQVphZDRKcHZ2djR4ZzBSemJ0aTlKRzRvZ3k0eHpxNlBFUQ?oc=5" TargetMode="External" Id="rId57"/><Relationship Type="http://schemas.openxmlformats.org/officeDocument/2006/relationships/hyperlink" Target="https://news.google.com/rss/articles/CBMioAJBVV95cUxPODZaMVVEaXNXM2lsYVVaOC01U1pLV1FmNUFOWmZsVzJ2eWZJQ1dIRkpSV2oxVDFVWUlKU21JRTZ4Rk1OUElsdGlVUlJWTFhMVHdWQy0yS2NYN3hLWGJnWFRzbzgyMUdwekZrMDVqd2FvOXByaU94Q2tOX3JWX0tkTHU3RF9qMkdoMXZDZWFxSXdFUkNyeDVJcFNoQUVOU21UWllGUXdld2hJVGRJa1BYMmZYNUkwUG1XZ2xvOXJCV0JNOHhmRmdMa2hScUFmMGJoLVVUcXJtRDI0SEZVWmdHMG1WRzZwZmFhdHdqckxUWk9zZERuai1MTVgzWkFWQnZvWEZKbUZMdUJ1M3l1UHVpdHBRM09PV2JRVkc5UTNsVHXSAaYCQVVfeXFMTk9GeXcxbnRSbVdzdlFYbEdQczJab1B3aE5takdKa3VhOC10d2xuQXMwbUxGR3hfWXh0TE9DU254NDVLd2kwU2VUQTd0Q0hzYXc1dVdCd200T05PbkNfNGJFY0tLMGxYeHBsakZ4RjlYaEhQZFllaWJmakZMVHhwaEVGakZXaVdZZzAzVjRoak90R0h5c0lSa3F0VWVoWW9pOUdvNWJUcmM2d3FKQjFnX3FJdVFjWUNHY1hiZ19GTExLblhXNjRETm1xQjQtNWFnaVdpdS0wUmlIOXpqeWVfLXhFdzZlUUF2NlFpY0tjVE9KcXFyQTQ2VkJNV3hwRkRxSzFOYlpGLV9OeU1uZE5PNTdvaVBHLUxyc1NhWU02Zk82ZU16MmNR?oc=5" TargetMode="External" Id="rId58"/><Relationship Type="http://schemas.openxmlformats.org/officeDocument/2006/relationships/hyperlink" Target="https://news.google.com/rss/articles/CBMi-wFBVV95cUxQRF82QUVVOG40dldXVkJEWUJyeUM4cE85bF9vcUQzVzNfUFQwRklUSVM5U2RrbWI4RzdCMmlaVmdFTEhsNzVRQ3c4UVZVbDkzWVhYWm9QcHpmRHZibXJtd0NWZmVwMndiX3pvSzhXZWtVZU9GUjExQjdyVlJKWjBfNWRZckZidE1XYzd1SmlmcEMxcWdPUXRfTm5XLVdDT096eGpEZWxVY0EwdEpGTzlNSElUeC05YXhsaDVNMGZBYzNKWGczOWlCME43SGVBbHBYZ3JNcnhObHpLSEF5S0FkOWdJOTNOV2p2dV9oQUZVblhlSkE0aldPd1V3Z9IBgAJBVV95cUxOVkhkckZ1MWhEWGhzcXd3dlJaN0hKTDNXWFNacWV1SGhMblc4T0VQQ2lMR2JNSlVpTHdFOXdXZ1RUc2VRcS1Sd1JscGxSOFZ3Uk03a1FyNV9OVHRGTl9neUhEX3htM3pGSjhRLW1IZi0zV2szSmlMQXI0NXdTV2dvS0dOR0w1VEhSYm5JelN4b2JzY2NxcUNtMDM4RmVvaU91b2hQODNSZmRSZGxDLURDZ25CQzdUNW1ycEpIM0dPMHdJQnllZFlza2pzcEZpeDhyTzQ5M2FRZnM3UDNkeWVGaldYaklRVnI1QmVRQV85NzZTM19SVjlBeDBoZGt2clh0?oc=5" TargetMode="External" Id="rId59"/><Relationship Type="http://schemas.openxmlformats.org/officeDocument/2006/relationships/hyperlink" Target="https://news.google.com/rss/articles/CBMiywFBVV95cUxNQjBIRnRoUFI3Z3VnU1NiMlF5Wm1BNG1FaU1QajNaWURVc3dvRUFSV1c1U3NMcE9CRktiNjlZU1N4S2RGQmRvTUlmcHotQnl3TTBCU05jUVJUMV9jRk15R3pieXlqTV9oQnRfN2d5NWo4U01YLXhuSmZJbm01Z2VFQTk4M0dNbFJzVVBQLUJqRldUSTRtVnF3NGlUb2tZUDJja1c4Q2RieGRGN3psYWhpZWtDRU0yVGh3enZPWEtGQVo1bGZoSWNnWkJRQdIB0AFBVV95cUxOYVQ2RU14VFllRzQ0M3ZNenF6bmJNUlQ4QXI5YkdEdmlNejUzMnp6bHNGUWYzVnFPbGJvUHRjOHU2QkZjd29mSzNISVNyU0duNXhVUld2d2tpQ1QxbzRnam1qbS15WlZnREF3RDgwWFpac1pTMjZ0c2MxUDFUX3k5NjJzOUpxUkhMaHM4dldUVFptalFDYVd2am9sRjF5a2tvSnRYZFJzdDN3bzQ0SXVGMmhFYmtvTm14NnBHMTFjN2g4NDJmazRZV21kc1FwZlNO?oc=5" TargetMode="External" Id="rId60"/><Relationship Type="http://schemas.openxmlformats.org/officeDocument/2006/relationships/hyperlink" Target="https://news.google.com/rss/articles/CBMixgFBVV95cUxOeVk5bXN2THRVWVBubnpudHpPQ2dreFhuVUxXSUFqZWJLa2psTU1rbjl3UktXTlVabEpvVEM0YUpuZVBUWkJQSjB4X1o1QlI5OEZYNE1fNE5QREZ1RjZqeURTcEFZSm5DbkFGYkFCLVNVYkpRNXRCQ3RMTDExMGVJdS1lUjUtdlBFVkJQY1VXdVBZTF9qVklpbU1YRXp6dHpXNWhqcHVFVFNsZUtQeXV6SGNBTnJYaHBzWlE5SF9EeFpiYllha3c?oc=5" TargetMode="External" Id="rId61"/><Relationship Type="http://schemas.openxmlformats.org/officeDocument/2006/relationships/hyperlink" Target="https://news.google.com/rss/articles/CBMi4wFBVV95cUxOeENlS1JEazdEdS1pY3hldkxqVUU2bGRicFpDTG9DNHZZMTE5YXdxTzVNTnJZV3ZxZktfaGViUURVM0llTDE4UFlZZGs0Z2N1c3VtOUNVbC1hRzJNZjVkamxHek9aWkZVam5zVWYwTWFLVHVPWTE2NWc1TlNtV24yZUJwUFpqZ01sVzBYSnVkbDZ6bEI2TkJzcEswMW52ZGpraDBtSnlQdHBhc2dYMVVOTnhfZjdGeDh1dkFOdDB5TDZ2UnpIaWFEd2s1NUdKMHA0M205YmJqWnJSNUhqVEkyN1JGd9IB6AFBVV95cUxPLXdlc210RWxmTzZTUU5zaFJYQzVfNHVmbkllRTI0UXZJbVpxblFDS0hTaHJXbm1NTjlOTG5MNnJiVG9nLVE1T1FOeGN2Z1VlUGpTT3NYbTdmQXRSbGFZSnJOOTVkcVRrV0RFXzFoVDQ3a2ItUVFGckVKZnduQXRKODZaa3JTZ0FXZnQxRDFyc0VMNVFsRC0wZ0FTdXF6c2tZdk84TlUtRTVzTjMydnVVZ1Q2S0swMUdYRXV0TEtuZ3hYbnBxaUZiOTNmeUstV09YVl9VNG5MZUs1TnZuSnYtV0d0ekV4dE1E?oc=5" TargetMode="External" Id="rId62"/><Relationship Type="http://schemas.openxmlformats.org/officeDocument/2006/relationships/hyperlink" Target="https://news.google.com/rss/articles/CBMiggJBVV95cUxNOVVCUXpYOFFvMHRiNUh0STZHZDJIU21Fc2pxaElwWHBlNjlCMzBNczUyMExydzNMNXp4NmhaVkdzRENneW9YU2htOGs0d2xYay1XLUNWLVVsNlZqOU1iSUFIb1Y0UFFEeUFkOF9KWGdaMjZPUFdfSjRBQW9YMUduZktUcUdGRGhSckZpRGotSDhDazBSX2tHRVE2cktYaW1acF9rQnItamVNVHFoRThQMmVCQ2VjZXF0Z29IS3VEWGtiOVZZWUc0djgwVUxuSVJsaFB0bU1wU09NeDZtQ1ZvR3A4cS1RWkJ5ZE0tOW4tWFc0eURSMXdpUEplaGN4Q0lnQVHSAYcCQVVfeXFMTUNzZWFUcDlaY1ViVHpuYmZheU9mWTZaYWlQcXdJRlVuczc2dS1vc3pjMVAzVkxUMnc5c3Y4YUdJbmdXYkRwRS0zSm9fSnNVdW5HSGE3ZVlTUmNOUU9Sd0hQbzNGMUw3Yi1oWFdlbXdGSzN1Sl9DbHg1M0l1SWZfb2V2QVB2VnRfV0dSbkpiQlRubVk5MklvREN1bG1lTkZ2a2RDSzVQSkZnSG5IUThlemxYUGlqc3MzQ3Fzc0NlMjg4ZU9QWkxlMFlCbFFEOXhzMWdldmU2aHRncDR1MlVmS2NJQ3M0djNBcVZBenFuZkRHNTZralp6aWY3cngtc3F4Rkx6aTdRcEU?oc=5" TargetMode="External" Id="rId63"/><Relationship Type="http://schemas.openxmlformats.org/officeDocument/2006/relationships/hyperlink" Target="https://news.google.com/rss/articles/CBMihAJBVV95cUxONnJMM3BTT1ZsdmNEZ3hLQlJRa2hqMWtuVUdyVzl3UnVOZFlqeTNRbWZJQTZxcjNTNFRSanZUb2Jtdll0OGhkQ2MzSjFxdUxWRlZVendyOHoyOW1YNmhWSkdSNUpMdFJTRnRKWGd6MEx0aWM4QzhiNVQ1SThIWUtBOWpSd3NteW5hQU1qblNiTEpqMWZBSzVLRElpSVRwdF8xTDdqX004UUEwTTFIdDFpaUl3bFNOMnFxLTN5czVsdWVXb2lpTzJZd1lfZVJvbE5ZWDlYR3RFOEVBUjJyaXZ0MHc5YnlDSS1PLUpWTk43UXYtNjQzYkx4WWU5N2xnVkVqU0FDZtIBiwJBVV95cUxNeVJHamZ4anZFR05lQjB3YzQzYkVfTy00WUE3X0Q3ellsNjc0M05uUGxiWGdULXhPb25KVktfeldvcVdIY28yZnY3ZGR6N3MyS1FNcU5VYk9vT0xNUS04M09BdkVKaUJyMkdoQ19GVmZLZUs5Wm5mRzJEeFRTUmJqVnYyelMyQlN0WUpfVktxam9xUXp0V1ExZ3VTQTF5RmQwdXU0a0hSYlVUTVBhbEF5WkFpU3g0UzJGeDNiaTNfeVVUaGV5c2lCbXltb2VNdF96cUNQWVRBeF9tdDRQT3RUMzhJbzlEWHVJLXF3VGx5dl9FbWNYdVhmT2diZWZHd2YwbEVSbTkzZ2xVdm8?oc=5" TargetMode="External" Id="rId64"/><Relationship Type="http://schemas.openxmlformats.org/officeDocument/2006/relationships/hyperlink" Target="https://news.google.com/rss/articles/CBMi_gFBVV95cUxQQWdWRVpsUTNxQ1RxNHNyYk9CMlBJRk80WmcyZWloYWRoaUZrQlNybHZLYVFfZ1V5dkpEZGJTR2w4UF93MTBSWms0UkMyOU1BSS12bFZydHo3Zi1kcTVNZXZIM3N4MDUwRUxITG9NazI5M2FGRzdrN2Z0R3Atbk13cjB6SnRBVEdtaDVMcVU3OHJDREYydTJUTUZSWERLRVRTbjRuWkxoTGNZdzdQQnFzbTlOTFJETTVRUjl4M1VNeVg0ai1PV3VOUlNEWnRTcktKWVN2NWViOXY5cmRSeDd3SVd0NnVOck9IQVpBX2ZoYTFiQUpGQ3BNQWxrcG8zQdIBhgJBVV95cUxQUG9tU20wMjhNUjNkOTZYVXpic1RuYkhHcVZBdGZBMkpaSDRNRS1fMHdjYjFDY3JqZTczRWFFWXl3SE5pYmltRnpnZV92X2ktMFV1aGRiZTJ2T0tYa1FMNW9PRzhsLVk2S0JUTU5YRGdvY3Q1MUgwQlUweFJiU05wa2ZhUUUzNE1GR0MtbFFHSExJdGlJWWlBcWt4Ry1iRXkzVVlTM09pejk2SXdOUDFrYkxDdGM0dU00dkhvdE96V3dDQjVkcm5UcW5jY3czMmwzdFo5V0k0dDAweWZZdkx4LW1FTnkwYnc2WVhBbmhzWGZJV0NKR1NjTW8xZFBVdUVpY0lITHpR?oc=5" TargetMode="External" Id="rId65"/><Relationship Type="http://schemas.openxmlformats.org/officeDocument/2006/relationships/hyperlink" Target="https://news.google.com/rss/articles/CBMihAJBVV95cUxPTWxKQmhIZi1qa3BFdEFrWVNkUDJnaEswcHk5bThXdGphTkNINUFXLUZhc2t0UkF1UVFTYlJaNnhQWEk5TUVNVVpNYWRwM2hBM0JNOFE2X2JWYkwyZlJ5Z3ZENFMtT2dtZWRCR0MtcWV5ekN0QUJuN1llRjVsNDZMU1hmNG9UTldJa3Rvd0pnckJzd1BMNDVTOGxLNkVBVmhwNTZXRWpVcGtvUzNHUUI1SUZ5TzU1MGQ0aDI4NFhLYUlxUjB3aFktQkE3a2pDTXR2V1BRTV9rMWt2RmduVHpFUU1GdnR2Ujk1aTZvMTg2Z0dSMGVJOWNPYWZRWnBHUjZVTnc4RtIBigJBVV95cUxOcFctNlFlTXNYZ29wZDFVWWwzeVRfT2hJekJ6cW1fU3V0bTVORlZVR3VTWXpDdldYcEdsNzFPd1VHcXk4WWRmemVsMFNQSmRHWE5mNEt5eWVMUmVvLURZUThCTTFETnd2WFRVM2VDU096LWl5WkRRWXZfMHZ4cUJPTWVaTU0tam16STVJUnlOOHJsdkg2dTkyb3hDVTA2N25TYjRSVWxCWDhKSmQzTzAxdVVlV1dvdTdkZC1CQllOXy1FR2VzalYtOEhQSEtDTnBrakVGa3E3cjV5b3U2blQxT0JjdGhId1FqUkVrX1dwbzFtUGV4NUdmUmI2amVadzQzN29leW1raWtUdw?oc=5" TargetMode="External" Id="rId66"/><Relationship Type="http://schemas.openxmlformats.org/officeDocument/2006/relationships/hyperlink" Target="https://news.google.com/rss/articles/CBMi0wFBVV95cUxPbnVBOFBMd2JkeEpUdWhNWWFuS3ZsQXJBbkpLVEgzQ3lOcVlxc1YyUTZlaHotRzhqZEFqRmtXd21YTFJrWlVhaVduTWVWckNjSHJLS2pLSUM4eHhlOXRzUVpUZWt3bWZiWTl4Q205eGV1akprWXBwTXUya0RmWjJhWUJMWnN5WndPZnJEcTNDdnZuUnVyX19fVGZremtpUWxzaXQ5VlowakM3UWNidG05Y1pnUzc5UmE3Njh6N1VsUkRlcW1lMVNOdTA1OHRQekI0d2w00gHYAUFVX3lxTE5iNml4WGQ1ZFpidzd3OGNzREdxZzZaUlhUSlRWMG1PY1Z5c2JKSUVYaEFsSFJzSVN5TktuM0trVEdNdDF3MlhrdWNGUl9Gd3JBWkhoNWctNVRjb2ROUnVxRXp6REJGamFNay1RYWZmVzdwRk9kWVN2alJibGRDa1dtWm9KU09ZN2RreVN2dHJrR2Y2ZVNfTktPdEhjQlhhMldsS1J1U3BoT29TZTF0UXhOc05GNEZjNG5iWERDaEl0LWQ2bnJBMU40Z3NVd1Nqd19MaVpSM0w2eA?oc=5" TargetMode="External" Id="rId67"/><Relationship Type="http://schemas.openxmlformats.org/officeDocument/2006/relationships/hyperlink" Target="https://news.google.com/rss/articles/CBMixgFBVV95cUxPdE5KZVFyTDN1QUpURTlLNV8xUjZEY0Y4Q1AwZGUtajBKWmNZN3p6UklJU3hJeFhLT3lvUnBYZjdaTmtqOFVvSXpfNWc5bzBNSXdGVE1ia010X2FOR21COVN3aUJwYXB3YnhmVUc5UG1uVi01cXViNHF2cmNaZGNOckhqUXVHV3dKSXp6WEdEbTdnSlBaMGdTRnNzbDdUZEs0Nlh2U2h5ZmRuVWdsUkRVY3R4ejhOQkliNTFSbnllWWhMak5KNnfSAcsBQVVfeXFMUEJDdVdpWWtBczNQTmFRNHlwUW0tRlVyWnZjSlVQOGdrejBjRUFsdFJEVy13MUF0MXRzcWMwODBBMml6RDd0NDliYUtDd0tBdXhVQlRJc0s5UnlEVUJ0Y2lkXzFYRWRKRUhYcHhGWWFCRDk1LWJwSmViTG5KYzJHYi05eC0xRE9aVWRCVWtwWmN1TkxTNlBPNnV1MnVMRm9ranNBcXRpN3loN1FDUjlOd3NERXMtQWx6ZFNpOVZ0d3ZHU2I3Wl9QNTM4MUk?oc=5" TargetMode="External" Id="rId68"/><Relationship Type="http://schemas.openxmlformats.org/officeDocument/2006/relationships/hyperlink" Target="https://news.google.com/rss/articles/CBMi0AFBVV95cUxQeDVfMzZHd1BEcDJYUndvc240UUItdzNXZXRFanhTeWxYMTVIcmRXSVBaWDBBMzNkOGdKN19ZWUFhaFVyOTNIZDh1aDVhM29oYW9sdDB0RThJclc3X1YyZ3FYM2RMYkdoQmFRZjlKRDEzWGE0bHNZSzJhaU5Db3M3ODliLTdMSDJjcmZQdWFrZTRmdDVjZFljamVVcG5tTzJmTlhvN0daR3hUaTg0NjkxTnBKQUpBZXVyLTIxa29GdUJSRk5MbDNpbGROTHpBUDNP?oc=5" TargetMode="External" Id="rId69"/><Relationship Type="http://schemas.openxmlformats.org/officeDocument/2006/relationships/hyperlink" Target="https://news.google.com/rss/articles/CBMi1wFBVV95cUxOVU9BekUyYlJlTFVRTG12cVpLTURpTC02WU9obzdOdEFyMGZlb09vSlc3ak9xVW9vbnZQU25ZTVY5bl9fLVNLY0c1WExWWmh1b0R4dVhST2RVdWtKQVFpU2psT2RlYkZIcElVY1hKZnRkaEM2aXY3ZjFvSnRNRFB6VklINTE5cnFiUUVld3VSNUJDdjk5d2ptVW5MVUgybEx4SXpOcDRSWDJnbHpKQ3l4SnR6TWY2cmFoLVloVEFQZDR3M2J4ak5tc2hQREtaRVBsWXJoc2l0VQ?oc=5" TargetMode="External" Id="rId70"/><Relationship Type="http://schemas.openxmlformats.org/officeDocument/2006/relationships/hyperlink" Target="https://news.google.com/rss/articles/CBMisAFBVV95cUxNb2FTRjNBRXZ0YjNCWkdScDFaUzk0WlVuSTRpcS1nZzhnMi1BUVJtNzNIZ2J6TFk2ZGgyVGZnV3MzYklyME5fZEJxOVdqaFlIdmJObmg2R3EyUVk2Yy1wTHhjN1dXOTZja0xzT2ZNSjJpS3VHRm1XcnZNRElTaWlTaFJZTG1lelVMdF82N2EwVDhOTy1FdXBIOHQ1YU9aWXFCUDljUkt4bV9oT0E0M2NVRtIBtgFBVV95cUxOVURVeF9ZTW9udWxPcE03Z0o1R0VzUmJrMGtmN0ZWcXp0Y3Q1RDMtUF9KQWJIMDdab0VXVHBZRkQ2bHZscm9rdjN0M0prcVlZNzE4R3pyUGlLSi1JX0MySGJlekN3cHp0SEZKeTJlODE3OWpzeF93MjhNMWR2eWxFTGN6OURsVzU0NjNTMFlGYlRYbUtCSEVGWV9JNF92bTBZYTNZMzk1d2ZITTAtQV96ZUprMjNxZw?oc=5" TargetMode="External" Id="rId71"/><Relationship Type="http://schemas.openxmlformats.org/officeDocument/2006/relationships/hyperlink" Target="https://news.google.com/rss/articles/CBMisAFBVV95cUxPVWZ6SVVVcjFqY1V2c3B6dG5jbENlXzVxc2t2R0EtV1RZeWVLNmhEX3FQMl9lcDdTZ1JVdkpWYjhJelhSOTZyVEsyd2l5YTRNQ1hNckVrTzkzUWRGb3hHS0FCdXZKOGwzVWduQTBkcFYtelg0M3ZTYnk1N2RkXzhId0pZMi1McXM0ZmUtalZ6Y0FZRklxUmFUb1JRRE1HVEpMZ1doeUtSWDFTN3V4QjRiSQ?oc=5" TargetMode="External" Id="rId72"/><Relationship Type="http://schemas.openxmlformats.org/officeDocument/2006/relationships/hyperlink" Target="https://news.google.com/rss/articles/CBMi0wFBVV95cUxQWDRBeVdHWTA4d29oZWRYdV8yRVlGQmllUE5vR3haZHFHOGQ4bUc5amNnb0xER1Q5UmNIWTZVM3JVdXhyUGxTN1J3ZFdEc0dqbEs5b3ZDVXFpTFg1YWtyY1I4Qzdsd1VXaXZ3bjJhQkVnUGItaUlWa1JiTGZTbXUzVTRHdm40WWlYZnZIX0l5TEE0dTQxdUNiUWppNldaUkRZUGRpc2hBdXJPQ25xMzNGNzdnRnRObmtFU0UxM0JJY0FhdVotQ3c1UEVXYTVzRWZZVmdZ?oc=5" TargetMode="External" Id="rId73"/><Relationship Type="http://schemas.openxmlformats.org/officeDocument/2006/relationships/hyperlink" Target="https://news.google.com/rss/articles/CBMiwwFBVV95cUxORmxJb0xkZmFUWWhzVGdmdWdQV3BibjZVSlV0QWFUMU96UjdEX25oNUpXNjYzNld6TGw4NFBxTzVPOXQ3YTJwNVFuc3R0QzB2QzJCWjJaM2FsNTZmcjFwR2Y3MXRORGRSeE5FdUl4V0VNV0hIV1dXWXY5YXo3R1lpU2wtZ1BaeVFkdkFpTS00LXBSS3VQR185MEQtRlgtSllmTUlZdVAyemsxMklYWUxrSU0weC1BcVpOMFBHNHpqWnJqelU?oc=5" TargetMode="External" Id="rId74"/><Relationship Type="http://schemas.openxmlformats.org/officeDocument/2006/relationships/hyperlink" Target="https://news.google.com/rss/articles/CBMi6AFBVV95cUxNaW9FTkNEcEFjRUY0cjNzOVZYV2RyRFc0dFFRc3QxekVFRFMxWFM3TERkZE9aOGloakc3REpsbUJlS05xWVhNTm5rM3RUeW9ZRkQwb0tUQ2ZrZTBSZzN5NVRNYnBvOW10c2Z1ZGtKakRfOV9mbWpHVUNWZWFUVFU1b0JfcDJCOU9jTTByRHVIckxOUExBcVdWSXhqclM1eE5vOGFxeDVwTS04Y3NSVF91SVhtN3d5RXZQclUyYkxOVF94ZUN1R2ItMWQwcGdYTmh3cmN3YWNZVHJ6MnFXQ3VOZURZa0UxZXhZ0gHuAUFVX3lxTFBXNm9sdkZLNkpxV2pETktJTVJoVFZfTEdrLUpTeVJJN2ZJZzdpSnFqNHQ3dzRvdmQ2ZnlYLUtVeEpaenNQaUZlZjR0T1IxS1Q2YW12X1RiamxJMnE2TnJGQnRRYUdXQWRwWWNoVU9jLU1vNS0wZEVqS0themlRemhVaVE1NWdid3lWYlZmcE5rTXhjSHliaWkwS0phVDNTOWkxSDc5d0tWaHY1dUJXcnRqUTFCVmJ6NTRaX3VDdGs3QURhZ2E4MFVzUk9zT20zRm82OXpxRGd1TWtfVkxWM3QzOGFlbnVuQkxCV0d6dHc?oc=5" TargetMode="External" Id="rId75"/><Relationship Type="http://schemas.openxmlformats.org/officeDocument/2006/relationships/hyperlink" Target="https://news.google.com/rss/articles/CBMi0AFBVV95cUxQbVVySHdvQ2xSVWZkaE45QnJFNXFOWU1WOVFwMlJsNVBCQ0NKZHk3NjI0Y3NHV05oMWNSOHZvanBhX20wd29Ia3lPRHM2b2p0VHNXc2tnT0lnazRKWU5NVkpjSHE1dUExazRkc0c1MzlxdWRzZ19BYnJEVnBjbnBlTS1MbkFMYVl6cVBtTU4xejI5Wl9ubmZfLUNGWG5aN1pzMWRSbFY4dTBQaXY3YnZhRk1uakFkLVdsUlRyRy1qb3c2NTdwZEkteURONGNUZ3Zl0gHWAUFVX3lxTE00ZEpnZ2dkSkZxcklVUk1xU21CaDlYakNDWmhzTGhkSk9WbFgxLUR2V0VETWRLRGxOcENsbmtrWDlCRnlfTzY2b3BHLXBGWmxWaEM0b21uc3lRTU9QMU9FVVF5M1JHVXhKRmIwX0I0T3JxQkU2YzhSWVVfZW94cEN2TzRHSVgtZVpWbHkydHB4bnBaOGd4RmNRS2d4OXBYZWRuUXhfMVhwbGdzd1dXQlNLWElvSmNiSmluM0VwYlZHaGV2WlNhNElUSUhfZzR6U2NfT3VaaHc?oc=5" TargetMode="External" Id="rId76"/><Relationship Type="http://schemas.openxmlformats.org/officeDocument/2006/relationships/hyperlink" Target="https://news.google.com/rss/articles/CBMi0AFBVV95cUxNNHJwMHctX194YmgwOGt5TnY0bllIWkYxaDU3ZTZac3RXSnRxcFYya2FSZUI0a3I1YmYyak93Y195b3RhT0FuLTM3T29PT1REcmFjOWxBYzFxR2xibFgxcE43b2ZGcnBvR1Z4TWQ5ejNXaWpnSlVvaXpuLVltZEhZVVBaV2FtSGtJQ0w3WFJWZEdEY25GejFkcHExcDV4RU9kaEplOEhzU25zQlRqRWtKWHoxN085VERzREczUjJwd0FUc0ZqMFZzZ0wyd0tLa0lO?oc=5" TargetMode="External" Id="rId77"/><Relationship Type="http://schemas.openxmlformats.org/officeDocument/2006/relationships/hyperlink" Target="https://news.google.com/rss/articles/CBMi1gFBVV95cUxOTHlsMUkzOEkyOHJKY3BSNWdlX0dkR3JFRG90QS03UlBZN2M2M3RCVXc2RDJhNGR3SFFoUGJ6YkpQaFVLN0tVZDYwOWV4MWhVLXEzZkN5ZElEbmpHOU5fLWIyd3FwSmllUkxPLWhsTnBzWHlEdFNLdmlia3dQa2hPWDlzU0dkbFhYQWZSLS16R242SmZFam1iV1VtaFpXQ2kta29mWHI2ZWtfbHlMWGhsUUJ4dGdqeGk3S1JaaUhSTU5XRGRyX01US3htcnp0bGhPOHdYLWFn0gHbAUFVX3lxTE5ZRTRndFFQbk9PWVB5dUJGMXhsUHBFN0pBRWxzM2hubXdZZVJfM0tLRUZVRmJMRUR5cEU3ODZSTXZiWGFFYkE3OXZEazJyNWNUSEhIel9ENWNfU2VNQlZHTGd2VXdmVldZLTZEXy1xUU5KREZmOHUwQWNSYzFieVpKaU0tMFVRRC1WTVRCRFNab0F4Q0tHd2p0aE1mUEdmdDJLWk8yM1YtY2VXZXptR3Z5WmhMYVhDQkQ3ZU1TTnM0NHQ5b2JqTW9QbzExejkxTGdYcmlMTHM0WXczWQ?oc=5" TargetMode="External" Id="rId78"/><Relationship Type="http://schemas.openxmlformats.org/officeDocument/2006/relationships/hyperlink" Target="https://news.google.com/rss/articles/CBMic0FVX3lxTFBfZUw0Z3FFMW5wMEh2Y3hDQWYzaXBDdjYwOTU0U0F5QUhQOUJrOVBwaklBamt2WlZRV3BpSVk2cllvR1h5OUZuZ1JIX0UzWVllUEJfRVhGM3dFZzdRenlJMXpwbVp6WmhsZ0ZfdVY5bEdyaVU?oc=5" TargetMode="External" Id="rId79"/><Relationship Type="http://schemas.openxmlformats.org/officeDocument/2006/relationships/hyperlink" Target="https://news.google.com/rss/articles/CBMikgJBVV95cUxPTDdoNFRQRG45bzFHX1FuZnVxcHBiNTA1ZUVPR3haTU5GN2xZTFNMQXE4UmhGZ3JFVG9YaEZRMGZyLXdobnpJSEE4OWNJY0swZ2dPVWFjbHdYUjcxUlRfWTI0M0MyUXlSWVVxR2dzR2YzVDBaa0t1am5YWVE5a2U3NHN5Zm9NNWFGLXl1RXJfOER3T1ZuekN5M2pBZkN2M1p5OTRnc2dTUkNHS1dVUlYwVE1vZktQWkROOV9YRDJYQnpNUXpyWURlLXZTNWFhWmZhd1pZOFJkakxuQ05YcDZFME1NZHNaMDFHVjVubXVIZ1FDNTRlYjdoeS0xcVRFdTFkVzJ2d01XNHR4UXQzckhuRkdn0gGXAkFVX3lxTE45T05GdVJZTktqb2JFdHRUVDZmOGNOSnYtOWEyQkM1b0FZTzFITmNqblU2TUlWVjI0M1hYckF0alN4Qi1kSEM0dE9XdkFGaVpuS0FvclV5R1NmbEVwX2RFdEp4R2gteklFTnA5alJvMHRGaXRUcjgwMUx0QXJWTjNMZnNfLU93Zjk1RnpxS1lLa0tiUzlBU1d5Nm14WGZ6OWVENUNya3E0RmU5cFl1aDNpVmVjWnA2VjRRcWtFM21IcWs1SjlfUGRYSFR1ZS1SRG5MZ0VyVUtSeDJHc08yazlacGRPUHNsam1MSE9yaTVtZ0R0d3BzQnhxYTVDczRmZTltWnpPUk5BUS1rUW1kNUFBUTAyRDJkdw?oc=5" TargetMode="External" Id="rId80"/><Relationship Type="http://schemas.openxmlformats.org/officeDocument/2006/relationships/hyperlink" Target="https://news.google.com/rss/articles/CBMi_AFBVV95cUxNTFZiaXNROG1HUHRnVDc1b0VYamdpc1NRYWdCWFhJajQtNnRyVzI1WFFsZjYxdlhhdHRwWFNzNjZMUXBVcHBaS1FoV1RSZnY3Uk5xVzdPbDhBdmxZeE12dHoyc1BfdzFMUzNXRVBWX3hhaTgwOXRKNTZQV1ZUazBUZHYxdkpjbG00ZDVMQldRd2JjaDZhLUNiY0xCcmtQcnJWSHVKaFJSZF95d2F1ZUMzWnhNY3lXdU9MX0xqZVNLdllIVllTOWVrSk43cHBDQk1yR1VOZjFpT1NCZmYybXlBczhXREN4TTZpN19XdVVnX1JYamZmczM5UWlQTHQ?oc=5" TargetMode="External" Id="rId81"/><Relationship Type="http://schemas.openxmlformats.org/officeDocument/2006/relationships/hyperlink" Target="https://news.google.com/rss/articles/CBMi7AFBVV95cUxNM1ZMNFBXeDMtZE1Qb1QzMFQzLXJwdjRsSW1jMDhtVnlYWXFfVzNDdDNTLWhkRmozNm1Sa1lpSzAzSm9qYkZPNGpheHNEQXprelE2SElJbzRnM1Y2SUM1eV9mVHVyOTRKVENWRlVoaDMxR0k2SGM5bFBZTDJBX01SbDhhN0NPQklSTkpoT3dSZV9Id0oxM01CWUxEN3BxeFdpVEhmMzZfQXZiRmhSTXVsSC1iVlpGVVB3OGpKc3JWTVN0TTNyNHpiWXBVLWhaLWJSajdLalNXZWZjNVFBOGpEUm1lSUJHeDhwRURfZg?oc=5" TargetMode="External" Id="rId82"/><Relationship Type="http://schemas.openxmlformats.org/officeDocument/2006/relationships/hyperlink" Target="https://news.google.com/rss/articles/CBMitwFBVV95cUxOU3FBa3VJY2NZSXZiaWRtZjY5LVljTEFrZFVhZ0dUbkRQSldpOFI5RzJqVXZPLS10UmJhM0gyRVVaN2VPQ0hIUmRnM21aNXI2VGx2d19NNGJ5OWFUVGFZQ3c1Z1RobXprUWE1M20zeU1DSVhRSTIzZllCY3NFX3l6MTJtNmRETGRQSWhhZzBLWTRyMjFxWVhmS0JpV2ZlUU5kckFIMkR5c1RVYWpEQ3NpeV9oUlExcGc?oc=5" TargetMode="External" Id="rId83"/><Relationship Type="http://schemas.openxmlformats.org/officeDocument/2006/relationships/hyperlink" Target="https://news.google.com/rss/articles/CBMiXkFVX3lxTFBxLUpXOHh3Z1BMOHZRamlZR1BuVGdaOVZLUmJSdkNiQ2dBLVZIWnhMbi1WMUpzUktaQm5pazNKdGFKMjZHNUdGRHcwWWd3U1Rac1c5M1RjOF9qQjVxY1E?oc=5" TargetMode="External" Id="rId84"/><Relationship Type="http://schemas.openxmlformats.org/officeDocument/2006/relationships/hyperlink" Target="https://news.google.com/rss/articles/CBMi6AFBVV95cUxNNmRtSWFacEJ2R0ZvTmRsN1lUQkVuVmJSQ1UwcTJWWEVPc0FJNkRCbEFxeDA1ZXh4QTY3UUd4SGlYLVg5MG5UVGl6ZHJQNV9kSjdmNVhGY1NMWUNIN0ZOeWZpYlk1VG9iZHh2U2swVHg2S0xsMGp2ZGFSdGhhRVJBUnVSUnpQamQ2c3Qxckt1b0ZjaDR2ZHJQUU94bnMyNEZWSS1RZ2xjNTZUVTlaRnFLNGxneWR4QV9NUDJETS0xWTJhNkQtWUlkdkZsczZoN3E4VzMya1RwLURIbUlDRlJhN3ZhbmJXRlRW?oc=5" TargetMode="External" Id="rId85"/><Relationship Type="http://schemas.openxmlformats.org/officeDocument/2006/relationships/hyperlink" Target="https://news.google.com/rss/articles/CBMisAFBVV95cUxPUlZ0QjZMREp1TW4yazZUR1RfY0d2U1VZNnhtUV94RVdCdlRyYjdFSEZSS3o2V3ZWVERYa2lFM3h3aENobWhqQmliTy0zSWFxU2x0SzNUMC15NGpUcXBrWnA0TlJYYTNkVk5Hb3VkSXRnekxwdnpvXzl3Y3RUZXZfUTU4OXF5aW9MRE1reWtXcEJFbnpaVXZrc3QtVGxaWjZ5a2x0Z2VaeGV1WHNQbnFIS9IBtwFBVV95cUxOdUdic2ZlMjNoenFodkJlS0gyN0RFdTk3UGI1UlZiY3N2V3Y5T2c5dVpKTHlMZlR1aTZUaWNtYmRwZkpfMVV3ZjIyQ1NOTnAwY2lYZWVBZWJEeFRpS2sxc0hjdGVYR3JMZWFaUFlfdmd2R0NodVktMVJoQzVrNGFsUGlaZm4tYmluWEdOdlQ0X2ZWZnRIaFZ5TzZsb2ZUcnFiVVBJc3A4dmVGTzc0VFdNUVZfaGoxQ0E?oc=5" TargetMode="External" Id="rId86"/><Relationship Type="http://schemas.openxmlformats.org/officeDocument/2006/relationships/hyperlink" Target="https://news.google.com/rss/articles/CBMitgFBVV95cUxQSDFSanZvc3JzOHE4MkxZZ1BUSW9WdnFGZ2tVamJJX09jb0JOS2hheVU0NFN2QlFocmFycjNaMEFXU1hlcC1GcDF2V2M3VnM5d2hmYUx4cFNGb1oxWGZCckpGcjV1YkpCa1c2aU1RRVZCRk14VkdOSTF2bWNVMDExTEFHU19pR09XQVdwcWRzMTZfY3RkbkVsTlhORjZpSUFTZDg1QjZUYTVIcTN2MFFVRDh5U2JZUQ?oc=5" TargetMode="External" Id="rId87"/><Relationship Type="http://schemas.openxmlformats.org/officeDocument/2006/relationships/hyperlink" Target="https://news.google.com/rss/articles/CBMi4gFBVV95cUxOakZkb2RoVENITm90YXpKRXZSU05UWGVtV0Z2WGhGMG1fa2JkSDFfcVB4NTR3ZjVqa2hWUzRUUGQtY3lLS2lYbW9PNUhnZE9hZXBHUGtWUnZVTmVQLVlQRElTdFNqOXhyQzU3azV5UWdKR201ejFvQXlwN19DTXhaRmJuSk1sbDFUYXFKNUtBUzgwTjFlcGNZeWJpRGIxWFBGWE5rejh3LUtlYWdYQm03TjFSR09VSy1ib01zbnN1enV3aWE1TG9ZXzVLUVVmSGxsbHdOR0ZNSXZkQzA3NEZwNDdB0gHnAUFVX3lxTFB1OXduRG1wSThoRXdCLTFWS1VuSW0wbGRteks2cHUwemdDOG5JdUZEaDljUE9IeFFGQU9pMUR5aHhqQnlZbmZxbWhHNUlJLWtTVFpZWGxGaG1ybi1zRlRidXpCQ0lwRml4NV8wM3gzNTI3Y0tJOVZEZWpNUXZ4dkF6bUYwM2w2N2FmS1pUZWtEbWdia1NsRjlpeFdDTWFjYXB6Z1FtZUpIVnhiNzFrNERTckY2Vmd4b1FsdXlERGJJYXB6bXl1aGxybFpJUmc3R1FaenoyMTRfUWFETFJCSEVmbnJpc21NRQ?oc=5" TargetMode="External" Id="rId88"/><Relationship Type="http://schemas.openxmlformats.org/officeDocument/2006/relationships/hyperlink" Target="https://news.google.com/rss/articles/CBMi0AFBVV95cUxPcV8ySzdzNTZxT0NaYzdxb0RlZ1d0SGd3aTRvSDdQRGFNNGZIeUxfOEl5cDZtN0xsOWtOZ2RDNTlSTjBtT0oyZjRXYUtNTHB0QnNMWXpCZlBEenlQSFlPRkVhb0djaTdMcDNMNTJMRkhIU2k3Tmp3MTMybjZTSk1OekdmNng3b2JpQlhiT2tQbDlETEZ0YkZEOFNrZEpqdTl4ZDRMZEw0R0FOUnFIa2puNVZyVWN5QmRWLVR6ZkFEcnlSdjQ1b09TZlR6aTFYX2lu0gHWAUFVX3lxTE43bURuemx2MzU3eXVBay0zY3otTkRfekRrdC14NU5fS0tWcnkxSjUyVWl1RFUwUUlfMHlOckEwbGJ5VHpjTHh2RTJ1Ykg2SlpTWEIzZmpLbzhBbDZsWEU5UERhcjhRTERvMTZsZHlCQUpOY185OEpJZ0hreWZpbkd6Q2dnMkdxYlJUaHhIbUJxd3N0M2VRdXpvY0syTEw2bmRYLWVHUVNmNWI4UXl3OTBYUElWX0R4UGJzYWFaVlhnWDYzUVVNWHh2eThmNUNVTlpCYVpsMFE?oc=5" TargetMode="External" Id="rId89"/><Relationship Type="http://schemas.openxmlformats.org/officeDocument/2006/relationships/hyperlink" Target="https://news.google.com/rss/articles/CBMikwJBVV95cUxOUHZIckFUQk9qdl9idHVTNjBSSXREM0hWdS1RbGlqOWhQZThXemVJazlRZUh3Z2Q1UHNhbERqN0IwWGt4SkQyd3ZfZS1jbEY0WElCdzM4MzI4YldXY2tObFM3d3F6YjFHMlRjVWJrSDBxVXpsTkVteHVqRE5SZUU2TjJuZndKUXRRbTl3MG54ZFdra3B6SHNCMFpGYWRGck1SZHBBLTJIN2lPem1iY2UwQ0dPSlA5ZjRfQU82QUJUYnFQX2tGQ2ptcENySHV5eWFJNGVGcFB5anF2MDh4M2dHNEVyX0E2VVowX21aUnpJcmhITVZQMnB3SW5EaXluMXM2LVNoUjN5WGpWcEgwY3hNYkpvSdIBmAJBVV95cUxORlFTY0FKNU9DYmhXUElDQm5JSHdndjAtbWltR2NZcjZxUEJ2ZzFwQTdiMDRQMG9WaFlfOUdrOTA2eXo5SXJRdGY1OWZxMWZIc09YVGdRQWI4Q3BveHprZGZOM2U1NnlCZ0NiUDQ2eG9oeEFja1BkVW5oZWZ1U2ptUHlibV8ydkREdi1QVmtOb2taNXRYcm1mVjJNS2hybXFGdzBxN0hvM2I3UTBHRnFSRWVTb2RJMWtwX0xZaXE2cFYyczduNVFqRjgtVEZVN0JXcnJpSW80SUROa3E5Rzd2QVpBNlVYSVNnTlNMbEU5NWtrQkhyMlQzSDd3WGFpU2NzWlprdk1EcF9GWF9IOHpRQVR5VmI1ejdY?oc=5" TargetMode="External" Id="rId90"/><Relationship Type="http://schemas.openxmlformats.org/officeDocument/2006/relationships/hyperlink" Target="https://news.google.com/rss/articles/CBMi9wFBVV95cUxQRzVaOTNoRlFEVldUMWpzckdZN2FXSTJLM1lKczdkUm5xMTZhTnQwcUlEbkRpaVd6RU1TZGhwVmFaLVNmcWItZHZJX1BpLW1HTFpaLVZqdE1FbjQyZklDNVF0MDBudi02d21uckwzNkVfZ1A0dVJ2QkhnZlFTMFl4ODBldnIwSHhWSVl3QlNnd3lqR0xNTUpQbzVRc2lsdnBaMHJhT2xBb2dtYlFEY3dZWHZhY0NwSHdBcU5MVzlBd1RHLTl0RFZLdVhaYVNhdHVGNUVNZkRfcXBzOG9Rc01mZVNGVzJIVkFBeDJucnJwdlVGVzVkSFdz0gH8AUFVX3lxTFBhTnRRZ19nMjJ2ZTRnaENHY25FNjFRSnZxZFhiczFFRWlSNUEzV182Q25sMTU3M0NyVFhUOXF0QXJBSVVSSGoxM3lJNm1ZVUc0clJhRzFWQ0hnWTJ4aGRDTkVEREc4UUduRldFaW80Z0RWRmpMaTRaTmo2YzZBNDhDaE5RWVEteEM5eXhpMjdsUXVPUWkwZmZmZW1CRTl5UUFtRnRLUG00Ui1BSmNRbmVsRUNaajhMcEYxUHVWX3pLOUl5eFJ4RmwwLVh5ZWFnZ1FKREVFWTVTSVpKX3V0UFlkV2swbzJLWVZRVEpxY2lsQ0JwWVhrYktXSFd2eA?oc=5" TargetMode="External" Id="rId91"/><Relationship Type="http://schemas.openxmlformats.org/officeDocument/2006/relationships/hyperlink" Target="https://news.google.com/rss/articles/CBMikgJBVV95cUxQeVl3ZGJ0NXlLWlUxT2lZaHRSdXYtOFA0c0tFMTNockJDWC1CNTdqQTNGNlZZRDdYVS0tVE5UWUtzUXI5NkRzbjF5SkZfOUlPdUprR090Mml2VWE5QmhjcEZsb1ZzdEs5TEtVZXlpYUdxNUNUbWlGVXA2T1VBYUxidE00MUtkNzRLQmVNZ0pzT3JvVkJxNHp5RkdUNHExbEFBSktGQXJyWks1WmtQclI0azA3eXNUTUppb0s2eXN4TFgxWTlySkVGNEU4UjNDcGRaVHpNYmF3aFlRcU1SQUpsM2ZGclhoV1VVdjRpbUM2UVI5THRMN3R6U2tfbDBfa241T000VVVFVWlnZmFPQmUwNlN30gGXAkFVX3lxTE9yZU1lUWkwWnFESjgxaW9YaGNycGN5ek43aHQ5WTlIT1FveWc5SldjLVNKNEN2YXZ1VUpiTGhaZkttWXJ5QThSYzRYNWV6d1d0Q1hldU52LWx4MGRiSEswcXlWUldJX0JlRkVjTzlYS3piOGQ4VmpzVkRBVl9qQ3lUQ2M2c0tkV3BwcUNPeU02ZjNlNFZ6QTg3d0dUMEJ5d2dUeGw4dklNellWOUozS09CWmtScTdQeHNKdmtHR2VNWGFjU0wtblRSTjRLakJ6cy1IeFEtR3MtOTZwRklMYkRyV0hBUndMb0MyaW50dThWeWIxMW5Cc0xyb2t4djBqcFY2dkdQUTRkME0yYncwdWlDZWtKbmVVMA?oc=5" TargetMode="External" Id="rId92"/><Relationship Type="http://schemas.openxmlformats.org/officeDocument/2006/relationships/hyperlink" Target="https://news.google.com/rss/articles/CBMi8gFBVV95cUxQZ0xJb1pXZjZ1Sk81cEp5SWtCNFlLRXpEU0t1c1NTWFZUeW52ZGV3dDcxbEV1dWE3OFhvZExQZmhuMWpTRlZlUTJISElycFVBOW8xX0pYdDNsUTlNXzVNRW5XUklIZWR1LUphcEs4SXo1enE3a0JKU3FzdGtSdlFPcVJrS01LNG9odjVkZE5NOVQ3d0RjZFJTVUQ2b04ya25fckdXeHZSVVNLc1pSMWVMOTJQeHQ0Sk9ObFdJbFRYdUZ3VkFJQWN5WThSX0EtMlhzNHpuZ0ZjQWMzVHZteHBNc0NXMVJablBZX2szb3R3OVNOZw?oc=5" TargetMode="External" Id="rId93"/><Relationship Type="http://schemas.openxmlformats.org/officeDocument/2006/relationships/hyperlink" Target="https://news.google.com/rss/articles/CBMihAJBVV95cUxQZWMwQmlPa1NmV2pYNWRhdU5tczhmN0VfQjFxUEFfLWd4Q1NUeHhaNmMwZkxVdFhNWllMd2lJcE5FYk5yNzNzTG5HcWpBSXVITTRJNEY1a0JQQ0pNQVhnREh0NHBNUTBTRlo1VGJwR2JOYlBUWUVPajFwYTBtOGhsNVo0MEtueGJvVFFpYU5HRkRad2RYcVlaX0dDcU5aNWw1VVhRNzVnb3FZMTNDYldTTzhXcjRDUl84ZDV1V25ISXBuZVhkWTB0MUNodV94TDM0MU1KZEM1YmxvTUpxY0V0cEZKXzlOZkpsb01BNjlqOWJQU3ppTzRmem5DZTI4My0wX2EzUtIBiwJBVV95cUxONndNNGpXU3pfVVBDYlpQSzlEVjlTU3lXN2JBY0NCNnl3ZWQ2b2hGTW5lQnpiSWpJUnlUdEVMV2pWWFJWbnFDRXZjYWxzT3NfSmpyQ05ET1ZCSkhtUngzNEFCRVNmNTVwWU80eTZFdGhEak9hODMwZDVWYXNUNnlQVjF3Q0RoMF9leThrcVhWc25uSGtyOExXLUZMNURBdVlRZ0FEcXRLcTNLTUxxZVdaUWFmbTVDUUNoaXNzTzR3YmFzUC1JMlhqSHFHWFVUQXVUN0dzVkp4dS1raG5kamtzWlFOX1EtRW9VQVFpczlVUk1CbjRTOWtWdk5fOHNLQ05CcnVMZXZFd0ZkWXM?oc=5" TargetMode="External" Id="rId94"/><Relationship Type="http://schemas.openxmlformats.org/officeDocument/2006/relationships/hyperlink" Target="https://news.google.com/rss/articles/CBMihAJBVV95cUxPTnNUNUxNMmRjUi1QcjJmVHMzWWNHSEZZLUM1b285cUVHMnJsOFdOamVkejBVa1JEbEwxWW5kczRaSUVsd0JNVDZxQmRjUjRQOWlNYVdRem0yajNIVWU1SkFueWZrVk41T2FMcVFyNjNIdTBTYU1nYTBlTUstZ1laTUNYZEVUeE5PRGpOWHprUGlxRkdqNjh1OUlobGVZdUprdGN1em1tNnlEWXFYak1BV1A1OHFCTlJ1d0dnaUowUjlVczVWY3BsSkpvcjlzYVRNbHlkUDJQUjQ0ZkhCOXlkZFlrVGxucmNWVUtzWVMzY0dkeFFJWnJGZ2w0T3dzbXY3NFdTONIBigJBVV95cUxNVFFrYkdJRkdQcTB3V3FxZERqd2t1c3JlM2ZzWkZlYXNBd0lROWF0TVJudUhCM3FseTVSOW05MWZSS3BYQW55aVJ6cklYTHh3TkFheGRxUmdPQ3dqS0Vyenp4b1hGdnJrbGxCNnpzTGJLcWs3ZVVIUmFQMWo5VGhRSUl5Ymh1VHFxVlQ3WHZaZWtUMlhLcnMzY3p4bDdlaHAwTHBkLWYzNmhJVVBhU19VZHVpbV9UcXR4N1pSWWpoclFHM2pnc1lqWFFfUEYwQjAwWU1LZHVOYk1ad3VNVE1kYjhiU2hEYTJWUnBoTDF5c0hGcGZKdWc1YnJoTlJLcnpyMFpYRHp5MmdVdw?oc=5" TargetMode="External" Id="rId95"/><Relationship Type="http://schemas.openxmlformats.org/officeDocument/2006/relationships/hyperlink" Target="https://news.google.com/rss/articles/CBMitwFBVV95cUxQNmdxX3hPMzJrejF0R0pvaUNBbDFacW44MXRuLXZ1bF9yVnlwTXFwWGlOZUh0U19XOTJhYkZ1cHJ6VkJSMkk0QVAzcENpdkNJWVRWMDhkYXJ0NUdxRjVnaVhiS2VPWExCMWdaQlBmVzQ4a0lhNlNjNnV5Nk9xcV9zOWMyc24wTFdBY3lCbFdQdXlsaWFNdnVxblZYWVhBcm5wQW11NzdmV01JeVBsQV93eXJuU0ZaTmM?oc=5" TargetMode="External" Id="rId96"/><Relationship Type="http://schemas.openxmlformats.org/officeDocument/2006/relationships/hyperlink" Target="https://news.google.com/rss/articles/CBMid0FVX3lxTE50NlRLX0hNeXphMTFfZTRycEtybmUtbWJ0ZXEyU2dndDAtZVg2akpTZmtPbjZkTkhLY01DRVB1eURzQ0Y5SVpwTUJpRS1ScWxMekpGWjJqYnFUbldKZWVMRnBZSUpJU3BRc29VZlBKV1VHS2ljcHZF?oc=5" TargetMode="External" Id="rId97"/><Relationship Type="http://schemas.openxmlformats.org/officeDocument/2006/relationships/hyperlink" Target="https://news.google.com/rss/articles/CBMiwgFBVV95cUxPWmhhOV9UbzdzUnl1d3d3UWJ0WHdUVTFnVy1CRDlOaEtJRURFeG9MdzYwemoxblZHVFEyU3ZsSUpfd2R1QUVmRFhDakRUbWJvYTg1MVByOEtJZzhuZndaRkdHaU1BdGQ5bWVIMzRudUxYU0lvRk82UkFqd2tId2JMSDNVT1oxUzVPRWRsamprWWo2a0QxRXdGUUxhME03RWNTMmwwSmMxUkNkQS1yRmI0WUJ4X09BZWlTY2JxNG00X0Mydw?oc=5" TargetMode="External" Id="rId98"/><Relationship Type="http://schemas.openxmlformats.org/officeDocument/2006/relationships/hyperlink" Target="https://news.google.com/rss/articles/CBMifkFVX3lxTE9hRVNFbXVSdmlBQjU1SjVINm42NjRkZEdJeGJGdktVNC1wbVZEUGJ2ZUJQVU5rX0VHdFhZUHRPdEVfeVllWWpqZXk2WEF2dFdFblViVi1aY0xRLUZoSEprUHFFb01VdUxSX1ZheWQxaDBFVWlYc3ZnenZETjhJZw?oc=5" TargetMode="External" Id="rId99"/><Relationship Type="http://schemas.openxmlformats.org/officeDocument/2006/relationships/hyperlink" Target="https://news.google.com/rss/articles/CBMizgFBVV95cUxQVTlZOG81RTVnWjBYRHRQMDIwcGZBeFctckxfN2w0bVg1ZFpDTUFoSFltOVA4MGdqT3N3LWhRdm96WFQyNHZTRG5heVUtRU5naDFxZ25mMEFYR1Z3aC1INkJ4RFBRQ1Itci1OSWpHam5aMl9zZzNnUTRjVlFXYzREZmFYVGVZd1RpRXljZTMxNFdQckJCeDRaQUZTSTROQmdLTTBHUHNic0I2UURCNjN3ekNwN1JULTAyT2NWYWpIMjFCN2FqQ2hPcUU5YmxMQdIB2wFBVV95cUxNM0tMVE80aXdoc254clRDZXlWUXdIcnAyMkVmajg0WlEyR01TVEVEeHpBbnhLMkVJaWJaV1M3Wlg3M2lfRURXR3UwWGNGX2pPdEJHSnp4R2stZzI5b0hiN0xDT0lWRno5cVhFd1ozc2xWbTZoMGxaVDhPOWFiT2JiSDdFSmpvWjZYalIyZTJDdlItSURqNjM0TjJFSnFadVBXWGNwLWNuejhuSVBaaHVSYXRQNUFqcUJHQ2M0b2wzZnI1UHR4TDh1Z3NwV1JxcDdvZXRoaTdpbVVfbFk?oc=5" TargetMode="External" Id="rId100"/><Relationship Type="http://schemas.openxmlformats.org/officeDocument/2006/relationships/hyperlink" Target="https://news.google.com/rss/articles/CBMizwFBVV95cUxQX0ptQm9rVUR3WmhXT1hsYVFkZ1FDeXFBQ21Ma0hFU3N5Uzg5V3A4WW9ydXFNNW1BMFNRalB2V0NZNUZrMTB6SmlvMnBfUzYtaUdSTUt3emRnTjdZakRpRERJMkdiZ2lYX3hEQ2RRZ0pMamRYWi1RUzh3T0VwdmhkSXowNUtmcDRaYXR0dVdySHlRWjRFblRMWlJoZnBQZ3B6d05RVnA5b3BxeHhNal9xeWF3Y2hUXzhlVEF2SkxPSHlVOXVwNU1RWHpfTzl2bHM?oc=5" TargetMode="External" Id="rId101"/><Relationship Type="http://schemas.openxmlformats.org/officeDocument/2006/relationships/hyperlink" Target="https://news.google.com/rss/articles/CBMipAFBVV95cUxPWTNFMUJiZ1Yta3hDU09iRHk1MFNNNVpUS0pOYzdMc1ZGcjZyU3h6aW5faVlJYlpVa1d2UHdKVXhmaWtXNFBwWlNRaU1HOEJ5dzlGWnZzVGZkNndOc2J1SVo1N2NLTHhGcTlOeFg0M3pVRE1qenZONFRtRjNEVTNONVgtSHdhaXllMUk5TThCQkI2SmR0VzhNRDFmX21zTjE4TjMzYg?oc=5" TargetMode="External" Id="rId102"/><Relationship Type="http://schemas.openxmlformats.org/officeDocument/2006/relationships/hyperlink" Target="https://news.google.com/rss/articles/CBMi0AFBVV95cUxOaWFxVEdUZElGaEVTNF9VTVEwVFpXUlRXcUZ1S1FTMVpIMnZVdFVJbTlqRVpvN056WXdXOEtfaHFDV2tXb0lvR1hrZERSMGFsUGdGYmtyemdiZmdoTXRkWHV4WWFWaWpSdjFGclVuaERMQ0xsd2pldlNfZGJudk9EZDc0QlNSa3JneHY1MUpIbE1TbVRoOEozY3NJbFdNYTJLZ1Jyd0hPMWpMbmI4NG5kUWRUZ01VY3FSTjExQ3k5VVBwSDhFeW5TMjZiblhsYzNG0gHWAUFVX3lxTE1YUXhCVEZnOTJHbktEQzZ6OWxrMzBibktwWGs0RWp3aGE4LW9LSHRkYlByYUpfaEVoQUphenV0U3pPc1BOSFA3cV83ajkxSkstTWZoYkdEN2pVT01KcmgtMWdBbWNBd01UZG54SmVHcFNpSno1d0dfZW1Qak9PeW1wV3hnbk1VdUczeXhQanhTQVZBOWZ3cTFtSmR0eEN0d25OdFF6VHdnN1lLYkVTaUZUYmRfdmVaUWIxRExPYWxwYkwwc1JSdUgxUGRqajkwbmxzMmtPRHc?oc=5" TargetMode="External" Id="rId103"/><Relationship Type="http://schemas.openxmlformats.org/officeDocument/2006/relationships/hyperlink" Target="https://news.google.com/rss/articles/CBMisgFBVV95cUxNUHl3Ri14Q0tHMjdZRll3TFp2cWs5bmNNV1huQWdmcUtNZVJ0c2NsRW9KaF83VEJSZUIzSldyM0M1UWhlS1UwRlM1OWptdUNCZHl3c3VGSHRqR3I2Zm1mRzZIS3ZfcUZ3WXRZNmF1RXlHMWR1alBnZkdMeDVtNnEwQlJ4UUw5dEdQSWFxUTN2bDlrMjlQdmFnS01IWGl3TkVIQXlyUVc1Q01Db2tMQUJvZjBR0gG3AUFVX3lxTFByT3lubXlZTHJfcDNQUE1JdkJVdmFHbGZKUDFWczlWQnM0bEM4c2RRdUkwOWY1RUpNUTVlYkJEbUc0RHVnSzFpcExqQ3owU21NN3lacnZWR1FLTGVvaURrdHNXXzBnUkR0OWZ6MVNtOXRfWXNQeFRaUVd3OTVDX2V5bHBab2ZWQlpWMUVwejc5Y25DWjROSDV5TmxVVkVjT2NpTEUwNkwwV3BpRGc1ZTBzNEtFWlZHdw?oc=5" TargetMode="External" Id="rId104"/><Relationship Type="http://schemas.openxmlformats.org/officeDocument/2006/relationships/hyperlink" Target="https://news.google.com/rss/articles/CBMi6gFBVV95cUxNR3NxdHRtWnBVMU9TY3VqMXFkWldrVzFCUmJfNkg3ZmZOTHNVYzZMWGFEalgyZlcwVjYwcUhXaW96Z2FsQmtPX1dUUjR0aHg4YXNpeWUxM0RKcndCUkhta3hJRmVINDA3RG80MVR0N2lyUzNUTGZIb0FqanZZal9YNmFpa3RGYTBjUHBoa3o4bThNS0RBaVVXSXVhbVpqZFJzMTdoOVMyRjhnNGkyRGR3NTgyUGV3Yk1NTjhmMGd3dlhVV2JUXzhYNkdlUGI3SUtZVWlFUVpza19tSW5PMmxiV2RpT1lvV3F5VVE?oc=5" TargetMode="External" Id="rId105"/><Relationship Type="http://schemas.openxmlformats.org/officeDocument/2006/relationships/hyperlink" Target="https://news.google.com/rss/articles/CBMi_AFBVV95cUxOQ01EUk5uSmcwT2otWHpCcXNKUkwtQk1Sd0IzZ1M5NEloaTRfMUwtWHdTZXd5TTAtZEtwb3dRLVQ1dWgzcmY5REU5eDJhMEFpdVNMb3d1UHZjQWlOcVRYNjZKTjhIYW03bVVpRjZ2ZEZ1WmtUMnBQUWRQZ3pucmpwNzJpOW93eDVvUGQtZG1WWnJVNV9GUGFIeG9vbUxYSGtKdjZrUFlKVkY1aHpmNXlhVTNCakx1TVNIZHA5NXVFSUZlTmpGLWZ1a2lqcElkdTZXSkpXaUIxSnBMZ240TmFlSHFHOGREaFhhUEp5X0pEMUo2TkFwWEU5V1dhUGnSAYICQVVfeXFMUE1JaVNFclVONzVqZElTQUp6cGxDaUE4b0h3ZVpiNnJkVE91eWN0TWlheTAxaUZCdG8ybENYZ2V1cUd1a3JORXNBblpkSnRKQVYwd210ejFWbThnQ1pvek5mMml2YzVQWi03bm0tbUt4a05HYmFFOXdvak9YcGRBXy05ZElWcXpOUkRHb01aR1lxVU1rYXFqWVZIZHNJTUswblYxUC15Y1NRNjJlUTFSdjF6MVJfVEMzVmxWOXFZSmI3WV9xbnd6clU3X0IyVFVzWFhJRm1MQ0p3ZTFxRW5FYnBoOXFXR1J1ZWozMVhSWXoxd1FXLXE0NUxGTlpIME5RZFdR?oc=5" TargetMode="External" Id="rId106"/><Relationship Type="http://schemas.openxmlformats.org/officeDocument/2006/relationships/hyperlink" Target="https://news.google.com/rss/articles/CBMiPkFVX3lxTE15aFBDQy1lOHpHNnVLU3dRM1lsWmNDMVRQNWJPcXBDSklxT1VIUnVxVDMwRHJsRTJtdmNLcEd3?oc=5" TargetMode="External" Id="rId107"/><Relationship Type="http://schemas.openxmlformats.org/officeDocument/2006/relationships/hyperlink" Target="https://news.google.com/rss/articles/CBMizgFBVV95cUxQR1h5dTg3cEs3Sm1JMkptS1p0OE45SVlfSWJnd2w4c0U4QS1TR3VxMmhPVW9lYmZLQTNhX0FzOE1ZSkM5b1RweDNMUzE3LWJldFFNNEphR0RQa3lvUkZJSENnRW1PNnk2MnRsNlNocnRRNG5YZmNfdXdGSVFOdVViemJKS1ZsRzZrcWVGS201SlVoQWNrc2FWX0JoVGFkbnFKNGdUbHEyMW8wLThTMmdVeUFoNDBaRFp1Zm90YkltYUFnNk9hbHdVaVJ0OVpWZ9IB1AFBVV95cUxQNUVZMGpnaUtWa195QW1MaUFiV0RjQjRXdVR2QWN2am40Y2VsREVYVU5Rcmhrd2NQQ1d6dzJrMi1QMUlTdlZlaGFGekJ1a3lVMUNYamFabWFwbUVKQldnU25vbHFsejMxam1TZjRiR0FBZjNCOGZBUkVQbllGYkhQU285WkpvYmFuYllkOXJGN21kUUV4a1VVME43dUtqT0pKRlZ0bFBrRzhsM19vdDdMaTNMbEppMUdXT1RqczlGaTJaREdEcVBxNEJPclBQMm9RS1FJZQ?oc=5" TargetMode="External" Id="rId108"/><Relationship Type="http://schemas.openxmlformats.org/officeDocument/2006/relationships/hyperlink" Target="https://news.google.com/rss/articles/CBMi0AFBVV95cUxQUUk0eU8tSElYNTBybC1oZkt6Z3ZUV0ZIOXJGOU9maTg0ZlM5b01ZcVJVOTlyNEtaZzk2YWJzZXlEa0JLdlpubS1BdlkyU1RmUnNuZHY4SF92T0lZbkRScUtEX2ZwdzMxNW5jeWQwd1ZFeEoxazRIdV9sWmVYNHhkNGdGMGFDS2h2eC1OYVIwVkxhRFoxQXJkQmhRRGgzT1BIUk5EY1gwQlM4Z0dPYzkzbm5EckV1MVM4NGZ1ZXc0V2pFY1k5bDhWai1OTGx4eUs2?oc=5" TargetMode="External" Id="rId109"/><Relationship Type="http://schemas.openxmlformats.org/officeDocument/2006/relationships/hyperlink" Target="https://news.google.com/rss/articles/CBMi8AFBVV95cUxPd3ZveERnLUZvSF93M3JqNXFNUmRMRVJ1eTZESTBxYkQ3QXZlNm1VV0FfRXI1N1NfbEhjZWMtT2RJMDMxaC1LNmdEQmFWT1RGdC1VdjF1amZXT0c3ZFZwZEFkYUF5UlM2cVNVbmdRZ09rUnhETnFSOWM5XzJMZWU1Q3ZoQ05kWDZKbzVGQ2FlMTFibDg2VzJORDNKcFYyZENHUHZHbW5WZE5zZmZQbzJGd21URDlVYjZ4Ujk2ODlHNjhENmZNZ3daM2pCVDRnekszQkotQ2RHSUFPNVUyR0wzSXFScEc0VzhBaDZNZDdaczPSAfYBQVVfeXFMTklzeGFkN1RscXY3b0lqYkhOenFwRXEwSFUyVFpaeVFTX2Fhalc2T1JsOUIySFNDbHlxQTVBeU90OG5WandWTWlVd1p3Y2NYQkV6Rm5JaWNSMDhkeFpvNkNqQnJiOXgtZ3FaT2JORnRBNm96dGwxYmdFaWNtS1pXYWFfRkdEWEZ5OVdNb1ZwbWQ5RGlSbkQ4U1BEQWM5SzlsMDVuMUpCX2Q2cmFRZEJVX0FxVjhJYXBkZmVpYy1hVXVGRXhMOUNxVG12RkE0MGdkZFBwQUhrY3dKVlZpUmxCaDNrUUtwSE92M1JqRUN4Vko1bHRZcmFR?oc=5" TargetMode="External" Id="rId110"/><Relationship Type="http://schemas.openxmlformats.org/officeDocument/2006/relationships/hyperlink" Target="https://news.google.com/rss/articles/CBMiigJBVV95cUxQX1VFQnVWTVpjTEJwOXpaWUkzaEFlQ0Etd3BQU3pSdTF3enVMSndzQ0FlMlN5UVNpNXFENEFnSjdDYXV1RHZ0U1BFTTBwekNLWFV1Qm1XTy1fb0dDVlpmVzRYdl9TVzVpTDVoak5MM29qMnAtZnRNWHBNQW9kYjJILXNraU9Dd0VGVUVqQjhMMjZvZjJKVmhpby1KWEp5NXZXaENEUGtwa0ZtZlRMVU5MZGt0R2I4VEJkbWdLaXFsUXcxVkZJQ041MEdTTDJCN0xUaVlyaWg0TmllLUVvWjhKcFg2em9JaHFWaGNUNjhYVjlUcWtDcmhvc3otVk9sTUdCT2Y3LWdUbVZoQdIBjwJBVV95cUxQb2E2X1V4MkpKTnRhREpxZDRBYllSaHVwY2NmQVZkMnFNRUcxY21SeG80QmpIT2d1cjdjaHJMcjV1d1AtcXlqc2ZSbjVFOVFjN3MtT05Ib0xvc1hPOExQakJ2c3hkei1aS2lUMUxZTnVWX2ptNTNuY01qVUJfaFlxcDVjTkcyd3BIb0tQNHY1am9oUThfX0taTWNzZDVuR3U1ZlExNHppLWRQNU5ESXNRWVIwSFVTei00Q1lDUE1XVFlpM0R6aU5KQ2ZYOUo0N1NSS25McHhXS1MxRmplZDhxREVrc1lCVEtKR3E0QTVaUWlYcEtfeE93NEpNSWV0T2lnYVgzQkFXZTRGMHI3RGNF?oc=5" TargetMode="External" Id="rId111"/><Relationship Type="http://schemas.openxmlformats.org/officeDocument/2006/relationships/hyperlink" Target="https://news.google.com/rss/articles/CBMiYEFVX3lxTE5JV0lHeHF2MFVvUUczOUVwMTlLcGJQZ0ZGNzhBaUtlRDBtUFB2aVpCQ1F1WExTUGYwTTZBcVVMNkVHY3RBLWhRUHQzSExqOTIyQms5WV9sN3JyRnQybmprXw?oc=5" TargetMode="External" Id="rId112"/><Relationship Type="http://schemas.openxmlformats.org/officeDocument/2006/relationships/hyperlink" Target="https://news.google.com/rss/articles/CBMi6gFBVV95cUxPT2tpMEx5Rmc5cVQ2aXlMMXZZVmxpNXYtQ0tqNWVtS09Id0JCcmRBS2lUV1MxM1VtbkdtYWNuZWJ0VFhncVhRcEtTYkJsekFxUXlSaGVDeW5Pa3QxM2V3dGtZazZaUHd0N283UG9zOV9JQkR0LW0xWHI4VVZvVWlUNnhVcC1nWWVUdGUway13dVhjSHc4MkptMmg4MzczRWxxSUh4aEhJWWNqbmZHaE1aRGFFWHRNTnhHY3hLYldKdnZwZHhWSHJLVUFXc3h4eU9kMzVMdmF5SUtiSzIxT3k0eUF0VmZEYlBodEE?oc=5" TargetMode="External" Id="rId113"/><Relationship Type="http://schemas.openxmlformats.org/officeDocument/2006/relationships/hyperlink" Target="https://news.google.com/rss/articles/CBMi0gFBVV95cUxNZkY2dmdRZHEzVFptTVlQTS0xalRUWm1PY05FeXFkSVFnVEN0SVE2UVFicnFyaXdJbFlndUw1Y3lmdlpoMFowMk9HdDBDOE9jM3QyLVI5Y2haU09oc1p4U09kOFdKLWozQ2ZCbjJwamh5TW81ZlNoQTBkamVSbVJMWnBJaGVnODRWbk9mVmtpbzNYWXhncWZJS3dZanp0ekJXTXhNR1ZOVDZYekYyZzdzdmFtd2ZBYndLb1pINGtOMEFWZXVnRkpGSHBzbHY2TmhmMEHSAdcBQVVfeXFMTWRheF9vX0E2QUZEdVluYkllRWRIbEFXTEhzMm4tMmhCSGZrXzFwYlFKNDNlQ01CSE9tNHF1dGRSSWpqSzJiLXVEQ19MeTU5aHpYSFNHbzdSRmI2M2c4ZmZLcU40cGZUNmZDY000d3lmTGl1WjNLT0RmSkdBYWZRYXpMcU9IZlA0a293ZV9OcTBpTTBnb3lfRHZIdGF0WEo4UmkwaEFWcW9GVlZ5YnVFa1pOMUo5bTNTaHpJS3JzcmhvUG10OXktWENsZ1l0YUliNWRpdXlGMm8?oc=5" TargetMode="External" Id="rId114"/><Relationship Type="http://schemas.openxmlformats.org/officeDocument/2006/relationships/hyperlink" Target="https://news.google.com/rss/articles/CBMi9wFBVV95cUxNT0ItTTgzWFNXNlcxeXFsdzdJTldjZWQ0WWdveGtaTHVzcERHVzBFXzBLdVZqM3VLaFN5a0EtZWtLYVF3WWw4ZzdUUG5SN3M3b09KeG9RZzNZMFRfb3N6SEs0djdrQ1Y5MHVJUnpJUF9Fcy13MDNZbDh1UU42cTkxd1VyOVRzUklWOTV1b2ZXcG5Ia3hZUmhHUlFrUTI2TGktd2E2enN1dDBGVWVNaExuMFRLT2dMMHVWUGdMQ0NPTktnVk1MV2huWTVfOWZfQi1nMVMzOWFtdTBkUWxIenNDbTNuZ2U5TjVrTXFxMjBMcmV3WVhnQTRR?oc=5" TargetMode="External" Id="rId115"/><Relationship Type="http://schemas.openxmlformats.org/officeDocument/2006/relationships/hyperlink" Target="https://news.google.com/rss/articles/CBMi9wFBVV95cUxQa1ZydU56V2ZLWkw1MTV6bW0zNThMcTRUVU44WFN4SHpfMHlmTndYMm9YZXJMVmE3V0w5S05ZU19Mc2F6Z1drT05NOG5vQzg3X0diWkh0eFV2dzhkMzV5WXVlbEYxaUtiY0RmT3B3bGVMWXVCTHRNdUloNzctX3d2eEdPRnlZaGp2eUhkQmhydkNwOEl4cFdiNklIYnc2ZjZUQ3BhZlZlY05Hb2dFVm1lS3B3M3dlb1NqM3BEQ0xtaWtfY0pNSlIyRkQ0MzR0ZGJLQkt5U3R5S3FDU01saE1NdGxwRXQyc1d2ZDRldE5wbDNRTjl4aXBv?oc=5" TargetMode="External" Id="rId116"/><Relationship Type="http://schemas.openxmlformats.org/officeDocument/2006/relationships/hyperlink" Target="https://news.google.com/rss/articles/CBMi0AFBVV95cUxOQjAyWlFlUEZVVkZEek13cTE1OTRTNmJaLUV2X3pIbHJZOHFod2JPa2toTGQwaUFVVzhXcVIyUGV3NWNpb3lwaFV6aVJwc3p1Z0pqYVJTamFkWDFBLXdjdUlaRUR1dGtvOFpMQi1Ic2NhN0JxUGpmcFA4NVVqbnRBcEVrYzZtNldFY2RvMVRJaU1oN3V6UElHOXJ4MG5tVWFtem5QM3RZM2NtYmEzZVVvZ1lZRk05ZE8tWWViM2FxSUNfM2c4LWEycTM5ZGRPSVNr?oc=5" TargetMode="External" Id="rId117"/><Relationship Type="http://schemas.openxmlformats.org/officeDocument/2006/relationships/hyperlink" Target="https://news.google.com/rss/articles/CBMikAJBVV95cUxQWGYxbjJtM1hTam1JMFMxZXlUaXk1VDltRkVZc0pwelhEbUJEeDNKM2lWVXVEUExUSGJxdDJCaUNTd250a2MwXzVscE1fR2w1N2ktZVAzd3JqRDI2YmJId1JnVU5mX2Ixd3FEUWxNTFltZnlRUUdyWXY5X1JnWFRlQ3RldnJKZTFmenpxVmZRZVVESnAzMEU4eEdFYU8yd0NGYXpYZ01pUldYdnoyWjlXXzBUQk93QmJzSlhtRW9UdzVXTVN6QkluUUk5WkdiVVMybEtVVldsOUhGcXFNb1hHM191QkxWX3dNeUFSdG5ZcWl0NzVXTnlUV0JhMWxaMXoxRW9lNnRla2NxaTRsSW1IU9IBlgJBVV95cUxNVVIyNVUzY2lGS2EtUGJ4ODV5T1NCYldQNXAxd1dJY0dLSTl4bzVDVlNhODRpZlJDMmJqOGhsUHEtTXpwWktvZFdtbTVzaTZsWFk5N3JGNWNTNl9DY0FJdHB6SzdOSkNxNXVrTnFxZjJlZUJFMXhja0wweDV6Ulh5T0N5aDltQ21oTm1GbUxYTGw1OEswZHBTbUUzWWdwTEsyeHllUWlnV040b19HbU9QOVlaZi1pNmRDUm1rQ0g1VjZsR012d3AzX3FkblRBVm5kc1BYX2Y0RkRZWVJNNUhKLWVSQmtLWlg4ZEh0MmdNRUJqRUxHUUxqUUtsd1NKQnNOSllhcmxkeTNxQS1WNVZxZE9KSW4xUQ?oc=5" TargetMode="External" Id="rId118"/><Relationship Type="http://schemas.openxmlformats.org/officeDocument/2006/relationships/hyperlink" Target="https://news.google.com/rss/articles/CBMi0gFBVV95cUxPV193MzZqa1duYVcwVGs1UmdCX3JuTE05QXBZVERzU0Y4Qkgwd19kNUlFdy1LbWVFNll5QlpqTmpacF9ydGFhWGZMVFA3M0Etd1RYa1g3R3E2QVQ1SXhETDhIODM0OG9ZNHpWdHFsZElJN05CcV9vVGFIcW1UQUZKbDdDTmpjRjVpTHpUTGY3a3NQczIwb2VFaFhCOHFCM2FMNm9DMWloeHAwbmtzQm5NcnZWd3pxbGFwR1VjMkFObm1YRWVQVjVoU3d4WVB6V19zakE?oc=5" TargetMode="External" Id="rId119"/><Relationship Type="http://schemas.openxmlformats.org/officeDocument/2006/relationships/hyperlink" Target="https://news.google.com/rss/articles/CBMirwFBVV95cUxPWkFoVnJudVByWHVCbS1fRk5TaDEzV2cwbklGU3hEbFJGM3M0cWhudmtIeVA4YWlfekNicFhyaTdDNHpQbWZiblRiX0RkanFJaVRlZno2QlhOUVNRYWk0RG5DY1I3NDZ5ZHBuQVlrT0t2NEhRcHVuaWUzM0ZubmpmWkxuSWExekZCR0w5RTN3QTZULU5zX1JwQVJvdmxhYmZGN1VLOU8yR1NhSGZKT21r?oc=5" TargetMode="External" Id="rId120"/><Relationship Type="http://schemas.openxmlformats.org/officeDocument/2006/relationships/hyperlink" Target="https://news.google.com/rss/articles/CBMiwwFBVV95cUxQaXNlZmlYVkVyMERnTGRiNjdSVUhUcDQ0QWRQbUlNTExWajBiNUtERGRsblZibkpXRFpyOC1GTVdyTEg1MTZVX2laS21MYUswS29Ub2pPRGR3aXFJVDR5dURYM1dMeDJHU1pNN0FTTkJ1aGh2TGJGVkVSX2tkcXczaDZtRm1xQ25EYkJIdnBxU1RFS3BkYzAtX1N4MmZEeGtYbmpRNjV5OGctUHlmLXhjTzRaUGVlVjNYS2VDOW5PMHBzb2c?oc=5" TargetMode="External" Id="rId121"/><Relationship Type="http://schemas.openxmlformats.org/officeDocument/2006/relationships/hyperlink" Target="https://news.google.com/rss/articles/CBMisgFBVV95cUxOQjVNam4yMXFWbnEzQ0ttOXpNWmtJR2xuMTlBemFzbGViRkUwOVByYzNCUGJVcGxJd3p5eDNWNkh1WG9CeGxfSWN3a09YbnUyRTBxazY2TGpBajZLUnBRZ2V3dHlzWlRHbTh5XzRfdVBTZklpbW1MNlhkWTBwd2ZjLUE3RXNqYlVHWE9hdHZFbG5ZNU94ajM2LUZIMVBoSnV2bHgzRG9wOHBtUzhGRnhwVGtR?oc=5" TargetMode="External" Id="rId122"/><Relationship Type="http://schemas.openxmlformats.org/officeDocument/2006/relationships/hyperlink" Target="https://news.google.com/rss/articles/CBMi3AFBVV95cUxQUzRiZktZNXRkdHoxamJxZzlTQTJMYURYV01memJpSW5fQXJiQmwwNk1pOGVacmpsNWNIaExZbE1jQWxlWTFWdmxxR0swbWhMSWZQZ1dJRGNvZ0FyMDcxOGlEbUM2bXctOG5KcW5TVTFoVWt3VTZzRWtrZzQ4c0dGNDcxUE9ELUk2ck5vN0hXZElEVXhhd2lROVZVd3UwUml4U2xCNmVhVkt4X01ZTC1talB3VF9fMW02dUJLcldLWk5iR2dSOHBGVENXR1E4TXdLQVlvZ0RzVTBPZzR50gHiAUFVX3lxTE5SU3V5TUIxcktuai12Mm5LR3pEZ2J0ZEdIcE1ld2VvT2VJQno0ZVhTOU9YV0hCN3hCUk9Za1Vhbm9jNkY0eUtkUmJVOEYyd1NweTlNYjFILWR0TG52LXJ4SUVRTUhzdE9Naml0UmFCNVVUSUpESDY4UHN0Y0dJM1BMYzRwVlVEdnNyZXhBVEc1X1dQeWJOXzFra1ZYbXkzcHJkejJjeDZyLS1yZ180LUxXYlNVMHVhSGZXcjhoYUJ3eHcydzFCSDhkREF1NjZJMV9jVVlFLVdQcWMwaFhtNk9JWWc?oc=5" TargetMode="External" Id="rId123"/><Relationship Type="http://schemas.openxmlformats.org/officeDocument/2006/relationships/hyperlink" Target="https://news.google.com/rss/articles/CBMihAFBVV95cUxQVTBCYlNyeThHejZrRTVGVG5VTHhVZ0VFUUUybnZDRGtKSERtZ1laVGN1RGN4cWdVMHlQYVFmaElKR0RCbkxwVWtfdjE1OWFQNllYXzJjd01SS3pNZU96UU5GNkFjeDZkcVYxdHotUzYyWm9LOGM1WVRUSGF6YTVWMVluSm8?oc=5" TargetMode="External" Id="rId124"/><Relationship Type="http://schemas.openxmlformats.org/officeDocument/2006/relationships/hyperlink" Target="https://news.google.com/rss/articles/CBMihwFBVV95cUxPTE5xQzJmMk9oR3NOTmNLUFZRYUZkZ1lDZXVoTWt1a0dxaEdVYnBzT0YySXE2ZXZ5VlFER0taX21FVDBudG5PQXY4MWNtZk0zZWl4a2l1clZQUmw4SWlfT21KdDJLTkFMVWtOckwzZmlSRktvQVMyd3dTWVBiVDZNSFFtbjE0cmM?oc=5" TargetMode="External" Id="rId125"/><Relationship Type="http://schemas.openxmlformats.org/officeDocument/2006/relationships/hyperlink" Target="https://news.google.com/rss/articles/CBMihAFBVV95cUxOYnZPOHBWT0JBbGkzbzZ2dl9xOGNDZ0dKSFR4V1YtbENNSm1IaUQwb0xmRkZnd0xFNFZ3bGdoQXNUTERBblFjZ0NfMTg3aS00YVlHY3I0cnFiN2dpem5aS3cxMVRIYzVDV1VxQTFSWGZXWFZFS3VZQ3dFeGpLZE40elB0Qko?oc=5" TargetMode="External" Id="rId126"/><Relationship Type="http://schemas.openxmlformats.org/officeDocument/2006/relationships/hyperlink" Target="https://news.google.com/rss/articles/CBMiygFBVV95cUxQb0pTQ2ZFdTB1dnA5Q2FtZlAyamg4RWtXZlRQMkRJR3ByOTNaTEs4Z2tKMmZRZkpEdzBGcXBaV2steFVDcFdKWkZKcE1oS19CTG04QVpDaFB6dVhfdVN3X1h4SjVzSWdsdENsZkVHclpfUlJ5RjNJTFZ3b2ZQMUhVUmNHdG5nbTB1OS1GVUcxaDBKd3VVb3JjSlJLellHYkpKaUhIXzg5V2E1Tjl4TW80U1Fic2ZSYVF5RnI3Z0FEc0ZVZ3M4dC04SVd3?oc=5" TargetMode="External" Id="rId127"/><Relationship Type="http://schemas.openxmlformats.org/officeDocument/2006/relationships/hyperlink" Target="https://news.google.com/rss/articles/CBMi1gFBVV95cUxQbDYtY0FjTy05eDRrUjJ0YlVHZjNsUW14ZFlaM2p5UmdvcW5JV1FpT3VrUDVVNDVDV2kzVjdieXlCTm1XaFYxWmprU21kYndPNWlmSmVIN0N6cGNiWlE3TzUyUDBobGJUVURBZWdmbjFVRVF1SzBmc2xCSm9jVjJ1TUlmZkc5RENPRDlPLXNSemRLVjBkWUh1WW9VQU95WllKWl9JYzIwSXl3M1hjQ1pZX1h4ZUs1Z192NWxVUl9DV3BhaWpGSGRIcnQ2dHFCdGVqTVQ5VERn?oc=5" TargetMode="External" Id="rId128"/><Relationship Type="http://schemas.openxmlformats.org/officeDocument/2006/relationships/hyperlink" Target="https://news.google.com/rss/articles/CBMitwFBVV95cUxNMDVaazJFSUV2alBkdW9fZ0hROEdaZkdfdVFBdWF3cEFIZ2dBdGgwdzU1VFF6MkFKd0xHTUhUWkxGelZEZnlfajJZM1lSMGR6blR6M3pVTjcwaXNuTnRUQUotcDZzQWFMOXptTGtENHZVTFBUTlg0TzVDaXNfS1dFakpMeWM5SHlYaWVRMS1JazBoeVVYempvNndFVmJpV2FnZ3JuNm02cGNmdV9mX0E3ZjhoeERqMTg?oc=5" TargetMode="External" Id="rId129"/><Relationship Type="http://schemas.openxmlformats.org/officeDocument/2006/relationships/hyperlink" Target="https://news.google.com/rss/articles/CBMiswFBVV95cUxPcmtYR3dlcWdXU1lkZlc2XzJzQUU2N3IwWEZEejd1c3c2Y1dEU2M5Y3hOZWh3aHF0ZUpGY2tvU1lYVEZXbFNRUkl6ampycXh3Y1JZRmh3eDkzTUtqTnhWRnF4VlhZU1FycDdXaVNvWGMxT3ppM2lmVUZiSnYzSGk3QWRLZUdLcnlPYXdZTDZPSVkxOHZLLTFvbXZMR0lsQmNTcXpSWVFmWHc3eTVSNXVsM1ZQbw?oc=5" TargetMode="External" Id="rId130"/><Relationship Type="http://schemas.openxmlformats.org/officeDocument/2006/relationships/hyperlink" Target="https://news.google.com/rss/articles/CBMikwFBVV95cUxQTGY5bk82SXRsTUdRWldyX0FMNE9heHk4NHRjTFBMOVJzcWZYamVaRHpGaVZNZ0s3WV8tMmZUTzVLZlhXZnBsemtZMm1aeXFGZUM2RmM1eEdRdjk3MFNlX0ZIMV9aRktwdHh5cF9CTE1lR0IxMkhUME5femU4Rm45UlBDOVlVdUZsMjZNOGt6YjVmRE0?oc=5" TargetMode="External" Id="rId131"/></Relationships>
</file>

<file path=xl/worksheets/sheet1.xml><?xml version="1.0" encoding="utf-8"?>
<worksheet xmlns="http://schemas.openxmlformats.org/spreadsheetml/2006/main">
  <sheetPr>
    <tabColor rgb="002F4BD8"/>
    <outlinePr summaryBelow="1" summaryRight="1"/>
    <pageSetUpPr fitToPage="1"/>
  </sheetPr>
  <dimension ref="A1:L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SwingScope Momentum Batch 2026-09-28 — 21-Day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Signal 2026-09-28  •  Day 18 of 21  •  Holding  •  Exit ~2026-10-29  •  Updated 23-Oct-2026 17:22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PROGRESS  Day 18/21</t>
        </is>
      </c>
    </row>
    <row r="5" ht="10" customHeight="1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n"/>
      <c r="L5" s="4" t="inlineStr">
        <is>
          <t>86%</t>
        </is>
      </c>
    </row>
    <row r="7">
      <c r="B7" s="7" t="inlineStr">
        <is>
          <t>CURRENT DAY</t>
        </is>
      </c>
      <c r="C7" s="8" t="n"/>
      <c r="E7" s="7" t="inlineStr">
        <is>
          <t>LAST SESSION</t>
        </is>
      </c>
      <c r="F7" s="8" t="n"/>
      <c r="H7" s="7" t="inlineStr">
        <is>
          <t>INVESTED</t>
        </is>
      </c>
      <c r="I7" s="8" t="n"/>
      <c r="K7" s="7" t="inlineStr">
        <is>
          <t>MARKET VALUE</t>
        </is>
      </c>
      <c r="L7" s="8" t="n"/>
    </row>
    <row r="8" ht="26" customHeight="1">
      <c r="B8" s="9" t="inlineStr">
        <is>
          <t>Day 18 / 21</t>
        </is>
      </c>
      <c r="C8" s="10" t="n"/>
      <c r="E8" s="9" t="inlineStr">
        <is>
          <t>2026-10-23</t>
        </is>
      </c>
      <c r="F8" s="10" t="n"/>
      <c r="H8" s="11">
        <f>'Daily Closes'!E16</f>
        <v/>
      </c>
      <c r="I8" s="10" t="n"/>
      <c r="K8" s="11">
        <f>'Daily Closes'!AB16</f>
        <v/>
      </c>
      <c r="L8" s="10" t="n"/>
    </row>
    <row r="9">
      <c r="B9" s="12" t="inlineStr">
        <is>
          <t>Holding</t>
        </is>
      </c>
      <c r="C9" s="10" t="n"/>
      <c r="E9" s="12" t="inlineStr">
        <is>
          <t>Exit ~2026-10-29</t>
        </is>
      </c>
      <c r="F9" s="10" t="n"/>
      <c r="H9" s="12" t="inlineStr">
        <is>
          <t>Qty × entry price</t>
        </is>
      </c>
      <c r="I9" s="10" t="n"/>
      <c r="K9" s="12" t="inlineStr">
        <is>
          <t>At latest close</t>
        </is>
      </c>
      <c r="L9" s="10" t="n"/>
    </row>
    <row r="11">
      <c r="B11" s="7" t="inlineStr">
        <is>
          <t>GROSS P&amp;L</t>
        </is>
      </c>
      <c r="C11" s="8" t="n"/>
      <c r="E11" s="7" t="inlineStr">
        <is>
          <t>GROSS RETURN</t>
        </is>
      </c>
      <c r="F11" s="8" t="n"/>
      <c r="H11" s="7" t="inlineStr">
        <is>
          <t>EST. COSTS</t>
        </is>
      </c>
      <c r="I11" s="8" t="n"/>
      <c r="K11" s="7" t="inlineStr">
        <is>
          <t>NET P&amp;L</t>
        </is>
      </c>
      <c r="L11" s="8" t="n"/>
    </row>
    <row r="12" ht="26" customHeight="1">
      <c r="B12" s="11">
        <f>'Daily Closes'!AD16</f>
        <v/>
      </c>
      <c r="C12" s="10" t="n"/>
      <c r="E12" s="13">
        <f>'Daily Closes'!AC16</f>
        <v/>
      </c>
      <c r="F12" s="10" t="n"/>
      <c r="H12" s="11">
        <f>'Daily Closes'!E16*0.006</f>
        <v/>
      </c>
      <c r="I12" s="10" t="n"/>
      <c r="K12" s="11">
        <f>B12-H12</f>
        <v/>
      </c>
      <c r="L12" s="10" t="n"/>
    </row>
    <row r="13">
      <c r="B13" s="12" t="inlineStr">
        <is>
          <t>Before costs</t>
        </is>
      </c>
      <c r="C13" s="10" t="n"/>
      <c r="E13" s="12" t="inlineStr">
        <is>
          <t>vs entry</t>
        </is>
      </c>
      <c r="F13" s="10" t="n"/>
      <c r="H13" s="12" t="inlineStr">
        <is>
          <t>0.6% round trip</t>
        </is>
      </c>
      <c r="I13" s="10" t="n"/>
      <c r="K13" s="12" t="inlineStr">
        <is>
          <t>After est. costs</t>
        </is>
      </c>
      <c r="L13" s="10" t="n"/>
    </row>
    <row r="15">
      <c r="B15" s="7" t="inlineStr">
        <is>
          <t>NIFTY 50</t>
        </is>
      </c>
      <c r="C15" s="8" t="n"/>
      <c r="E15" s="7" t="inlineStr">
        <is>
          <t>ALPHA vs NIFTY</t>
        </is>
      </c>
      <c r="F15" s="8" t="n"/>
      <c r="H15" s="7" t="inlineStr">
        <is>
          <t>WINNERS / LOSERS</t>
        </is>
      </c>
      <c r="I15" s="8" t="n"/>
      <c r="K15" s="7" t="inlineStr">
        <is>
          <t>MAX DRAWDOWN</t>
        </is>
      </c>
      <c r="L15" s="8" t="n"/>
    </row>
    <row r="16" ht="26" customHeight="1">
      <c r="B16" s="13" t="n">
        <v>-0.007912555832354728</v>
      </c>
      <c r="C16" s="10" t="n"/>
      <c r="E16" s="13" t="n">
        <v>-0.08026075409822657</v>
      </c>
      <c r="F16" s="10" t="n"/>
      <c r="H16" s="9" t="inlineStr">
        <is>
          <t>0 / 10</t>
        </is>
      </c>
      <c r="I16" s="10" t="n"/>
      <c r="K16" s="13" t="n">
        <v>-0.150584720878524</v>
      </c>
      <c r="L16" s="10" t="n"/>
    </row>
    <row r="17">
      <c r="B17" s="12" t="inlineStr">
        <is>
          <t>Same window</t>
        </is>
      </c>
      <c r="C17" s="10" t="n"/>
      <c r="E17" s="12" t="inlineStr">
        <is>
          <t>Gross return − Nifty</t>
        </is>
      </c>
      <c r="F17" s="10" t="n"/>
      <c r="H17" s="12" t="inlineStr">
        <is>
          <t>of 10 stocks</t>
        </is>
      </c>
      <c r="I17" s="10" t="n"/>
      <c r="K17" s="12" t="inlineStr">
        <is>
          <t>Peak-to-trough, portfolio</t>
        </is>
      </c>
      <c r="L17" s="10" t="n"/>
    </row>
    <row r="19">
      <c r="B19" s="14" t="inlineStr">
        <is>
          <t>STOCK LEAGUE TABLE (sorted by return)</t>
        </is>
      </c>
    </row>
    <row r="20">
      <c r="B20" s="15" t="inlineStr">
        <is>
          <t>Symbol</t>
        </is>
      </c>
      <c r="C20" s="15" t="inlineStr">
        <is>
          <t>Qty</t>
        </is>
      </c>
      <c r="D20" s="15" t="inlineStr">
        <is>
          <t>Entry ₹</t>
        </is>
      </c>
      <c r="E20" s="15" t="inlineStr">
        <is>
          <t>Last ₹</t>
        </is>
      </c>
      <c r="F20" s="15" t="inlineStr">
        <is>
          <t>Return %</t>
        </is>
      </c>
      <c r="G20" s="15" t="inlineStr">
        <is>
          <t>P&amp;L ₹</t>
        </is>
      </c>
      <c r="H20" s="15" t="inlineStr">
        <is>
          <t>Max gain %</t>
        </is>
      </c>
      <c r="I20" s="15" t="inlineStr">
        <is>
          <t>Max loss %</t>
        </is>
      </c>
      <c r="J20" s="15" t="inlineStr">
        <is>
          <t>Weight %</t>
        </is>
      </c>
      <c r="K20" s="15" t="inlineStr">
        <is>
          <t>Contrib %</t>
        </is>
      </c>
    </row>
    <row r="21">
      <c r="B21" s="16" t="inlineStr">
        <is>
          <t>LAURUSLABS</t>
        </is>
      </c>
      <c r="C21" s="17" t="n">
        <v>7</v>
      </c>
      <c r="D21" s="18" t="n">
        <v>2020.7</v>
      </c>
      <c r="E21" s="18" t="n">
        <v>1970</v>
      </c>
      <c r="F21" s="19" t="n">
        <v>-0.02509</v>
      </c>
      <c r="G21" s="20" t="n">
        <v>-354.9</v>
      </c>
      <c r="H21" s="19" t="n">
        <v>0.024002</v>
      </c>
      <c r="I21" s="19" t="n">
        <v>-0.02509</v>
      </c>
      <c r="J21" s="21" t="n">
        <v>0.101067</v>
      </c>
      <c r="K21" s="19" t="n">
        <v>-0.002536</v>
      </c>
    </row>
    <row r="22">
      <c r="B22" s="22" t="inlineStr">
        <is>
          <t>ACUTAAS</t>
        </is>
      </c>
      <c r="C22" s="23" t="n">
        <v>4</v>
      </c>
      <c r="D22" s="24" t="n">
        <v>3290</v>
      </c>
      <c r="E22" s="24" t="n">
        <v>3137.7</v>
      </c>
      <c r="F22" s="25" t="n">
        <v>-0.046292</v>
      </c>
      <c r="G22" s="26" t="n">
        <v>-609.2</v>
      </c>
      <c r="H22" s="25" t="n">
        <v>0.004286</v>
      </c>
      <c r="I22" s="25" t="n">
        <v>-0.070912</v>
      </c>
      <c r="J22" s="27" t="n">
        <v>0.09403</v>
      </c>
      <c r="K22" s="25" t="n">
        <v>-0.004353</v>
      </c>
    </row>
    <row r="23">
      <c r="B23" s="16" t="inlineStr">
        <is>
          <t>ATHERENERG</t>
        </is>
      </c>
      <c r="C23" s="17" t="n">
        <v>10</v>
      </c>
      <c r="D23" s="18" t="n">
        <v>1460.2</v>
      </c>
      <c r="E23" s="18" t="n">
        <v>1380</v>
      </c>
      <c r="F23" s="19" t="n">
        <v>-0.054924</v>
      </c>
      <c r="G23" s="20" t="n">
        <v>-802</v>
      </c>
      <c r="H23" s="19" t="n">
        <v>0.03479</v>
      </c>
      <c r="I23" s="19" t="n">
        <v>-0.054924</v>
      </c>
      <c r="J23" s="21" t="n">
        <v>0.104333</v>
      </c>
      <c r="K23" s="19" t="n">
        <v>-0.00573</v>
      </c>
    </row>
    <row r="24">
      <c r="B24" s="22" t="inlineStr">
        <is>
          <t>THANGAMAYL</t>
        </is>
      </c>
      <c r="C24" s="23" t="n">
        <v>2</v>
      </c>
      <c r="D24" s="24" t="n">
        <v>5010</v>
      </c>
      <c r="E24" s="24" t="n">
        <v>4690.5</v>
      </c>
      <c r="F24" s="25" t="n">
        <v>-0.063772</v>
      </c>
      <c r="G24" s="26" t="n">
        <v>-639</v>
      </c>
      <c r="H24" s="25" t="n">
        <v>0.038822</v>
      </c>
      <c r="I24" s="25" t="n">
        <v>-0.063772</v>
      </c>
      <c r="J24" s="27" t="n">
        <v>0.071594</v>
      </c>
      <c r="K24" s="25" t="n">
        <v>-0.004566</v>
      </c>
    </row>
    <row r="25">
      <c r="B25" s="16" t="inlineStr">
        <is>
          <t>DIACABS</t>
        </is>
      </c>
      <c r="C25" s="17" t="n">
        <v>44</v>
      </c>
      <c r="D25" s="18" t="n">
        <v>336.9</v>
      </c>
      <c r="E25" s="18" t="n">
        <v>315.05</v>
      </c>
      <c r="F25" s="19" t="n">
        <v>-0.064856</v>
      </c>
      <c r="G25" s="20" t="n">
        <v>-961.4</v>
      </c>
      <c r="H25" s="19" t="n">
        <v>0.130751</v>
      </c>
      <c r="I25" s="19" t="n">
        <v>-0.064856</v>
      </c>
      <c r="J25" s="21" t="n">
        <v>0.105917</v>
      </c>
      <c r="K25" s="19" t="n">
        <v>-0.006869</v>
      </c>
    </row>
    <row r="26">
      <c r="B26" s="22" t="inlineStr">
        <is>
          <t>E2E</t>
        </is>
      </c>
      <c r="C26" s="23" t="n">
        <v>23</v>
      </c>
      <c r="D26" s="24" t="n">
        <v>619.55</v>
      </c>
      <c r="E26" s="24" t="n">
        <v>566.05</v>
      </c>
      <c r="F26" s="25" t="n">
        <v>-0.086353</v>
      </c>
      <c r="G26" s="26" t="n">
        <v>-1230.5</v>
      </c>
      <c r="H26" s="25" t="n">
        <v>0.207812</v>
      </c>
      <c r="I26" s="25" t="n">
        <v>-0.086353</v>
      </c>
      <c r="J26" s="27" t="n">
        <v>0.101816</v>
      </c>
      <c r="K26" s="25" t="n">
        <v>-0.008791999999999999</v>
      </c>
    </row>
    <row r="27">
      <c r="B27" s="16" t="inlineStr">
        <is>
          <t>TDPOWERSYS</t>
        </is>
      </c>
      <c r="C27" s="17" t="n">
        <v>20</v>
      </c>
      <c r="D27" s="18" t="n">
        <v>719</v>
      </c>
      <c r="E27" s="18" t="n">
        <v>639.55</v>
      </c>
      <c r="F27" s="19" t="n">
        <v>-0.110501</v>
      </c>
      <c r="G27" s="20" t="n">
        <v>-1589</v>
      </c>
      <c r="H27" s="19" t="n">
        <v>0.148331</v>
      </c>
      <c r="I27" s="19" t="n">
        <v>-0.110501</v>
      </c>
      <c r="J27" s="21" t="n">
        <v>0.102747</v>
      </c>
      <c r="K27" s="19" t="n">
        <v>-0.011354</v>
      </c>
    </row>
    <row r="28">
      <c r="B28" s="22" t="inlineStr">
        <is>
          <t>AEROFLEX</t>
        </is>
      </c>
      <c r="C28" s="23" t="n">
        <v>29</v>
      </c>
      <c r="D28" s="24" t="n">
        <v>511.3</v>
      </c>
      <c r="E28" s="24" t="n">
        <v>451.3</v>
      </c>
      <c r="F28" s="25" t="n">
        <v>-0.117348</v>
      </c>
      <c r="G28" s="26" t="n">
        <v>-1740</v>
      </c>
      <c r="H28" s="25" t="n">
        <v>0.112263</v>
      </c>
      <c r="I28" s="25" t="n">
        <v>-0.117348</v>
      </c>
      <c r="J28" s="27" t="n">
        <v>0.105946</v>
      </c>
      <c r="K28" s="25" t="n">
        <v>-0.012433</v>
      </c>
    </row>
    <row r="29">
      <c r="B29" s="16" t="inlineStr">
        <is>
          <t>RRKABEL</t>
        </is>
      </c>
      <c r="C29" s="17" t="n">
        <v>6</v>
      </c>
      <c r="D29" s="18" t="n">
        <v>2459.8</v>
      </c>
      <c r="E29" s="18" t="n">
        <v>2140</v>
      </c>
      <c r="F29" s="19" t="n">
        <v>-0.130011</v>
      </c>
      <c r="G29" s="20" t="n">
        <v>-1918.8</v>
      </c>
      <c r="H29" s="19" t="n">
        <v>0.134117</v>
      </c>
      <c r="I29" s="19" t="n">
        <v>-0.130011</v>
      </c>
      <c r="J29" s="21" t="n">
        <v>0.105454</v>
      </c>
      <c r="K29" s="19" t="n">
        <v>-0.01371</v>
      </c>
    </row>
    <row r="30">
      <c r="B30" s="22" t="inlineStr">
        <is>
          <t>KIRLOSENG</t>
        </is>
      </c>
      <c r="C30" s="23" t="n">
        <v>7</v>
      </c>
      <c r="D30" s="24" t="n">
        <v>2141.2</v>
      </c>
      <c r="E30" s="24" t="n">
        <v>1784.7</v>
      </c>
      <c r="F30" s="25" t="n">
        <v>-0.166495</v>
      </c>
      <c r="G30" s="26" t="n">
        <v>-2495.5</v>
      </c>
      <c r="H30" s="25" t="n">
        <v>0.121801</v>
      </c>
      <c r="I30" s="25" t="n">
        <v>-0.166495</v>
      </c>
      <c r="J30" s="27" t="n">
        <v>0.107094</v>
      </c>
      <c r="K30" s="25" t="n">
        <v>-0.017831</v>
      </c>
    </row>
  </sheetData>
  <mergeCells count="38">
    <mergeCell ref="K16:L16"/>
    <mergeCell ref="E12:F12"/>
    <mergeCell ref="B16:C16"/>
    <mergeCell ref="B7:C7"/>
    <mergeCell ref="K15:L15"/>
    <mergeCell ref="K9:L9"/>
    <mergeCell ref="E17:F17"/>
    <mergeCell ref="H9:I9"/>
    <mergeCell ref="E8:F8"/>
    <mergeCell ref="B12:C12"/>
    <mergeCell ref="A2:L2"/>
    <mergeCell ref="K11:L11"/>
    <mergeCell ref="B11:C11"/>
    <mergeCell ref="E13:F13"/>
    <mergeCell ref="B17:C17"/>
    <mergeCell ref="E9:F9"/>
    <mergeCell ref="B8:C8"/>
    <mergeCell ref="H17:I17"/>
    <mergeCell ref="B13:C13"/>
    <mergeCell ref="H11:I11"/>
    <mergeCell ref="K12:L12"/>
    <mergeCell ref="E15:F15"/>
    <mergeCell ref="K8:L8"/>
    <mergeCell ref="H16:I16"/>
    <mergeCell ref="H7:I7"/>
    <mergeCell ref="E11:F11"/>
    <mergeCell ref="B9:C9"/>
    <mergeCell ref="H13:I13"/>
    <mergeCell ref="K17:L17"/>
    <mergeCell ref="K7:L7"/>
    <mergeCell ref="H12:I12"/>
    <mergeCell ref="B15:C15"/>
    <mergeCell ref="E16:F16"/>
    <mergeCell ref="E7:F7"/>
    <mergeCell ref="A1:L1"/>
    <mergeCell ref="H15:I15"/>
    <mergeCell ref="H8:I8"/>
    <mergeCell ref="K13:L13"/>
  </mergeCells>
  <conditionalFormatting sqref="B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1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1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E1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K1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21:F30">
    <cfRule type="cellIs" priority="13" operator="greaterThan" dxfId="2">
      <formula>0</formula>
    </cfRule>
    <cfRule type="cellIs" priority="14" operator="lessThan" dxfId="3">
      <formula>0</formula>
    </cfRule>
  </conditionalFormatting>
  <conditionalFormatting sqref="G21:G30">
    <cfRule type="cellIs" priority="15" operator="greaterThan" dxfId="2">
      <formula>0</formula>
    </cfRule>
    <cfRule type="cellIs" priority="16" operator="lessThan" dxfId="3">
      <formula>0</formula>
    </cfRule>
    <cfRule type="dataBar" priority="23">
      <dataBar showValue="1">
        <cfvo type="min"/>
        <cfvo type="max"/>
        <color rgb="005B8DEF"/>
      </dataBar>
    </cfRule>
  </conditionalFormatting>
  <conditionalFormatting sqref="H21:H30">
    <cfRule type="cellIs" priority="17" operator="greaterThan" dxfId="2">
      <formula>0</formula>
    </cfRule>
    <cfRule type="cellIs" priority="18" operator="lessThan" dxfId="3">
      <formula>0</formula>
    </cfRule>
  </conditionalFormatting>
  <conditionalFormatting sqref="I21:I30">
    <cfRule type="cellIs" priority="19" operator="greaterThan" dxfId="2">
      <formula>0</formula>
    </cfRule>
    <cfRule type="cellIs" priority="20" operator="lessThan" dxfId="3">
      <formula>0</formula>
    </cfRule>
  </conditionalFormatting>
  <conditionalFormatting sqref="K21:K30">
    <cfRule type="cellIs" priority="21" operator="greaterThan" dxfId="2">
      <formula>0</formula>
    </cfRule>
    <cfRule type="cellIs" priority="22" operator="lessThan" dxfId="3">
      <formula>0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AF16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6" customWidth="1" min="4" max="4"/>
    <col width="10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11" customWidth="1" min="28" max="28"/>
    <col width="10" customWidth="1" min="29" max="29"/>
    <col width="11" customWidth="1" min="30" max="30"/>
    <col width="10" customWidth="1" min="31" max="31"/>
    <col width="9" customWidth="1" min="32" max="32"/>
  </cols>
  <sheetData>
    <row r="1" ht="30" customHeight="1">
      <c r="A1" s="1" t="inlineStr">
        <is>
          <t>SwingScope Batch 2026-09-28 — Daily Close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8" customHeight="1">
      <c r="A2" s="3" t="inlineStr">
        <is>
          <t>Signal 2026-09-28  •  Day 18 of 21  •  Holding  •  Exit ~2026-10-29  •  Updated 23-Oct-2026 17:22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28" t="inlineStr">
        <is>
          <t>Closes from Day 0 (signal) to Day 21 (exit). Highlighted column = latest session. Grey = future session (projected date).</t>
        </is>
      </c>
    </row>
    <row r="4" ht="20" customHeight="1">
      <c r="A4" s="15" t="inlineStr">
        <is>
          <t>#</t>
        </is>
      </c>
      <c r="B4" s="15" t="inlineStr">
        <is>
          <t>Symbol</t>
        </is>
      </c>
      <c r="C4" s="15" t="inlineStr">
        <is>
          <t>ISIN</t>
        </is>
      </c>
      <c r="D4" s="15" t="inlineStr">
        <is>
          <t>Qty</t>
        </is>
      </c>
      <c r="E4" s="15" t="inlineStr">
        <is>
          <t>Entry ₹</t>
        </is>
      </c>
      <c r="F4" s="29" t="inlineStr">
        <is>
          <t>Day 0</t>
        </is>
      </c>
      <c r="G4" s="29" t="inlineStr">
        <is>
          <t>Day 1</t>
        </is>
      </c>
      <c r="H4" s="15" t="inlineStr">
        <is>
          <t>Day 2</t>
        </is>
      </c>
      <c r="I4" s="15" t="inlineStr">
        <is>
          <t>Day 3</t>
        </is>
      </c>
      <c r="J4" s="15" t="inlineStr">
        <is>
          <t>Day 4</t>
        </is>
      </c>
      <c r="K4" s="15" t="inlineStr">
        <is>
          <t>Day 5</t>
        </is>
      </c>
      <c r="L4" s="15" t="inlineStr">
        <is>
          <t>Day 6</t>
        </is>
      </c>
      <c r="M4" s="15" t="inlineStr">
        <is>
          <t>Day 7</t>
        </is>
      </c>
      <c r="N4" s="15" t="inlineStr">
        <is>
          <t>Day 8</t>
        </is>
      </c>
      <c r="O4" s="15" t="inlineStr">
        <is>
          <t>Day 9</t>
        </is>
      </c>
      <c r="P4" s="15" t="inlineStr">
        <is>
          <t>Day 10</t>
        </is>
      </c>
      <c r="Q4" s="15" t="inlineStr">
        <is>
          <t>Day 11</t>
        </is>
      </c>
      <c r="R4" s="15" t="inlineStr">
        <is>
          <t>Day 12</t>
        </is>
      </c>
      <c r="S4" s="15" t="inlineStr">
        <is>
          <t>Day 13</t>
        </is>
      </c>
      <c r="T4" s="15" t="inlineStr">
        <is>
          <t>Day 14</t>
        </is>
      </c>
      <c r="U4" s="15" t="inlineStr">
        <is>
          <t>Day 15</t>
        </is>
      </c>
      <c r="V4" s="15" t="inlineStr">
        <is>
          <t>Day 16</t>
        </is>
      </c>
      <c r="W4" s="15" t="inlineStr">
        <is>
          <t>Day 17</t>
        </is>
      </c>
      <c r="X4" s="30" t="inlineStr">
        <is>
          <t>Day 18</t>
        </is>
      </c>
      <c r="Y4" s="15" t="inlineStr">
        <is>
          <t>Day 19</t>
        </is>
      </c>
      <c r="Z4" s="15" t="inlineStr">
        <is>
          <t>Day 20</t>
        </is>
      </c>
      <c r="AA4" s="29" t="inlineStr">
        <is>
          <t>Day 21</t>
        </is>
      </c>
      <c r="AB4" s="31" t="inlineStr">
        <is>
          <t>Last Close</t>
        </is>
      </c>
      <c r="AC4" s="31" t="inlineStr">
        <is>
          <t>Return %</t>
        </is>
      </c>
      <c r="AD4" s="31" t="inlineStr">
        <is>
          <t>P&amp;L ₹</t>
        </is>
      </c>
      <c r="AE4" s="31" t="inlineStr">
        <is>
          <t>Day Chg %</t>
        </is>
      </c>
      <c r="AF4" s="31" t="inlineStr">
        <is>
          <t>Trend</t>
        </is>
      </c>
    </row>
    <row r="5">
      <c r="A5" s="32" t="n"/>
      <c r="B5" s="32" t="n"/>
      <c r="C5" s="32" t="n"/>
      <c r="D5" s="32" t="n"/>
      <c r="E5" s="32" t="n"/>
      <c r="F5" s="33" t="inlineStr">
        <is>
          <t>28-Sep</t>
        </is>
      </c>
      <c r="G5" s="33" t="inlineStr">
        <is>
          <t>29-Sep</t>
        </is>
      </c>
      <c r="H5" s="33" t="inlineStr">
        <is>
          <t>30-Sep</t>
        </is>
      </c>
      <c r="I5" s="33" t="inlineStr">
        <is>
          <t>01-Oct</t>
        </is>
      </c>
      <c r="J5" s="33" t="inlineStr">
        <is>
          <t>02-Oct</t>
        </is>
      </c>
      <c r="K5" s="33" t="inlineStr">
        <is>
          <t>05-Oct</t>
        </is>
      </c>
      <c r="L5" s="33" t="inlineStr">
        <is>
          <t>06-Oct</t>
        </is>
      </c>
      <c r="M5" s="33" t="inlineStr">
        <is>
          <t>07-Oct</t>
        </is>
      </c>
      <c r="N5" s="33" t="inlineStr">
        <is>
          <t>08-Oct</t>
        </is>
      </c>
      <c r="O5" s="33" t="inlineStr">
        <is>
          <t>09-Oct</t>
        </is>
      </c>
      <c r="P5" s="33" t="inlineStr">
        <is>
          <t>12-Oct</t>
        </is>
      </c>
      <c r="Q5" s="33" t="inlineStr">
        <is>
          <t>13-Oct</t>
        </is>
      </c>
      <c r="R5" s="33" t="inlineStr">
        <is>
          <t>14-Oct</t>
        </is>
      </c>
      <c r="S5" s="33" t="inlineStr">
        <is>
          <t>15-Oct</t>
        </is>
      </c>
      <c r="T5" s="33" t="inlineStr">
        <is>
          <t>16-Oct</t>
        </is>
      </c>
      <c r="U5" s="33" t="inlineStr">
        <is>
          <t>19-Oct</t>
        </is>
      </c>
      <c r="V5" s="33" t="inlineStr">
        <is>
          <t>21-Oct</t>
        </is>
      </c>
      <c r="W5" s="33" t="inlineStr">
        <is>
          <t>22-Oct</t>
        </is>
      </c>
      <c r="X5" s="33" t="inlineStr">
        <is>
          <t>23-Oct</t>
        </is>
      </c>
      <c r="Y5" s="34" t="inlineStr">
        <is>
          <t>27-Oct (p)</t>
        </is>
      </c>
      <c r="Z5" s="34" t="inlineStr">
        <is>
          <t>28-Oct (p)</t>
        </is>
      </c>
      <c r="AA5" s="34" t="inlineStr">
        <is>
          <t>29-Oct (p)</t>
        </is>
      </c>
      <c r="AB5" s="32" t="n"/>
      <c r="AC5" s="32" t="n"/>
      <c r="AD5" s="32" t="n"/>
      <c r="AE5" s="32" t="n"/>
      <c r="AF5" s="32" t="n"/>
    </row>
    <row r="6">
      <c r="A6" s="35" t="n">
        <v>1</v>
      </c>
      <c r="B6" s="16" t="inlineStr">
        <is>
          <t>TDPOWERSYS</t>
        </is>
      </c>
      <c r="C6" s="36" t="inlineStr">
        <is>
          <t>INE419M01035</t>
        </is>
      </c>
      <c r="D6" s="17" t="n">
        <v>20</v>
      </c>
      <c r="E6" s="37" t="n">
        <v>719</v>
      </c>
      <c r="F6" s="18" t="n">
        <v>722</v>
      </c>
      <c r="G6" s="18" t="n">
        <v>777.35</v>
      </c>
      <c r="H6" s="18" t="n">
        <v>786.05</v>
      </c>
      <c r="I6" s="18" t="n">
        <v>792.15</v>
      </c>
      <c r="J6" s="18" t="n">
        <v>792.15</v>
      </c>
      <c r="K6" s="18" t="n">
        <v>812.9</v>
      </c>
      <c r="L6" s="18" t="n">
        <v>816</v>
      </c>
      <c r="M6" s="18" t="n">
        <v>821.1</v>
      </c>
      <c r="N6" s="18" t="n">
        <v>793.5</v>
      </c>
      <c r="O6" s="18" t="n">
        <v>793.75</v>
      </c>
      <c r="P6" s="18" t="n">
        <v>825.65</v>
      </c>
      <c r="Q6" s="18" t="n">
        <v>797.85</v>
      </c>
      <c r="R6" s="18" t="n">
        <v>783.7</v>
      </c>
      <c r="S6" s="18" t="n">
        <v>734.75</v>
      </c>
      <c r="T6" s="18" t="n">
        <v>735.15</v>
      </c>
      <c r="U6" s="18" t="n">
        <v>737</v>
      </c>
      <c r="V6" s="18" t="n">
        <v>689.35</v>
      </c>
      <c r="W6" s="18" t="n">
        <v>673.4</v>
      </c>
      <c r="X6" s="38" t="n">
        <v>639.55</v>
      </c>
      <c r="Y6" s="39" t="n"/>
      <c r="Z6" s="39" t="n"/>
      <c r="AA6" s="39" t="n"/>
      <c r="AB6" s="37">
        <f>LOOKUP(2,1/(F6:AA6&lt;&gt;""),F6:AA6)</f>
        <v/>
      </c>
      <c r="AC6" s="40">
        <f>AB6/E6-1</f>
        <v/>
      </c>
      <c r="AD6" s="41">
        <f>D6*(AB6-E6)</f>
        <v/>
      </c>
      <c r="AE6" s="19">
        <f>IFERROR(X6/W6-1,0)</f>
        <v/>
      </c>
      <c r="AF6" s="35">
        <f>IF(AC6&gt;0,"▲ Up",IF(AC6&lt;0,"▼ Down","■ Flat"))</f>
        <v/>
      </c>
    </row>
    <row r="7">
      <c r="A7" s="42" t="n">
        <v>2</v>
      </c>
      <c r="B7" s="22" t="inlineStr">
        <is>
          <t>AEROFLEX</t>
        </is>
      </c>
      <c r="C7" s="43" t="inlineStr">
        <is>
          <t>INE024001021</t>
        </is>
      </c>
      <c r="D7" s="23" t="n">
        <v>29</v>
      </c>
      <c r="E7" s="44" t="n">
        <v>511.3</v>
      </c>
      <c r="F7" s="24" t="n">
        <v>513.4</v>
      </c>
      <c r="G7" s="24" t="n">
        <v>539.6</v>
      </c>
      <c r="H7" s="24" t="n">
        <v>536.6</v>
      </c>
      <c r="I7" s="24" t="n">
        <v>521.35</v>
      </c>
      <c r="J7" s="24" t="n">
        <v>521.35</v>
      </c>
      <c r="K7" s="24" t="n">
        <v>544.35</v>
      </c>
      <c r="L7" s="24" t="n">
        <v>560.75</v>
      </c>
      <c r="M7" s="24" t="n">
        <v>563.85</v>
      </c>
      <c r="N7" s="24" t="n">
        <v>529</v>
      </c>
      <c r="O7" s="24" t="n">
        <v>520.5</v>
      </c>
      <c r="P7" s="24" t="n">
        <v>567.9</v>
      </c>
      <c r="Q7" s="24" t="n">
        <v>557.6</v>
      </c>
      <c r="R7" s="24" t="n">
        <v>568.7</v>
      </c>
      <c r="S7" s="24" t="n">
        <v>510.95</v>
      </c>
      <c r="T7" s="24" t="n">
        <v>525.8</v>
      </c>
      <c r="U7" s="24" t="n">
        <v>505.2</v>
      </c>
      <c r="V7" s="24" t="n">
        <v>488.95</v>
      </c>
      <c r="W7" s="24" t="n">
        <v>479.45</v>
      </c>
      <c r="X7" s="38" t="n">
        <v>451.3</v>
      </c>
      <c r="Y7" s="39" t="n"/>
      <c r="Z7" s="39" t="n"/>
      <c r="AA7" s="39" t="n"/>
      <c r="AB7" s="37">
        <f>LOOKUP(2,1/(F7:AA7&lt;&gt;""),F7:AA7)</f>
        <v/>
      </c>
      <c r="AC7" s="40">
        <f>AB7/E7-1</f>
        <v/>
      </c>
      <c r="AD7" s="41">
        <f>D7*(AB7-E7)</f>
        <v/>
      </c>
      <c r="AE7" s="19">
        <f>IFERROR(X7/W7-1,0)</f>
        <v/>
      </c>
      <c r="AF7" s="35">
        <f>IF(AC7&gt;0,"▲ Up",IF(AC7&lt;0,"▼ Down","■ Flat"))</f>
        <v/>
      </c>
    </row>
    <row r="8">
      <c r="A8" s="35" t="n">
        <v>3</v>
      </c>
      <c r="B8" s="16" t="inlineStr">
        <is>
          <t>ATHERENERG</t>
        </is>
      </c>
      <c r="C8" s="36" t="inlineStr">
        <is>
          <t>INE0LEZ01016</t>
        </is>
      </c>
      <c r="D8" s="17" t="n">
        <v>10</v>
      </c>
      <c r="E8" s="37" t="n">
        <v>1460.2</v>
      </c>
      <c r="F8" s="18" t="n">
        <v>1454.9</v>
      </c>
      <c r="G8" s="18" t="n">
        <v>1407</v>
      </c>
      <c r="H8" s="18" t="n">
        <v>1425</v>
      </c>
      <c r="I8" s="18" t="n">
        <v>1406.1</v>
      </c>
      <c r="J8" s="18" t="n">
        <v>1406.1</v>
      </c>
      <c r="K8" s="18" t="n">
        <v>1409.9</v>
      </c>
      <c r="L8" s="18" t="n">
        <v>1446</v>
      </c>
      <c r="M8" s="18" t="n">
        <v>1455</v>
      </c>
      <c r="N8" s="18" t="n">
        <v>1406</v>
      </c>
      <c r="O8" s="18" t="n">
        <v>1434.4</v>
      </c>
      <c r="P8" s="18" t="n">
        <v>1511</v>
      </c>
      <c r="Q8" s="18" t="n">
        <v>1494.9</v>
      </c>
      <c r="R8" s="18" t="n">
        <v>1467</v>
      </c>
      <c r="S8" s="18" t="n">
        <v>1470</v>
      </c>
      <c r="T8" s="18" t="n">
        <v>1470</v>
      </c>
      <c r="U8" s="18" t="n">
        <v>1459</v>
      </c>
      <c r="V8" s="18" t="n">
        <v>1447.2</v>
      </c>
      <c r="W8" s="18" t="n">
        <v>1425.3</v>
      </c>
      <c r="X8" s="38" t="n">
        <v>1380</v>
      </c>
      <c r="Y8" s="39" t="n"/>
      <c r="Z8" s="39" t="n"/>
      <c r="AA8" s="39" t="n"/>
      <c r="AB8" s="37">
        <f>LOOKUP(2,1/(F8:AA8&lt;&gt;""),F8:AA8)</f>
        <v/>
      </c>
      <c r="AC8" s="40">
        <f>AB8/E8-1</f>
        <v/>
      </c>
      <c r="AD8" s="41">
        <f>D8*(AB8-E8)</f>
        <v/>
      </c>
      <c r="AE8" s="19">
        <f>IFERROR(X8/W8-1,0)</f>
        <v/>
      </c>
      <c r="AF8" s="35">
        <f>IF(AC8&gt;0,"▲ Up",IF(AC8&lt;0,"▼ Down","■ Flat"))</f>
        <v/>
      </c>
    </row>
    <row r="9">
      <c r="A9" s="42" t="n">
        <v>4</v>
      </c>
      <c r="B9" s="22" t="inlineStr">
        <is>
          <t>THANGAMAYL</t>
        </is>
      </c>
      <c r="C9" s="43" t="inlineStr">
        <is>
          <t>INE085J01014</t>
        </is>
      </c>
      <c r="D9" s="23" t="n">
        <v>2</v>
      </c>
      <c r="E9" s="44" t="n">
        <v>5010</v>
      </c>
      <c r="F9" s="24" t="n">
        <v>5011.5</v>
      </c>
      <c r="G9" s="24" t="n">
        <v>5204.5</v>
      </c>
      <c r="H9" s="24" t="n">
        <v>5062</v>
      </c>
      <c r="I9" s="24" t="n">
        <v>4861</v>
      </c>
      <c r="J9" s="24" t="n">
        <v>4861</v>
      </c>
      <c r="K9" s="24" t="n">
        <v>4747</v>
      </c>
      <c r="L9" s="24" t="n">
        <v>4758.5</v>
      </c>
      <c r="M9" s="24" t="n">
        <v>4803</v>
      </c>
      <c r="N9" s="24" t="n">
        <v>4810.5</v>
      </c>
      <c r="O9" s="24" t="n">
        <v>4889.5</v>
      </c>
      <c r="P9" s="24" t="n">
        <v>4890.5</v>
      </c>
      <c r="Q9" s="24" t="n">
        <v>4900.5</v>
      </c>
      <c r="R9" s="24" t="n">
        <v>4849.5</v>
      </c>
      <c r="S9" s="24" t="n">
        <v>4791</v>
      </c>
      <c r="T9" s="24" t="n">
        <v>5098</v>
      </c>
      <c r="U9" s="24" t="n">
        <v>5017.5</v>
      </c>
      <c r="V9" s="24" t="n">
        <v>4860.5</v>
      </c>
      <c r="W9" s="24" t="n">
        <v>4782.5</v>
      </c>
      <c r="X9" s="38" t="n">
        <v>4690.5</v>
      </c>
      <c r="Y9" s="39" t="n"/>
      <c r="Z9" s="39" t="n"/>
      <c r="AA9" s="39" t="n"/>
      <c r="AB9" s="37">
        <f>LOOKUP(2,1/(F9:AA9&lt;&gt;""),F9:AA9)</f>
        <v/>
      </c>
      <c r="AC9" s="40">
        <f>AB9/E9-1</f>
        <v/>
      </c>
      <c r="AD9" s="41">
        <f>D9*(AB9-E9)</f>
        <v/>
      </c>
      <c r="AE9" s="19">
        <f>IFERROR(X9/W9-1,0)</f>
        <v/>
      </c>
      <c r="AF9" s="35">
        <f>IF(AC9&gt;0,"▲ Up",IF(AC9&lt;0,"▼ Down","■ Flat"))</f>
        <v/>
      </c>
    </row>
    <row r="10">
      <c r="A10" s="35" t="n">
        <v>5</v>
      </c>
      <c r="B10" s="16" t="inlineStr">
        <is>
          <t>RRKABEL</t>
        </is>
      </c>
      <c r="C10" s="36" t="inlineStr">
        <is>
          <t>INE777K01022</t>
        </is>
      </c>
      <c r="D10" s="17" t="n">
        <v>6</v>
      </c>
      <c r="E10" s="37" t="n">
        <v>2459.8</v>
      </c>
      <c r="F10" s="18" t="n">
        <v>2459.8</v>
      </c>
      <c r="G10" s="18" t="n">
        <v>2523.2</v>
      </c>
      <c r="H10" s="18" t="n">
        <v>2518.6</v>
      </c>
      <c r="I10" s="18" t="n">
        <v>2518.2</v>
      </c>
      <c r="J10" s="18" t="n">
        <v>2518.2</v>
      </c>
      <c r="K10" s="18" t="n">
        <v>2648</v>
      </c>
      <c r="L10" s="18" t="n">
        <v>2789.7</v>
      </c>
      <c r="M10" s="18" t="n">
        <v>2722.5</v>
      </c>
      <c r="N10" s="18" t="n">
        <v>2696.4</v>
      </c>
      <c r="O10" s="18" t="n">
        <v>2705.6</v>
      </c>
      <c r="P10" s="18" t="n">
        <v>2721.5</v>
      </c>
      <c r="Q10" s="18" t="n">
        <v>2614.2</v>
      </c>
      <c r="R10" s="18" t="n">
        <v>2664.1</v>
      </c>
      <c r="S10" s="18" t="n">
        <v>2603.9</v>
      </c>
      <c r="T10" s="18" t="n">
        <v>2388</v>
      </c>
      <c r="U10" s="18" t="n">
        <v>2387.8</v>
      </c>
      <c r="V10" s="18" t="n">
        <v>2327.8</v>
      </c>
      <c r="W10" s="18" t="n">
        <v>2263.1</v>
      </c>
      <c r="X10" s="38" t="n">
        <v>2140</v>
      </c>
      <c r="Y10" s="39" t="n"/>
      <c r="Z10" s="39" t="n"/>
      <c r="AA10" s="39" t="n"/>
      <c r="AB10" s="37">
        <f>LOOKUP(2,1/(F10:AA10&lt;&gt;""),F10:AA10)</f>
        <v/>
      </c>
      <c r="AC10" s="40">
        <f>AB10/E10-1</f>
        <v/>
      </c>
      <c r="AD10" s="41">
        <f>D10*(AB10-E10)</f>
        <v/>
      </c>
      <c r="AE10" s="19">
        <f>IFERROR(X10/W10-1,0)</f>
        <v/>
      </c>
      <c r="AF10" s="35">
        <f>IF(AC10&gt;0,"▲ Up",IF(AC10&lt;0,"▼ Down","■ Flat"))</f>
        <v/>
      </c>
    </row>
    <row r="11">
      <c r="A11" s="42" t="n">
        <v>6</v>
      </c>
      <c r="B11" s="22" t="inlineStr">
        <is>
          <t>ACUTAAS</t>
        </is>
      </c>
      <c r="C11" s="43" t="inlineStr">
        <is>
          <t>INE00FF01025</t>
        </is>
      </c>
      <c r="D11" s="23" t="n">
        <v>4</v>
      </c>
      <c r="E11" s="44" t="n">
        <v>3290</v>
      </c>
      <c r="F11" s="24" t="n">
        <v>3214.4</v>
      </c>
      <c r="G11" s="24" t="n">
        <v>3304.1</v>
      </c>
      <c r="H11" s="24" t="n">
        <v>3279.4</v>
      </c>
      <c r="I11" s="24" t="n">
        <v>3196.5</v>
      </c>
      <c r="J11" s="24" t="n">
        <v>3196.5</v>
      </c>
      <c r="K11" s="24" t="n">
        <v>3122.2</v>
      </c>
      <c r="L11" s="24" t="n">
        <v>3156.7</v>
      </c>
      <c r="M11" s="24" t="n">
        <v>3174.2</v>
      </c>
      <c r="N11" s="24" t="n">
        <v>3056.7</v>
      </c>
      <c r="O11" s="24" t="n">
        <v>3160.6</v>
      </c>
      <c r="P11" s="24" t="n">
        <v>3144.1</v>
      </c>
      <c r="Q11" s="24" t="n">
        <v>3176.7</v>
      </c>
      <c r="R11" s="24" t="n">
        <v>3160.5</v>
      </c>
      <c r="S11" s="24" t="n">
        <v>3132.5</v>
      </c>
      <c r="T11" s="24" t="n">
        <v>3206</v>
      </c>
      <c r="U11" s="24" t="n">
        <v>3253.4</v>
      </c>
      <c r="V11" s="24" t="n">
        <v>3152.4</v>
      </c>
      <c r="W11" s="24" t="n">
        <v>3215.3</v>
      </c>
      <c r="X11" s="38" t="n">
        <v>3137.7</v>
      </c>
      <c r="Y11" s="39" t="n"/>
      <c r="Z11" s="39" t="n"/>
      <c r="AA11" s="39" t="n"/>
      <c r="AB11" s="37">
        <f>LOOKUP(2,1/(F11:AA11&lt;&gt;""),F11:AA11)</f>
        <v/>
      </c>
      <c r="AC11" s="40">
        <f>AB11/E11-1</f>
        <v/>
      </c>
      <c r="AD11" s="41">
        <f>D11*(AB11-E11)</f>
        <v/>
      </c>
      <c r="AE11" s="19">
        <f>IFERROR(X11/W11-1,0)</f>
        <v/>
      </c>
      <c r="AF11" s="35">
        <f>IF(AC11&gt;0,"▲ Up",IF(AC11&lt;0,"▼ Down","■ Flat"))</f>
        <v/>
      </c>
    </row>
    <row r="12">
      <c r="A12" s="35" t="n">
        <v>7</v>
      </c>
      <c r="B12" s="16" t="inlineStr">
        <is>
          <t>DIACABS</t>
        </is>
      </c>
      <c r="C12" s="36" t="inlineStr">
        <is>
          <t>INE989C01038</t>
        </is>
      </c>
      <c r="D12" s="17" t="n">
        <v>44</v>
      </c>
      <c r="E12" s="37" t="n">
        <v>336.9</v>
      </c>
      <c r="F12" s="18" t="n">
        <v>339.25</v>
      </c>
      <c r="G12" s="18" t="n">
        <v>352.05</v>
      </c>
      <c r="H12" s="18" t="n">
        <v>354.2</v>
      </c>
      <c r="I12" s="18" t="n">
        <v>345</v>
      </c>
      <c r="J12" s="18" t="n">
        <v>345</v>
      </c>
      <c r="K12" s="18" t="n">
        <v>350.8</v>
      </c>
      <c r="L12" s="18" t="n">
        <v>368.3</v>
      </c>
      <c r="M12" s="18" t="n">
        <v>369.15</v>
      </c>
      <c r="N12" s="18" t="n">
        <v>371.9</v>
      </c>
      <c r="O12" s="18" t="n">
        <v>380.95</v>
      </c>
      <c r="P12" s="18" t="n">
        <v>379.7</v>
      </c>
      <c r="Q12" s="18" t="n">
        <v>377.55</v>
      </c>
      <c r="R12" s="18" t="n">
        <v>378.75</v>
      </c>
      <c r="S12" s="18" t="n">
        <v>373.75</v>
      </c>
      <c r="T12" s="18" t="n">
        <v>362.4</v>
      </c>
      <c r="U12" s="18" t="n">
        <v>345.85</v>
      </c>
      <c r="V12" s="18" t="n">
        <v>337.85</v>
      </c>
      <c r="W12" s="18" t="n">
        <v>326.65</v>
      </c>
      <c r="X12" s="38" t="n">
        <v>315.05</v>
      </c>
      <c r="Y12" s="39" t="n"/>
      <c r="Z12" s="39" t="n"/>
      <c r="AA12" s="39" t="n"/>
      <c r="AB12" s="37">
        <f>LOOKUP(2,1/(F12:AA12&lt;&gt;""),F12:AA12)</f>
        <v/>
      </c>
      <c r="AC12" s="40">
        <f>AB12/E12-1</f>
        <v/>
      </c>
      <c r="AD12" s="41">
        <f>D12*(AB12-E12)</f>
        <v/>
      </c>
      <c r="AE12" s="19">
        <f>IFERROR(X12/W12-1,0)</f>
        <v/>
      </c>
      <c r="AF12" s="35">
        <f>IF(AC12&gt;0,"▲ Up",IF(AC12&lt;0,"▼ Down","■ Flat"))</f>
        <v/>
      </c>
    </row>
    <row r="13">
      <c r="A13" s="42" t="n">
        <v>8</v>
      </c>
      <c r="B13" s="22" t="inlineStr">
        <is>
          <t>KIRLOSENG</t>
        </is>
      </c>
      <c r="C13" s="43" t="inlineStr">
        <is>
          <t>INE146L01010</t>
        </is>
      </c>
      <c r="D13" s="23" t="n">
        <v>7</v>
      </c>
      <c r="E13" s="44" t="n">
        <v>2141.2</v>
      </c>
      <c r="F13" s="24" t="n">
        <v>2141.2</v>
      </c>
      <c r="G13" s="24" t="n">
        <v>2402</v>
      </c>
      <c r="H13" s="24" t="n">
        <v>2304.2</v>
      </c>
      <c r="I13" s="24" t="n">
        <v>2242.7</v>
      </c>
      <c r="J13" s="24" t="n">
        <v>2242.7</v>
      </c>
      <c r="K13" s="24" t="n">
        <v>2243.7</v>
      </c>
      <c r="L13" s="24" t="n">
        <v>2266.1</v>
      </c>
      <c r="M13" s="24" t="n">
        <v>2230.8</v>
      </c>
      <c r="N13" s="24" t="n">
        <v>2163</v>
      </c>
      <c r="O13" s="24" t="n">
        <v>2210.4</v>
      </c>
      <c r="P13" s="24" t="n">
        <v>2193</v>
      </c>
      <c r="Q13" s="24" t="n">
        <v>2180.8</v>
      </c>
      <c r="R13" s="24" t="n">
        <v>2148.3</v>
      </c>
      <c r="S13" s="24" t="n">
        <v>2066.3</v>
      </c>
      <c r="T13" s="24" t="n">
        <v>2025.6</v>
      </c>
      <c r="U13" s="24" t="n">
        <v>1973.2</v>
      </c>
      <c r="V13" s="24" t="n">
        <v>1908.7</v>
      </c>
      <c r="W13" s="24" t="n">
        <v>1869</v>
      </c>
      <c r="X13" s="38" t="n">
        <v>1784.7</v>
      </c>
      <c r="Y13" s="39" t="n"/>
      <c r="Z13" s="39" t="n"/>
      <c r="AA13" s="39" t="n"/>
      <c r="AB13" s="37">
        <f>LOOKUP(2,1/(F13:AA13&lt;&gt;""),F13:AA13)</f>
        <v/>
      </c>
      <c r="AC13" s="40">
        <f>AB13/E13-1</f>
        <v/>
      </c>
      <c r="AD13" s="41">
        <f>D13*(AB13-E13)</f>
        <v/>
      </c>
      <c r="AE13" s="19">
        <f>IFERROR(X13/W13-1,0)</f>
        <v/>
      </c>
      <c r="AF13" s="35">
        <f>IF(AC13&gt;0,"▲ Up",IF(AC13&lt;0,"▼ Down","■ Flat"))</f>
        <v/>
      </c>
    </row>
    <row r="14">
      <c r="A14" s="35" t="n">
        <v>9</v>
      </c>
      <c r="B14" s="16" t="inlineStr">
        <is>
          <t>E2E</t>
        </is>
      </c>
      <c r="C14" s="36" t="inlineStr">
        <is>
          <t>INE255Z01027</t>
        </is>
      </c>
      <c r="D14" s="17" t="n">
        <v>23</v>
      </c>
      <c r="E14" s="37" t="n">
        <v>619.55</v>
      </c>
      <c r="F14" s="18" t="n">
        <v>625.9</v>
      </c>
      <c r="G14" s="18" t="n">
        <v>651.8</v>
      </c>
      <c r="H14" s="18" t="n">
        <v>650.5</v>
      </c>
      <c r="I14" s="18" t="n">
        <v>648</v>
      </c>
      <c r="J14" s="18" t="n">
        <v>648</v>
      </c>
      <c r="K14" s="18" t="n">
        <v>656.1</v>
      </c>
      <c r="L14" s="18" t="n">
        <v>688.9</v>
      </c>
      <c r="M14" s="18" t="n">
        <v>723.3</v>
      </c>
      <c r="N14" s="18" t="n">
        <v>714.15</v>
      </c>
      <c r="O14" s="18" t="n">
        <v>704.6</v>
      </c>
      <c r="P14" s="18" t="n">
        <v>735.55</v>
      </c>
      <c r="Q14" s="18" t="n">
        <v>735.75</v>
      </c>
      <c r="R14" s="18" t="n">
        <v>748.3</v>
      </c>
      <c r="S14" s="18" t="n">
        <v>710.9</v>
      </c>
      <c r="T14" s="18" t="n">
        <v>694.85</v>
      </c>
      <c r="U14" s="18" t="n">
        <v>660.15</v>
      </c>
      <c r="V14" s="18" t="n">
        <v>627.15</v>
      </c>
      <c r="W14" s="18" t="n">
        <v>595.8</v>
      </c>
      <c r="X14" s="38" t="n">
        <v>566.05</v>
      </c>
      <c r="Y14" s="39" t="n"/>
      <c r="Z14" s="39" t="n"/>
      <c r="AA14" s="39" t="n"/>
      <c r="AB14" s="37">
        <f>LOOKUP(2,1/(F14:AA14&lt;&gt;""),F14:AA14)</f>
        <v/>
      </c>
      <c r="AC14" s="40">
        <f>AB14/E14-1</f>
        <v/>
      </c>
      <c r="AD14" s="41">
        <f>D14*(AB14-E14)</f>
        <v/>
      </c>
      <c r="AE14" s="19">
        <f>IFERROR(X14/W14-1,0)</f>
        <v/>
      </c>
      <c r="AF14" s="35">
        <f>IF(AC14&gt;0,"▲ Up",IF(AC14&lt;0,"▼ Down","■ Flat"))</f>
        <v/>
      </c>
    </row>
    <row r="15">
      <c r="A15" s="42" t="n">
        <v>10</v>
      </c>
      <c r="B15" s="22" t="inlineStr">
        <is>
          <t>LAURUSLABS</t>
        </is>
      </c>
      <c r="C15" s="43" t="inlineStr">
        <is>
          <t>INE947Q01028</t>
        </is>
      </c>
      <c r="D15" s="23" t="n">
        <v>7</v>
      </c>
      <c r="E15" s="44" t="n">
        <v>2020.7</v>
      </c>
      <c r="F15" s="24" t="n">
        <v>2010.7</v>
      </c>
      <c r="G15" s="24" t="n">
        <v>1979</v>
      </c>
      <c r="H15" s="24" t="n">
        <v>1980</v>
      </c>
      <c r="I15" s="24" t="n">
        <v>1984</v>
      </c>
      <c r="J15" s="24" t="n">
        <v>1984</v>
      </c>
      <c r="K15" s="24" t="n">
        <v>1971.4</v>
      </c>
      <c r="L15" s="24" t="n">
        <v>2050</v>
      </c>
      <c r="M15" s="24" t="n">
        <v>2052.8</v>
      </c>
      <c r="N15" s="24" t="n">
        <v>1997.9</v>
      </c>
      <c r="O15" s="24" t="n">
        <v>2036.6</v>
      </c>
      <c r="P15" s="24" t="n">
        <v>2069.2</v>
      </c>
      <c r="Q15" s="24" t="n">
        <v>2059.4</v>
      </c>
      <c r="R15" s="24" t="n">
        <v>2036.9</v>
      </c>
      <c r="S15" s="24" t="n">
        <v>2018.5</v>
      </c>
      <c r="T15" s="24" t="n">
        <v>2060.1</v>
      </c>
      <c r="U15" s="24" t="n">
        <v>2069</v>
      </c>
      <c r="V15" s="24" t="n">
        <v>2012.5</v>
      </c>
      <c r="W15" s="24" t="n">
        <v>2002.5</v>
      </c>
      <c r="X15" s="38" t="n">
        <v>1970</v>
      </c>
      <c r="Y15" s="39" t="n"/>
      <c r="Z15" s="39" t="n"/>
      <c r="AA15" s="39" t="n"/>
      <c r="AB15" s="37">
        <f>LOOKUP(2,1/(F15:AA15&lt;&gt;""),F15:AA15)</f>
        <v/>
      </c>
      <c r="AC15" s="40">
        <f>AB15/E15-1</f>
        <v/>
      </c>
      <c r="AD15" s="41">
        <f>D15*(AB15-E15)</f>
        <v/>
      </c>
      <c r="AE15" s="19">
        <f>IFERROR(X15/W15-1,0)</f>
        <v/>
      </c>
      <c r="AF15" s="35">
        <f>IF(AC15&gt;0,"▲ Up",IF(AC15&lt;0,"▼ Down","■ Flat"))</f>
        <v/>
      </c>
    </row>
    <row r="16">
      <c r="A16" s="45" t="inlineStr"/>
      <c r="B16" s="46" t="inlineStr">
        <is>
          <t>PORTFOLIO</t>
        </is>
      </c>
      <c r="C16" s="45" t="inlineStr"/>
      <c r="D16" s="47">
        <f>SUM(D6:D15)</f>
        <v/>
      </c>
      <c r="E16" s="48">
        <f>SUMPRODUCT(D6:D15,E6:E15)</f>
        <v/>
      </c>
      <c r="F16" s="48">
        <f>IF(COUNT(F6:F15)=0,"",SUMPRODUCT($D$6:$D$15,F6:F15))</f>
        <v/>
      </c>
      <c r="G16" s="48">
        <f>IF(COUNT(G6:G15)=0,"",SUMPRODUCT($D$6:$D$15,G6:G15))</f>
        <v/>
      </c>
      <c r="H16" s="48">
        <f>IF(COUNT(H6:H15)=0,"",SUMPRODUCT($D$6:$D$15,H6:H15))</f>
        <v/>
      </c>
      <c r="I16" s="48">
        <f>IF(COUNT(I6:I15)=0,"",SUMPRODUCT($D$6:$D$15,I6:I15))</f>
        <v/>
      </c>
      <c r="J16" s="48">
        <f>IF(COUNT(J6:J15)=0,"",SUMPRODUCT($D$6:$D$15,J6:J15))</f>
        <v/>
      </c>
      <c r="K16" s="48">
        <f>IF(COUNT(K6:K15)=0,"",SUMPRODUCT($D$6:$D$15,K6:K15))</f>
        <v/>
      </c>
      <c r="L16" s="48">
        <f>IF(COUNT(L6:L15)=0,"",SUMPRODUCT($D$6:$D$15,L6:L15))</f>
        <v/>
      </c>
      <c r="M16" s="48">
        <f>IF(COUNT(M6:M15)=0,"",SUMPRODUCT($D$6:$D$15,M6:M15))</f>
        <v/>
      </c>
      <c r="N16" s="48">
        <f>IF(COUNT(N6:N15)=0,"",SUMPRODUCT($D$6:$D$15,N6:N15))</f>
        <v/>
      </c>
      <c r="O16" s="48">
        <f>IF(COUNT(O6:O15)=0,"",SUMPRODUCT($D$6:$D$15,O6:O15))</f>
        <v/>
      </c>
      <c r="P16" s="48">
        <f>IF(COUNT(P6:P15)=0,"",SUMPRODUCT($D$6:$D$15,P6:P15))</f>
        <v/>
      </c>
      <c r="Q16" s="48">
        <f>IF(COUNT(Q6:Q15)=0,"",SUMPRODUCT($D$6:$D$15,Q6:Q15))</f>
        <v/>
      </c>
      <c r="R16" s="48">
        <f>IF(COUNT(R6:R15)=0,"",SUMPRODUCT($D$6:$D$15,R6:R15))</f>
        <v/>
      </c>
      <c r="S16" s="48">
        <f>IF(COUNT(S6:S15)=0,"",SUMPRODUCT($D$6:$D$15,S6:S15))</f>
        <v/>
      </c>
      <c r="T16" s="48">
        <f>IF(COUNT(T6:T15)=0,"",SUMPRODUCT($D$6:$D$15,T6:T15))</f>
        <v/>
      </c>
      <c r="U16" s="48">
        <f>IF(COUNT(U6:U15)=0,"",SUMPRODUCT($D$6:$D$15,U6:U15))</f>
        <v/>
      </c>
      <c r="V16" s="48">
        <f>IF(COUNT(V6:V15)=0,"",SUMPRODUCT($D$6:$D$15,V6:V15))</f>
        <v/>
      </c>
      <c r="W16" s="48">
        <f>IF(COUNT(W6:W15)=0,"",SUMPRODUCT($D$6:$D$15,W6:W15))</f>
        <v/>
      </c>
      <c r="X16" s="48">
        <f>IF(COUNT(X6:X15)=0,"",SUMPRODUCT($D$6:$D$15,X6:X15))</f>
        <v/>
      </c>
      <c r="Y16" s="48">
        <f>IF(COUNT(Y6:Y15)=0,"",SUMPRODUCT($D$6:$D$15,Y6:Y15))</f>
        <v/>
      </c>
      <c r="Z16" s="48">
        <f>IF(COUNT(Z6:Z15)=0,"",SUMPRODUCT($D$6:$D$15,Z6:Z15))</f>
        <v/>
      </c>
      <c r="AA16" s="48">
        <f>IF(COUNT(AA6:AA15)=0,"",SUMPRODUCT($D$6:$D$15,AA6:AA15))</f>
        <v/>
      </c>
      <c r="AB16" s="48">
        <f>SUMPRODUCT(D6:D15,AB6:AB15)</f>
        <v/>
      </c>
      <c r="AC16" s="49">
        <f>AB16/E16-1</f>
        <v/>
      </c>
      <c r="AD16" s="48">
        <f>SUM(AD6:AD15)</f>
        <v/>
      </c>
      <c r="AE16" s="45" t="inlineStr"/>
      <c r="AF16" s="45" t="inlineStr"/>
    </row>
  </sheetData>
  <mergeCells count="12">
    <mergeCell ref="B4:B5"/>
    <mergeCell ref="A1:AF1"/>
    <mergeCell ref="A4:A5"/>
    <mergeCell ref="C4:C5"/>
    <mergeCell ref="D4:D5"/>
    <mergeCell ref="E4:E5"/>
    <mergeCell ref="AB4:AB5"/>
    <mergeCell ref="AE4:AE5"/>
    <mergeCell ref="AC4:AC5"/>
    <mergeCell ref="AF4:AF5"/>
    <mergeCell ref="AD4:AD5"/>
    <mergeCell ref="A2:AF2"/>
  </mergeCells>
  <conditionalFormatting sqref="AC6:AC16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AE6:AE16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AD6:AD15">
    <cfRule type="dataBar" priority="5">
      <dataBar showValue="1">
        <cfvo type="min"/>
        <cfvo type="max"/>
        <color rgb="005B8DEF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F9D63"/>
    <outlinePr summaryBelow="1" summaryRight="1"/>
    <pageSetUpPr fitToPage="1"/>
  </sheetPr>
  <dimension ref="A1:AA16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6" customWidth="1" min="4" max="4"/>
    <col width="10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</cols>
  <sheetData>
    <row r="1" ht="30" customHeight="1">
      <c r="A1" s="1" t="inlineStr">
        <is>
          <t>Cumulative Return vs Entry (%)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Each cell = close ÷ entry − 1. Colour scale: red → white → green.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8" t="inlineStr">
        <is>
          <t>Formulas link to 'Daily Closes' — edit a close there and this sheet updates.</t>
        </is>
      </c>
    </row>
    <row r="4">
      <c r="A4" s="15" t="inlineStr">
        <is>
          <t>#</t>
        </is>
      </c>
      <c r="B4" s="15" t="inlineStr">
        <is>
          <t>Symbol</t>
        </is>
      </c>
      <c r="C4" s="15" t="inlineStr">
        <is>
          <t>ISIN</t>
        </is>
      </c>
      <c r="D4" s="15" t="inlineStr">
        <is>
          <t>Qty</t>
        </is>
      </c>
      <c r="E4" s="15" t="inlineStr">
        <is>
          <t>Entry ₹</t>
        </is>
      </c>
      <c r="F4" s="15" t="inlineStr">
        <is>
          <t>Day 0</t>
        </is>
      </c>
      <c r="G4" s="15" t="inlineStr">
        <is>
          <t>Day 1</t>
        </is>
      </c>
      <c r="H4" s="15" t="inlineStr">
        <is>
          <t>Day 2</t>
        </is>
      </c>
      <c r="I4" s="15" t="inlineStr">
        <is>
          <t>Day 3</t>
        </is>
      </c>
      <c r="J4" s="15" t="inlineStr">
        <is>
          <t>Day 4</t>
        </is>
      </c>
      <c r="K4" s="15" t="inlineStr">
        <is>
          <t>Day 5</t>
        </is>
      </c>
      <c r="L4" s="15" t="inlineStr">
        <is>
          <t>Day 6</t>
        </is>
      </c>
      <c r="M4" s="15" t="inlineStr">
        <is>
          <t>Day 7</t>
        </is>
      </c>
      <c r="N4" s="15" t="inlineStr">
        <is>
          <t>Day 8</t>
        </is>
      </c>
      <c r="O4" s="15" t="inlineStr">
        <is>
          <t>Day 9</t>
        </is>
      </c>
      <c r="P4" s="15" t="inlineStr">
        <is>
          <t>Day 10</t>
        </is>
      </c>
      <c r="Q4" s="15" t="inlineStr">
        <is>
          <t>Day 11</t>
        </is>
      </c>
      <c r="R4" s="15" t="inlineStr">
        <is>
          <t>Day 12</t>
        </is>
      </c>
      <c r="S4" s="15" t="inlineStr">
        <is>
          <t>Day 13</t>
        </is>
      </c>
      <c r="T4" s="15" t="inlineStr">
        <is>
          <t>Day 14</t>
        </is>
      </c>
      <c r="U4" s="15" t="inlineStr">
        <is>
          <t>Day 15</t>
        </is>
      </c>
      <c r="V4" s="15" t="inlineStr">
        <is>
          <t>Day 16</t>
        </is>
      </c>
      <c r="W4" s="15" t="inlineStr">
        <is>
          <t>Day 17</t>
        </is>
      </c>
      <c r="X4" s="30" t="inlineStr">
        <is>
          <t>Day 18</t>
        </is>
      </c>
      <c r="Y4" s="15" t="inlineStr">
        <is>
          <t>Day 19</t>
        </is>
      </c>
      <c r="Z4" s="15" t="inlineStr">
        <is>
          <t>Day 20</t>
        </is>
      </c>
      <c r="AA4" s="15" t="inlineStr">
        <is>
          <t>Day 21</t>
        </is>
      </c>
    </row>
    <row r="5">
      <c r="F5" s="50">
        <f>'Daily Closes'!F5</f>
        <v/>
      </c>
      <c r="G5" s="50">
        <f>'Daily Closes'!G5</f>
        <v/>
      </c>
      <c r="H5" s="50">
        <f>'Daily Closes'!H5</f>
        <v/>
      </c>
      <c r="I5" s="50">
        <f>'Daily Closes'!I5</f>
        <v/>
      </c>
      <c r="J5" s="50">
        <f>'Daily Closes'!J5</f>
        <v/>
      </c>
      <c r="K5" s="50">
        <f>'Daily Closes'!K5</f>
        <v/>
      </c>
      <c r="L5" s="50">
        <f>'Daily Closes'!L5</f>
        <v/>
      </c>
      <c r="M5" s="50">
        <f>'Daily Closes'!M5</f>
        <v/>
      </c>
      <c r="N5" s="50">
        <f>'Daily Closes'!N5</f>
        <v/>
      </c>
      <c r="O5" s="50">
        <f>'Daily Closes'!O5</f>
        <v/>
      </c>
      <c r="P5" s="50">
        <f>'Daily Closes'!P5</f>
        <v/>
      </c>
      <c r="Q5" s="50">
        <f>'Daily Closes'!Q5</f>
        <v/>
      </c>
      <c r="R5" s="50">
        <f>'Daily Closes'!R5</f>
        <v/>
      </c>
      <c r="S5" s="50">
        <f>'Daily Closes'!S5</f>
        <v/>
      </c>
      <c r="T5" s="50">
        <f>'Daily Closes'!T5</f>
        <v/>
      </c>
      <c r="U5" s="50">
        <f>'Daily Closes'!U5</f>
        <v/>
      </c>
      <c r="V5" s="50">
        <f>'Daily Closes'!V5</f>
        <v/>
      </c>
      <c r="W5" s="50">
        <f>'Daily Closes'!W5</f>
        <v/>
      </c>
      <c r="X5" s="50">
        <f>'Daily Closes'!X5</f>
        <v/>
      </c>
      <c r="Y5" s="50">
        <f>'Daily Closes'!Y5</f>
        <v/>
      </c>
      <c r="Z5" s="50">
        <f>'Daily Closes'!Z5</f>
        <v/>
      </c>
      <c r="AA5" s="50">
        <f>'Daily Closes'!AA5</f>
        <v/>
      </c>
    </row>
    <row r="6">
      <c r="A6" s="51">
        <f>'Daily Closes'!A6</f>
        <v/>
      </c>
      <c r="B6" s="16">
        <f>'Daily Closes'!B6</f>
        <v/>
      </c>
      <c r="C6" s="52">
        <f>'Daily Closes'!C6</f>
        <v/>
      </c>
      <c r="D6" s="51">
        <f>'Daily Closes'!D6</f>
        <v/>
      </c>
      <c r="E6" s="18">
        <f>'Daily Closes'!E6</f>
        <v/>
      </c>
      <c r="F6" s="35" t="inlineStr">
        <is>
          <t>—</t>
        </is>
      </c>
      <c r="G6" s="19">
        <f>IF('Daily Closes'!G6="","",'Daily Closes'!G6/$E6-1)</f>
        <v/>
      </c>
      <c r="H6" s="19">
        <f>IF('Daily Closes'!H6="","",'Daily Closes'!H6/$E6-1)</f>
        <v/>
      </c>
      <c r="I6" s="19">
        <f>IF('Daily Closes'!I6="","",'Daily Closes'!I6/$E6-1)</f>
        <v/>
      </c>
      <c r="J6" s="19">
        <f>IF('Daily Closes'!J6="","",'Daily Closes'!J6/$E6-1)</f>
        <v/>
      </c>
      <c r="K6" s="19">
        <f>IF('Daily Closes'!K6="","",'Daily Closes'!K6/$E6-1)</f>
        <v/>
      </c>
      <c r="L6" s="19">
        <f>IF('Daily Closes'!L6="","",'Daily Closes'!L6/$E6-1)</f>
        <v/>
      </c>
      <c r="M6" s="19">
        <f>IF('Daily Closes'!M6="","",'Daily Closes'!M6/$E6-1)</f>
        <v/>
      </c>
      <c r="N6" s="19">
        <f>IF('Daily Closes'!N6="","",'Daily Closes'!N6/$E6-1)</f>
        <v/>
      </c>
      <c r="O6" s="19">
        <f>IF('Daily Closes'!O6="","",'Daily Closes'!O6/$E6-1)</f>
        <v/>
      </c>
      <c r="P6" s="19">
        <f>IF('Daily Closes'!P6="","",'Daily Closes'!P6/$E6-1)</f>
        <v/>
      </c>
      <c r="Q6" s="19">
        <f>IF('Daily Closes'!Q6="","",'Daily Closes'!Q6/$E6-1)</f>
        <v/>
      </c>
      <c r="R6" s="19">
        <f>IF('Daily Closes'!R6="","",'Daily Closes'!R6/$E6-1)</f>
        <v/>
      </c>
      <c r="S6" s="19">
        <f>IF('Daily Closes'!S6="","",'Daily Closes'!S6/$E6-1)</f>
        <v/>
      </c>
      <c r="T6" s="19">
        <f>IF('Daily Closes'!T6="","",'Daily Closes'!T6/$E6-1)</f>
        <v/>
      </c>
      <c r="U6" s="19">
        <f>IF('Daily Closes'!U6="","",'Daily Closes'!U6/$E6-1)</f>
        <v/>
      </c>
      <c r="V6" s="19">
        <f>IF('Daily Closes'!V6="","",'Daily Closes'!V6/$E6-1)</f>
        <v/>
      </c>
      <c r="W6" s="19">
        <f>IF('Daily Closes'!W6="","",'Daily Closes'!W6/$E6-1)</f>
        <v/>
      </c>
      <c r="X6" s="19">
        <f>IF('Daily Closes'!X6="","",'Daily Closes'!X6/$E6-1)</f>
        <v/>
      </c>
      <c r="Y6" s="19">
        <f>IF('Daily Closes'!Y6="","",'Daily Closes'!Y6/$E6-1)</f>
        <v/>
      </c>
      <c r="Z6" s="19">
        <f>IF('Daily Closes'!Z6="","",'Daily Closes'!Z6/$E6-1)</f>
        <v/>
      </c>
      <c r="AA6" s="19">
        <f>IF('Daily Closes'!AA6="","",'Daily Closes'!AA6/$E6-1)</f>
        <v/>
      </c>
    </row>
    <row r="7">
      <c r="A7" s="51">
        <f>'Daily Closes'!A7</f>
        <v/>
      </c>
      <c r="B7" s="16">
        <f>'Daily Closes'!B7</f>
        <v/>
      </c>
      <c r="C7" s="52">
        <f>'Daily Closes'!C7</f>
        <v/>
      </c>
      <c r="D7" s="51">
        <f>'Daily Closes'!D7</f>
        <v/>
      </c>
      <c r="E7" s="18">
        <f>'Daily Closes'!E7</f>
        <v/>
      </c>
      <c r="F7" s="35" t="inlineStr">
        <is>
          <t>—</t>
        </is>
      </c>
      <c r="G7" s="19">
        <f>IF('Daily Closes'!G7="","",'Daily Closes'!G7/$E7-1)</f>
        <v/>
      </c>
      <c r="H7" s="19">
        <f>IF('Daily Closes'!H7="","",'Daily Closes'!H7/$E7-1)</f>
        <v/>
      </c>
      <c r="I7" s="19">
        <f>IF('Daily Closes'!I7="","",'Daily Closes'!I7/$E7-1)</f>
        <v/>
      </c>
      <c r="J7" s="19">
        <f>IF('Daily Closes'!J7="","",'Daily Closes'!J7/$E7-1)</f>
        <v/>
      </c>
      <c r="K7" s="19">
        <f>IF('Daily Closes'!K7="","",'Daily Closes'!K7/$E7-1)</f>
        <v/>
      </c>
      <c r="L7" s="19">
        <f>IF('Daily Closes'!L7="","",'Daily Closes'!L7/$E7-1)</f>
        <v/>
      </c>
      <c r="M7" s="19">
        <f>IF('Daily Closes'!M7="","",'Daily Closes'!M7/$E7-1)</f>
        <v/>
      </c>
      <c r="N7" s="19">
        <f>IF('Daily Closes'!N7="","",'Daily Closes'!N7/$E7-1)</f>
        <v/>
      </c>
      <c r="O7" s="19">
        <f>IF('Daily Closes'!O7="","",'Daily Closes'!O7/$E7-1)</f>
        <v/>
      </c>
      <c r="P7" s="19">
        <f>IF('Daily Closes'!P7="","",'Daily Closes'!P7/$E7-1)</f>
        <v/>
      </c>
      <c r="Q7" s="19">
        <f>IF('Daily Closes'!Q7="","",'Daily Closes'!Q7/$E7-1)</f>
        <v/>
      </c>
      <c r="R7" s="19">
        <f>IF('Daily Closes'!R7="","",'Daily Closes'!R7/$E7-1)</f>
        <v/>
      </c>
      <c r="S7" s="19">
        <f>IF('Daily Closes'!S7="","",'Daily Closes'!S7/$E7-1)</f>
        <v/>
      </c>
      <c r="T7" s="19">
        <f>IF('Daily Closes'!T7="","",'Daily Closes'!T7/$E7-1)</f>
        <v/>
      </c>
      <c r="U7" s="19">
        <f>IF('Daily Closes'!U7="","",'Daily Closes'!U7/$E7-1)</f>
        <v/>
      </c>
      <c r="V7" s="19">
        <f>IF('Daily Closes'!V7="","",'Daily Closes'!V7/$E7-1)</f>
        <v/>
      </c>
      <c r="W7" s="19">
        <f>IF('Daily Closes'!W7="","",'Daily Closes'!W7/$E7-1)</f>
        <v/>
      </c>
      <c r="X7" s="19">
        <f>IF('Daily Closes'!X7="","",'Daily Closes'!X7/$E7-1)</f>
        <v/>
      </c>
      <c r="Y7" s="19">
        <f>IF('Daily Closes'!Y7="","",'Daily Closes'!Y7/$E7-1)</f>
        <v/>
      </c>
      <c r="Z7" s="19">
        <f>IF('Daily Closes'!Z7="","",'Daily Closes'!Z7/$E7-1)</f>
        <v/>
      </c>
      <c r="AA7" s="19">
        <f>IF('Daily Closes'!AA7="","",'Daily Closes'!AA7/$E7-1)</f>
        <v/>
      </c>
    </row>
    <row r="8">
      <c r="A8" s="51">
        <f>'Daily Closes'!A8</f>
        <v/>
      </c>
      <c r="B8" s="16">
        <f>'Daily Closes'!B8</f>
        <v/>
      </c>
      <c r="C8" s="52">
        <f>'Daily Closes'!C8</f>
        <v/>
      </c>
      <c r="D8" s="51">
        <f>'Daily Closes'!D8</f>
        <v/>
      </c>
      <c r="E8" s="18">
        <f>'Daily Closes'!E8</f>
        <v/>
      </c>
      <c r="F8" s="35" t="inlineStr">
        <is>
          <t>—</t>
        </is>
      </c>
      <c r="G8" s="19">
        <f>IF('Daily Closes'!G8="","",'Daily Closes'!G8/$E8-1)</f>
        <v/>
      </c>
      <c r="H8" s="19">
        <f>IF('Daily Closes'!H8="","",'Daily Closes'!H8/$E8-1)</f>
        <v/>
      </c>
      <c r="I8" s="19">
        <f>IF('Daily Closes'!I8="","",'Daily Closes'!I8/$E8-1)</f>
        <v/>
      </c>
      <c r="J8" s="19">
        <f>IF('Daily Closes'!J8="","",'Daily Closes'!J8/$E8-1)</f>
        <v/>
      </c>
      <c r="K8" s="19">
        <f>IF('Daily Closes'!K8="","",'Daily Closes'!K8/$E8-1)</f>
        <v/>
      </c>
      <c r="L8" s="19">
        <f>IF('Daily Closes'!L8="","",'Daily Closes'!L8/$E8-1)</f>
        <v/>
      </c>
      <c r="M8" s="19">
        <f>IF('Daily Closes'!M8="","",'Daily Closes'!M8/$E8-1)</f>
        <v/>
      </c>
      <c r="N8" s="19">
        <f>IF('Daily Closes'!N8="","",'Daily Closes'!N8/$E8-1)</f>
        <v/>
      </c>
      <c r="O8" s="19">
        <f>IF('Daily Closes'!O8="","",'Daily Closes'!O8/$E8-1)</f>
        <v/>
      </c>
      <c r="P8" s="19">
        <f>IF('Daily Closes'!P8="","",'Daily Closes'!P8/$E8-1)</f>
        <v/>
      </c>
      <c r="Q8" s="19">
        <f>IF('Daily Closes'!Q8="","",'Daily Closes'!Q8/$E8-1)</f>
        <v/>
      </c>
      <c r="R8" s="19">
        <f>IF('Daily Closes'!R8="","",'Daily Closes'!R8/$E8-1)</f>
        <v/>
      </c>
      <c r="S8" s="19">
        <f>IF('Daily Closes'!S8="","",'Daily Closes'!S8/$E8-1)</f>
        <v/>
      </c>
      <c r="T8" s="19">
        <f>IF('Daily Closes'!T8="","",'Daily Closes'!T8/$E8-1)</f>
        <v/>
      </c>
      <c r="U8" s="19">
        <f>IF('Daily Closes'!U8="","",'Daily Closes'!U8/$E8-1)</f>
        <v/>
      </c>
      <c r="V8" s="19">
        <f>IF('Daily Closes'!V8="","",'Daily Closes'!V8/$E8-1)</f>
        <v/>
      </c>
      <c r="W8" s="19">
        <f>IF('Daily Closes'!W8="","",'Daily Closes'!W8/$E8-1)</f>
        <v/>
      </c>
      <c r="X8" s="19">
        <f>IF('Daily Closes'!X8="","",'Daily Closes'!X8/$E8-1)</f>
        <v/>
      </c>
      <c r="Y8" s="19">
        <f>IF('Daily Closes'!Y8="","",'Daily Closes'!Y8/$E8-1)</f>
        <v/>
      </c>
      <c r="Z8" s="19">
        <f>IF('Daily Closes'!Z8="","",'Daily Closes'!Z8/$E8-1)</f>
        <v/>
      </c>
      <c r="AA8" s="19">
        <f>IF('Daily Closes'!AA8="","",'Daily Closes'!AA8/$E8-1)</f>
        <v/>
      </c>
    </row>
    <row r="9">
      <c r="A9" s="51">
        <f>'Daily Closes'!A9</f>
        <v/>
      </c>
      <c r="B9" s="16">
        <f>'Daily Closes'!B9</f>
        <v/>
      </c>
      <c r="C9" s="52">
        <f>'Daily Closes'!C9</f>
        <v/>
      </c>
      <c r="D9" s="51">
        <f>'Daily Closes'!D9</f>
        <v/>
      </c>
      <c r="E9" s="18">
        <f>'Daily Closes'!E9</f>
        <v/>
      </c>
      <c r="F9" s="35" t="inlineStr">
        <is>
          <t>—</t>
        </is>
      </c>
      <c r="G9" s="19">
        <f>IF('Daily Closes'!G9="","",'Daily Closes'!G9/$E9-1)</f>
        <v/>
      </c>
      <c r="H9" s="19">
        <f>IF('Daily Closes'!H9="","",'Daily Closes'!H9/$E9-1)</f>
        <v/>
      </c>
      <c r="I9" s="19">
        <f>IF('Daily Closes'!I9="","",'Daily Closes'!I9/$E9-1)</f>
        <v/>
      </c>
      <c r="J9" s="19">
        <f>IF('Daily Closes'!J9="","",'Daily Closes'!J9/$E9-1)</f>
        <v/>
      </c>
      <c r="K9" s="19">
        <f>IF('Daily Closes'!K9="","",'Daily Closes'!K9/$E9-1)</f>
        <v/>
      </c>
      <c r="L9" s="19">
        <f>IF('Daily Closes'!L9="","",'Daily Closes'!L9/$E9-1)</f>
        <v/>
      </c>
      <c r="M9" s="19">
        <f>IF('Daily Closes'!M9="","",'Daily Closes'!M9/$E9-1)</f>
        <v/>
      </c>
      <c r="N9" s="19">
        <f>IF('Daily Closes'!N9="","",'Daily Closes'!N9/$E9-1)</f>
        <v/>
      </c>
      <c r="O9" s="19">
        <f>IF('Daily Closes'!O9="","",'Daily Closes'!O9/$E9-1)</f>
        <v/>
      </c>
      <c r="P9" s="19">
        <f>IF('Daily Closes'!P9="","",'Daily Closes'!P9/$E9-1)</f>
        <v/>
      </c>
      <c r="Q9" s="19">
        <f>IF('Daily Closes'!Q9="","",'Daily Closes'!Q9/$E9-1)</f>
        <v/>
      </c>
      <c r="R9" s="19">
        <f>IF('Daily Closes'!R9="","",'Daily Closes'!R9/$E9-1)</f>
        <v/>
      </c>
      <c r="S9" s="19">
        <f>IF('Daily Closes'!S9="","",'Daily Closes'!S9/$E9-1)</f>
        <v/>
      </c>
      <c r="T9" s="19">
        <f>IF('Daily Closes'!T9="","",'Daily Closes'!T9/$E9-1)</f>
        <v/>
      </c>
      <c r="U9" s="19">
        <f>IF('Daily Closes'!U9="","",'Daily Closes'!U9/$E9-1)</f>
        <v/>
      </c>
      <c r="V9" s="19">
        <f>IF('Daily Closes'!V9="","",'Daily Closes'!V9/$E9-1)</f>
        <v/>
      </c>
      <c r="W9" s="19">
        <f>IF('Daily Closes'!W9="","",'Daily Closes'!W9/$E9-1)</f>
        <v/>
      </c>
      <c r="X9" s="19">
        <f>IF('Daily Closes'!X9="","",'Daily Closes'!X9/$E9-1)</f>
        <v/>
      </c>
      <c r="Y9" s="19">
        <f>IF('Daily Closes'!Y9="","",'Daily Closes'!Y9/$E9-1)</f>
        <v/>
      </c>
      <c r="Z9" s="19">
        <f>IF('Daily Closes'!Z9="","",'Daily Closes'!Z9/$E9-1)</f>
        <v/>
      </c>
      <c r="AA9" s="19">
        <f>IF('Daily Closes'!AA9="","",'Daily Closes'!AA9/$E9-1)</f>
        <v/>
      </c>
    </row>
    <row r="10">
      <c r="A10" s="51">
        <f>'Daily Closes'!A10</f>
        <v/>
      </c>
      <c r="B10" s="16">
        <f>'Daily Closes'!B10</f>
        <v/>
      </c>
      <c r="C10" s="52">
        <f>'Daily Closes'!C10</f>
        <v/>
      </c>
      <c r="D10" s="51">
        <f>'Daily Closes'!D10</f>
        <v/>
      </c>
      <c r="E10" s="18">
        <f>'Daily Closes'!E10</f>
        <v/>
      </c>
      <c r="F10" s="35" t="inlineStr">
        <is>
          <t>—</t>
        </is>
      </c>
      <c r="G10" s="19">
        <f>IF('Daily Closes'!G10="","",'Daily Closes'!G10/$E10-1)</f>
        <v/>
      </c>
      <c r="H10" s="19">
        <f>IF('Daily Closes'!H10="","",'Daily Closes'!H10/$E10-1)</f>
        <v/>
      </c>
      <c r="I10" s="19">
        <f>IF('Daily Closes'!I10="","",'Daily Closes'!I10/$E10-1)</f>
        <v/>
      </c>
      <c r="J10" s="19">
        <f>IF('Daily Closes'!J10="","",'Daily Closes'!J10/$E10-1)</f>
        <v/>
      </c>
      <c r="K10" s="19">
        <f>IF('Daily Closes'!K10="","",'Daily Closes'!K10/$E10-1)</f>
        <v/>
      </c>
      <c r="L10" s="19">
        <f>IF('Daily Closes'!L10="","",'Daily Closes'!L10/$E10-1)</f>
        <v/>
      </c>
      <c r="M10" s="19">
        <f>IF('Daily Closes'!M10="","",'Daily Closes'!M10/$E10-1)</f>
        <v/>
      </c>
      <c r="N10" s="19">
        <f>IF('Daily Closes'!N10="","",'Daily Closes'!N10/$E10-1)</f>
        <v/>
      </c>
      <c r="O10" s="19">
        <f>IF('Daily Closes'!O10="","",'Daily Closes'!O10/$E10-1)</f>
        <v/>
      </c>
      <c r="P10" s="19">
        <f>IF('Daily Closes'!P10="","",'Daily Closes'!P10/$E10-1)</f>
        <v/>
      </c>
      <c r="Q10" s="19">
        <f>IF('Daily Closes'!Q10="","",'Daily Closes'!Q10/$E10-1)</f>
        <v/>
      </c>
      <c r="R10" s="19">
        <f>IF('Daily Closes'!R10="","",'Daily Closes'!R10/$E10-1)</f>
        <v/>
      </c>
      <c r="S10" s="19">
        <f>IF('Daily Closes'!S10="","",'Daily Closes'!S10/$E10-1)</f>
        <v/>
      </c>
      <c r="T10" s="19">
        <f>IF('Daily Closes'!T10="","",'Daily Closes'!T10/$E10-1)</f>
        <v/>
      </c>
      <c r="U10" s="19">
        <f>IF('Daily Closes'!U10="","",'Daily Closes'!U10/$E10-1)</f>
        <v/>
      </c>
      <c r="V10" s="19">
        <f>IF('Daily Closes'!V10="","",'Daily Closes'!V10/$E10-1)</f>
        <v/>
      </c>
      <c r="W10" s="19">
        <f>IF('Daily Closes'!W10="","",'Daily Closes'!W10/$E10-1)</f>
        <v/>
      </c>
      <c r="X10" s="19">
        <f>IF('Daily Closes'!X10="","",'Daily Closes'!X10/$E10-1)</f>
        <v/>
      </c>
      <c r="Y10" s="19">
        <f>IF('Daily Closes'!Y10="","",'Daily Closes'!Y10/$E10-1)</f>
        <v/>
      </c>
      <c r="Z10" s="19">
        <f>IF('Daily Closes'!Z10="","",'Daily Closes'!Z10/$E10-1)</f>
        <v/>
      </c>
      <c r="AA10" s="19">
        <f>IF('Daily Closes'!AA10="","",'Daily Closes'!AA10/$E10-1)</f>
        <v/>
      </c>
    </row>
    <row r="11">
      <c r="A11" s="51">
        <f>'Daily Closes'!A11</f>
        <v/>
      </c>
      <c r="B11" s="16">
        <f>'Daily Closes'!B11</f>
        <v/>
      </c>
      <c r="C11" s="52">
        <f>'Daily Closes'!C11</f>
        <v/>
      </c>
      <c r="D11" s="51">
        <f>'Daily Closes'!D11</f>
        <v/>
      </c>
      <c r="E11" s="18">
        <f>'Daily Closes'!E11</f>
        <v/>
      </c>
      <c r="F11" s="35" t="inlineStr">
        <is>
          <t>—</t>
        </is>
      </c>
      <c r="G11" s="19">
        <f>IF('Daily Closes'!G11="","",'Daily Closes'!G11/$E11-1)</f>
        <v/>
      </c>
      <c r="H11" s="19">
        <f>IF('Daily Closes'!H11="","",'Daily Closes'!H11/$E11-1)</f>
        <v/>
      </c>
      <c r="I11" s="19">
        <f>IF('Daily Closes'!I11="","",'Daily Closes'!I11/$E11-1)</f>
        <v/>
      </c>
      <c r="J11" s="19">
        <f>IF('Daily Closes'!J11="","",'Daily Closes'!J11/$E11-1)</f>
        <v/>
      </c>
      <c r="K11" s="19">
        <f>IF('Daily Closes'!K11="","",'Daily Closes'!K11/$E11-1)</f>
        <v/>
      </c>
      <c r="L11" s="19">
        <f>IF('Daily Closes'!L11="","",'Daily Closes'!L11/$E11-1)</f>
        <v/>
      </c>
      <c r="M11" s="19">
        <f>IF('Daily Closes'!M11="","",'Daily Closes'!M11/$E11-1)</f>
        <v/>
      </c>
      <c r="N11" s="19">
        <f>IF('Daily Closes'!N11="","",'Daily Closes'!N11/$E11-1)</f>
        <v/>
      </c>
      <c r="O11" s="19">
        <f>IF('Daily Closes'!O11="","",'Daily Closes'!O11/$E11-1)</f>
        <v/>
      </c>
      <c r="P11" s="19">
        <f>IF('Daily Closes'!P11="","",'Daily Closes'!P11/$E11-1)</f>
        <v/>
      </c>
      <c r="Q11" s="19">
        <f>IF('Daily Closes'!Q11="","",'Daily Closes'!Q11/$E11-1)</f>
        <v/>
      </c>
      <c r="R11" s="19">
        <f>IF('Daily Closes'!R11="","",'Daily Closes'!R11/$E11-1)</f>
        <v/>
      </c>
      <c r="S11" s="19">
        <f>IF('Daily Closes'!S11="","",'Daily Closes'!S11/$E11-1)</f>
        <v/>
      </c>
      <c r="T11" s="19">
        <f>IF('Daily Closes'!T11="","",'Daily Closes'!T11/$E11-1)</f>
        <v/>
      </c>
      <c r="U11" s="19">
        <f>IF('Daily Closes'!U11="","",'Daily Closes'!U11/$E11-1)</f>
        <v/>
      </c>
      <c r="V11" s="19">
        <f>IF('Daily Closes'!V11="","",'Daily Closes'!V11/$E11-1)</f>
        <v/>
      </c>
      <c r="W11" s="19">
        <f>IF('Daily Closes'!W11="","",'Daily Closes'!W11/$E11-1)</f>
        <v/>
      </c>
      <c r="X11" s="19">
        <f>IF('Daily Closes'!X11="","",'Daily Closes'!X11/$E11-1)</f>
        <v/>
      </c>
      <c r="Y11" s="19">
        <f>IF('Daily Closes'!Y11="","",'Daily Closes'!Y11/$E11-1)</f>
        <v/>
      </c>
      <c r="Z11" s="19">
        <f>IF('Daily Closes'!Z11="","",'Daily Closes'!Z11/$E11-1)</f>
        <v/>
      </c>
      <c r="AA11" s="19">
        <f>IF('Daily Closes'!AA11="","",'Daily Closes'!AA11/$E11-1)</f>
        <v/>
      </c>
    </row>
    <row r="12">
      <c r="A12" s="51">
        <f>'Daily Closes'!A12</f>
        <v/>
      </c>
      <c r="B12" s="16">
        <f>'Daily Closes'!B12</f>
        <v/>
      </c>
      <c r="C12" s="52">
        <f>'Daily Closes'!C12</f>
        <v/>
      </c>
      <c r="D12" s="51">
        <f>'Daily Closes'!D12</f>
        <v/>
      </c>
      <c r="E12" s="18">
        <f>'Daily Closes'!E12</f>
        <v/>
      </c>
      <c r="F12" s="35" t="inlineStr">
        <is>
          <t>—</t>
        </is>
      </c>
      <c r="G12" s="19">
        <f>IF('Daily Closes'!G12="","",'Daily Closes'!G12/$E12-1)</f>
        <v/>
      </c>
      <c r="H12" s="19">
        <f>IF('Daily Closes'!H12="","",'Daily Closes'!H12/$E12-1)</f>
        <v/>
      </c>
      <c r="I12" s="19">
        <f>IF('Daily Closes'!I12="","",'Daily Closes'!I12/$E12-1)</f>
        <v/>
      </c>
      <c r="J12" s="19">
        <f>IF('Daily Closes'!J12="","",'Daily Closes'!J12/$E12-1)</f>
        <v/>
      </c>
      <c r="K12" s="19">
        <f>IF('Daily Closes'!K12="","",'Daily Closes'!K12/$E12-1)</f>
        <v/>
      </c>
      <c r="L12" s="19">
        <f>IF('Daily Closes'!L12="","",'Daily Closes'!L12/$E12-1)</f>
        <v/>
      </c>
      <c r="M12" s="19">
        <f>IF('Daily Closes'!M12="","",'Daily Closes'!M12/$E12-1)</f>
        <v/>
      </c>
      <c r="N12" s="19">
        <f>IF('Daily Closes'!N12="","",'Daily Closes'!N12/$E12-1)</f>
        <v/>
      </c>
      <c r="O12" s="19">
        <f>IF('Daily Closes'!O12="","",'Daily Closes'!O12/$E12-1)</f>
        <v/>
      </c>
      <c r="P12" s="19">
        <f>IF('Daily Closes'!P12="","",'Daily Closes'!P12/$E12-1)</f>
        <v/>
      </c>
      <c r="Q12" s="19">
        <f>IF('Daily Closes'!Q12="","",'Daily Closes'!Q12/$E12-1)</f>
        <v/>
      </c>
      <c r="R12" s="19">
        <f>IF('Daily Closes'!R12="","",'Daily Closes'!R12/$E12-1)</f>
        <v/>
      </c>
      <c r="S12" s="19">
        <f>IF('Daily Closes'!S12="","",'Daily Closes'!S12/$E12-1)</f>
        <v/>
      </c>
      <c r="T12" s="19">
        <f>IF('Daily Closes'!T12="","",'Daily Closes'!T12/$E12-1)</f>
        <v/>
      </c>
      <c r="U12" s="19">
        <f>IF('Daily Closes'!U12="","",'Daily Closes'!U12/$E12-1)</f>
        <v/>
      </c>
      <c r="V12" s="19">
        <f>IF('Daily Closes'!V12="","",'Daily Closes'!V12/$E12-1)</f>
        <v/>
      </c>
      <c r="W12" s="19">
        <f>IF('Daily Closes'!W12="","",'Daily Closes'!W12/$E12-1)</f>
        <v/>
      </c>
      <c r="X12" s="19">
        <f>IF('Daily Closes'!X12="","",'Daily Closes'!X12/$E12-1)</f>
        <v/>
      </c>
      <c r="Y12" s="19">
        <f>IF('Daily Closes'!Y12="","",'Daily Closes'!Y12/$E12-1)</f>
        <v/>
      </c>
      <c r="Z12" s="19">
        <f>IF('Daily Closes'!Z12="","",'Daily Closes'!Z12/$E12-1)</f>
        <v/>
      </c>
      <c r="AA12" s="19">
        <f>IF('Daily Closes'!AA12="","",'Daily Closes'!AA12/$E12-1)</f>
        <v/>
      </c>
    </row>
    <row r="13">
      <c r="A13" s="51">
        <f>'Daily Closes'!A13</f>
        <v/>
      </c>
      <c r="B13" s="16">
        <f>'Daily Closes'!B13</f>
        <v/>
      </c>
      <c r="C13" s="52">
        <f>'Daily Closes'!C13</f>
        <v/>
      </c>
      <c r="D13" s="51">
        <f>'Daily Closes'!D13</f>
        <v/>
      </c>
      <c r="E13" s="18">
        <f>'Daily Closes'!E13</f>
        <v/>
      </c>
      <c r="F13" s="35" t="inlineStr">
        <is>
          <t>—</t>
        </is>
      </c>
      <c r="G13" s="19">
        <f>IF('Daily Closes'!G13="","",'Daily Closes'!G13/$E13-1)</f>
        <v/>
      </c>
      <c r="H13" s="19">
        <f>IF('Daily Closes'!H13="","",'Daily Closes'!H13/$E13-1)</f>
        <v/>
      </c>
      <c r="I13" s="19">
        <f>IF('Daily Closes'!I13="","",'Daily Closes'!I13/$E13-1)</f>
        <v/>
      </c>
      <c r="J13" s="19">
        <f>IF('Daily Closes'!J13="","",'Daily Closes'!J13/$E13-1)</f>
        <v/>
      </c>
      <c r="K13" s="19">
        <f>IF('Daily Closes'!K13="","",'Daily Closes'!K13/$E13-1)</f>
        <v/>
      </c>
      <c r="L13" s="19">
        <f>IF('Daily Closes'!L13="","",'Daily Closes'!L13/$E13-1)</f>
        <v/>
      </c>
      <c r="M13" s="19">
        <f>IF('Daily Closes'!M13="","",'Daily Closes'!M13/$E13-1)</f>
        <v/>
      </c>
      <c r="N13" s="19">
        <f>IF('Daily Closes'!N13="","",'Daily Closes'!N13/$E13-1)</f>
        <v/>
      </c>
      <c r="O13" s="19">
        <f>IF('Daily Closes'!O13="","",'Daily Closes'!O13/$E13-1)</f>
        <v/>
      </c>
      <c r="P13" s="19">
        <f>IF('Daily Closes'!P13="","",'Daily Closes'!P13/$E13-1)</f>
        <v/>
      </c>
      <c r="Q13" s="19">
        <f>IF('Daily Closes'!Q13="","",'Daily Closes'!Q13/$E13-1)</f>
        <v/>
      </c>
      <c r="R13" s="19">
        <f>IF('Daily Closes'!R13="","",'Daily Closes'!R13/$E13-1)</f>
        <v/>
      </c>
      <c r="S13" s="19">
        <f>IF('Daily Closes'!S13="","",'Daily Closes'!S13/$E13-1)</f>
        <v/>
      </c>
      <c r="T13" s="19">
        <f>IF('Daily Closes'!T13="","",'Daily Closes'!T13/$E13-1)</f>
        <v/>
      </c>
      <c r="U13" s="19">
        <f>IF('Daily Closes'!U13="","",'Daily Closes'!U13/$E13-1)</f>
        <v/>
      </c>
      <c r="V13" s="19">
        <f>IF('Daily Closes'!V13="","",'Daily Closes'!V13/$E13-1)</f>
        <v/>
      </c>
      <c r="W13" s="19">
        <f>IF('Daily Closes'!W13="","",'Daily Closes'!W13/$E13-1)</f>
        <v/>
      </c>
      <c r="X13" s="19">
        <f>IF('Daily Closes'!X13="","",'Daily Closes'!X13/$E13-1)</f>
        <v/>
      </c>
      <c r="Y13" s="19">
        <f>IF('Daily Closes'!Y13="","",'Daily Closes'!Y13/$E13-1)</f>
        <v/>
      </c>
      <c r="Z13" s="19">
        <f>IF('Daily Closes'!Z13="","",'Daily Closes'!Z13/$E13-1)</f>
        <v/>
      </c>
      <c r="AA13" s="19">
        <f>IF('Daily Closes'!AA13="","",'Daily Closes'!AA13/$E13-1)</f>
        <v/>
      </c>
    </row>
    <row r="14">
      <c r="A14" s="51">
        <f>'Daily Closes'!A14</f>
        <v/>
      </c>
      <c r="B14" s="16">
        <f>'Daily Closes'!B14</f>
        <v/>
      </c>
      <c r="C14" s="52">
        <f>'Daily Closes'!C14</f>
        <v/>
      </c>
      <c r="D14" s="51">
        <f>'Daily Closes'!D14</f>
        <v/>
      </c>
      <c r="E14" s="18">
        <f>'Daily Closes'!E14</f>
        <v/>
      </c>
      <c r="F14" s="35" t="inlineStr">
        <is>
          <t>—</t>
        </is>
      </c>
      <c r="G14" s="19">
        <f>IF('Daily Closes'!G14="","",'Daily Closes'!G14/$E14-1)</f>
        <v/>
      </c>
      <c r="H14" s="19">
        <f>IF('Daily Closes'!H14="","",'Daily Closes'!H14/$E14-1)</f>
        <v/>
      </c>
      <c r="I14" s="19">
        <f>IF('Daily Closes'!I14="","",'Daily Closes'!I14/$E14-1)</f>
        <v/>
      </c>
      <c r="J14" s="19">
        <f>IF('Daily Closes'!J14="","",'Daily Closes'!J14/$E14-1)</f>
        <v/>
      </c>
      <c r="K14" s="19">
        <f>IF('Daily Closes'!K14="","",'Daily Closes'!K14/$E14-1)</f>
        <v/>
      </c>
      <c r="L14" s="19">
        <f>IF('Daily Closes'!L14="","",'Daily Closes'!L14/$E14-1)</f>
        <v/>
      </c>
      <c r="M14" s="19">
        <f>IF('Daily Closes'!M14="","",'Daily Closes'!M14/$E14-1)</f>
        <v/>
      </c>
      <c r="N14" s="19">
        <f>IF('Daily Closes'!N14="","",'Daily Closes'!N14/$E14-1)</f>
        <v/>
      </c>
      <c r="O14" s="19">
        <f>IF('Daily Closes'!O14="","",'Daily Closes'!O14/$E14-1)</f>
        <v/>
      </c>
      <c r="P14" s="19">
        <f>IF('Daily Closes'!P14="","",'Daily Closes'!P14/$E14-1)</f>
        <v/>
      </c>
      <c r="Q14" s="19">
        <f>IF('Daily Closes'!Q14="","",'Daily Closes'!Q14/$E14-1)</f>
        <v/>
      </c>
      <c r="R14" s="19">
        <f>IF('Daily Closes'!R14="","",'Daily Closes'!R14/$E14-1)</f>
        <v/>
      </c>
      <c r="S14" s="19">
        <f>IF('Daily Closes'!S14="","",'Daily Closes'!S14/$E14-1)</f>
        <v/>
      </c>
      <c r="T14" s="19">
        <f>IF('Daily Closes'!T14="","",'Daily Closes'!T14/$E14-1)</f>
        <v/>
      </c>
      <c r="U14" s="19">
        <f>IF('Daily Closes'!U14="","",'Daily Closes'!U14/$E14-1)</f>
        <v/>
      </c>
      <c r="V14" s="19">
        <f>IF('Daily Closes'!V14="","",'Daily Closes'!V14/$E14-1)</f>
        <v/>
      </c>
      <c r="W14" s="19">
        <f>IF('Daily Closes'!W14="","",'Daily Closes'!W14/$E14-1)</f>
        <v/>
      </c>
      <c r="X14" s="19">
        <f>IF('Daily Closes'!X14="","",'Daily Closes'!X14/$E14-1)</f>
        <v/>
      </c>
      <c r="Y14" s="19">
        <f>IF('Daily Closes'!Y14="","",'Daily Closes'!Y14/$E14-1)</f>
        <v/>
      </c>
      <c r="Z14" s="19">
        <f>IF('Daily Closes'!Z14="","",'Daily Closes'!Z14/$E14-1)</f>
        <v/>
      </c>
      <c r="AA14" s="19">
        <f>IF('Daily Closes'!AA14="","",'Daily Closes'!AA14/$E14-1)</f>
        <v/>
      </c>
    </row>
    <row r="15">
      <c r="A15" s="51">
        <f>'Daily Closes'!A15</f>
        <v/>
      </c>
      <c r="B15" s="16">
        <f>'Daily Closes'!B15</f>
        <v/>
      </c>
      <c r="C15" s="52">
        <f>'Daily Closes'!C15</f>
        <v/>
      </c>
      <c r="D15" s="51">
        <f>'Daily Closes'!D15</f>
        <v/>
      </c>
      <c r="E15" s="18">
        <f>'Daily Closes'!E15</f>
        <v/>
      </c>
      <c r="F15" s="35" t="inlineStr">
        <is>
          <t>—</t>
        </is>
      </c>
      <c r="G15" s="19">
        <f>IF('Daily Closes'!G15="","",'Daily Closes'!G15/$E15-1)</f>
        <v/>
      </c>
      <c r="H15" s="19">
        <f>IF('Daily Closes'!H15="","",'Daily Closes'!H15/$E15-1)</f>
        <v/>
      </c>
      <c r="I15" s="19">
        <f>IF('Daily Closes'!I15="","",'Daily Closes'!I15/$E15-1)</f>
        <v/>
      </c>
      <c r="J15" s="19">
        <f>IF('Daily Closes'!J15="","",'Daily Closes'!J15/$E15-1)</f>
        <v/>
      </c>
      <c r="K15" s="19">
        <f>IF('Daily Closes'!K15="","",'Daily Closes'!K15/$E15-1)</f>
        <v/>
      </c>
      <c r="L15" s="19">
        <f>IF('Daily Closes'!L15="","",'Daily Closes'!L15/$E15-1)</f>
        <v/>
      </c>
      <c r="M15" s="19">
        <f>IF('Daily Closes'!M15="","",'Daily Closes'!M15/$E15-1)</f>
        <v/>
      </c>
      <c r="N15" s="19">
        <f>IF('Daily Closes'!N15="","",'Daily Closes'!N15/$E15-1)</f>
        <v/>
      </c>
      <c r="O15" s="19">
        <f>IF('Daily Closes'!O15="","",'Daily Closes'!O15/$E15-1)</f>
        <v/>
      </c>
      <c r="P15" s="19">
        <f>IF('Daily Closes'!P15="","",'Daily Closes'!P15/$E15-1)</f>
        <v/>
      </c>
      <c r="Q15" s="19">
        <f>IF('Daily Closes'!Q15="","",'Daily Closes'!Q15/$E15-1)</f>
        <v/>
      </c>
      <c r="R15" s="19">
        <f>IF('Daily Closes'!R15="","",'Daily Closes'!R15/$E15-1)</f>
        <v/>
      </c>
      <c r="S15" s="19">
        <f>IF('Daily Closes'!S15="","",'Daily Closes'!S15/$E15-1)</f>
        <v/>
      </c>
      <c r="T15" s="19">
        <f>IF('Daily Closes'!T15="","",'Daily Closes'!T15/$E15-1)</f>
        <v/>
      </c>
      <c r="U15" s="19">
        <f>IF('Daily Closes'!U15="","",'Daily Closes'!U15/$E15-1)</f>
        <v/>
      </c>
      <c r="V15" s="19">
        <f>IF('Daily Closes'!V15="","",'Daily Closes'!V15/$E15-1)</f>
        <v/>
      </c>
      <c r="W15" s="19">
        <f>IF('Daily Closes'!W15="","",'Daily Closes'!W15/$E15-1)</f>
        <v/>
      </c>
      <c r="X15" s="19">
        <f>IF('Daily Closes'!X15="","",'Daily Closes'!X15/$E15-1)</f>
        <v/>
      </c>
      <c r="Y15" s="19">
        <f>IF('Daily Closes'!Y15="","",'Daily Closes'!Y15/$E15-1)</f>
        <v/>
      </c>
      <c r="Z15" s="19">
        <f>IF('Daily Closes'!Z15="","",'Daily Closes'!Z15/$E15-1)</f>
        <v/>
      </c>
      <c r="AA15" s="19">
        <f>IF('Daily Closes'!AA15="","",'Daily Closes'!AA15/$E15-1)</f>
        <v/>
      </c>
    </row>
    <row r="16">
      <c r="B16" s="16" t="inlineStr">
        <is>
          <t>PORTFOLIO</t>
        </is>
      </c>
      <c r="G16" s="49">
        <f>IF('Daily Closes'!G16="","",'Daily Closes'!G16/'Daily Closes'!$E$16-1)</f>
        <v/>
      </c>
      <c r="H16" s="49">
        <f>IF('Daily Closes'!H16="","",'Daily Closes'!H16/'Daily Closes'!$E$16-1)</f>
        <v/>
      </c>
      <c r="I16" s="49">
        <f>IF('Daily Closes'!I16="","",'Daily Closes'!I16/'Daily Closes'!$E$16-1)</f>
        <v/>
      </c>
      <c r="J16" s="49">
        <f>IF('Daily Closes'!J16="","",'Daily Closes'!J16/'Daily Closes'!$E$16-1)</f>
        <v/>
      </c>
      <c r="K16" s="49">
        <f>IF('Daily Closes'!K16="","",'Daily Closes'!K16/'Daily Closes'!$E$16-1)</f>
        <v/>
      </c>
      <c r="L16" s="49">
        <f>IF('Daily Closes'!L16="","",'Daily Closes'!L16/'Daily Closes'!$E$16-1)</f>
        <v/>
      </c>
      <c r="M16" s="49">
        <f>IF('Daily Closes'!M16="","",'Daily Closes'!M16/'Daily Closes'!$E$16-1)</f>
        <v/>
      </c>
      <c r="N16" s="49">
        <f>IF('Daily Closes'!N16="","",'Daily Closes'!N16/'Daily Closes'!$E$16-1)</f>
        <v/>
      </c>
      <c r="O16" s="49">
        <f>IF('Daily Closes'!O16="","",'Daily Closes'!O16/'Daily Closes'!$E$16-1)</f>
        <v/>
      </c>
      <c r="P16" s="49">
        <f>IF('Daily Closes'!P16="","",'Daily Closes'!P16/'Daily Closes'!$E$16-1)</f>
        <v/>
      </c>
      <c r="Q16" s="49">
        <f>IF('Daily Closes'!Q16="","",'Daily Closes'!Q16/'Daily Closes'!$E$16-1)</f>
        <v/>
      </c>
      <c r="R16" s="49">
        <f>IF('Daily Closes'!R16="","",'Daily Closes'!R16/'Daily Closes'!$E$16-1)</f>
        <v/>
      </c>
      <c r="S16" s="49">
        <f>IF('Daily Closes'!S16="","",'Daily Closes'!S16/'Daily Closes'!$E$16-1)</f>
        <v/>
      </c>
      <c r="T16" s="49">
        <f>IF('Daily Closes'!T16="","",'Daily Closes'!T16/'Daily Closes'!$E$16-1)</f>
        <v/>
      </c>
      <c r="U16" s="49">
        <f>IF('Daily Closes'!U16="","",'Daily Closes'!U16/'Daily Closes'!$E$16-1)</f>
        <v/>
      </c>
      <c r="V16" s="49">
        <f>IF('Daily Closes'!V16="","",'Daily Closes'!V16/'Daily Closes'!$E$16-1)</f>
        <v/>
      </c>
      <c r="W16" s="49">
        <f>IF('Daily Closes'!W16="","",'Daily Closes'!W16/'Daily Closes'!$E$16-1)</f>
        <v/>
      </c>
      <c r="X16" s="49">
        <f>IF('Daily Closes'!X16="","",'Daily Closes'!X16/'Daily Closes'!$E$16-1)</f>
        <v/>
      </c>
      <c r="Y16" s="49">
        <f>IF('Daily Closes'!Y16="","",'Daily Closes'!Y16/'Daily Closes'!$E$16-1)</f>
        <v/>
      </c>
      <c r="Z16" s="49">
        <f>IF('Daily Closes'!Z16="","",'Daily Closes'!Z16/'Daily Closes'!$E$16-1)</f>
        <v/>
      </c>
      <c r="AA16" s="49">
        <f>IF('Daily Closes'!AA16="","",'Daily Closes'!AA16/'Daily Closes'!$E$16-1)</f>
        <v/>
      </c>
    </row>
  </sheetData>
  <mergeCells count="2">
    <mergeCell ref="A1:AA1"/>
    <mergeCell ref="A2:AA2"/>
  </mergeCells>
  <conditionalFormatting sqref="G6:AA16">
    <cfRule type="colorScale" priority="1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C9860A"/>
    <outlinePr summaryBelow="1" summaryRight="1"/>
    <pageSetUpPr fitToPage="1"/>
  </sheetPr>
  <dimension ref="A1:AA16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6" customWidth="1" min="4" max="4"/>
    <col width="10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</cols>
  <sheetData>
    <row r="1" ht="30" customHeight="1">
      <c r="A1" s="1" t="inlineStr">
        <is>
          <t>Mark-to-Market P&amp;L (₹)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Qty × (close − entry). Gross of costs.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4">
      <c r="A4" s="15" t="inlineStr">
        <is>
          <t>#</t>
        </is>
      </c>
      <c r="B4" s="15" t="inlineStr">
        <is>
          <t>Symbol</t>
        </is>
      </c>
      <c r="C4" s="15" t="inlineStr">
        <is>
          <t>ISIN</t>
        </is>
      </c>
      <c r="D4" s="15" t="inlineStr">
        <is>
          <t>Qty</t>
        </is>
      </c>
      <c r="E4" s="15" t="inlineStr">
        <is>
          <t>Entry ₹</t>
        </is>
      </c>
      <c r="F4" s="15" t="inlineStr">
        <is>
          <t>Day 0</t>
        </is>
      </c>
      <c r="G4" s="15" t="inlineStr">
        <is>
          <t>Day 1</t>
        </is>
      </c>
      <c r="H4" s="15" t="inlineStr">
        <is>
          <t>Day 2</t>
        </is>
      </c>
      <c r="I4" s="15" t="inlineStr">
        <is>
          <t>Day 3</t>
        </is>
      </c>
      <c r="J4" s="15" t="inlineStr">
        <is>
          <t>Day 4</t>
        </is>
      </c>
      <c r="K4" s="15" t="inlineStr">
        <is>
          <t>Day 5</t>
        </is>
      </c>
      <c r="L4" s="15" t="inlineStr">
        <is>
          <t>Day 6</t>
        </is>
      </c>
      <c r="M4" s="15" t="inlineStr">
        <is>
          <t>Day 7</t>
        </is>
      </c>
      <c r="N4" s="15" t="inlineStr">
        <is>
          <t>Day 8</t>
        </is>
      </c>
      <c r="O4" s="15" t="inlineStr">
        <is>
          <t>Day 9</t>
        </is>
      </c>
      <c r="P4" s="15" t="inlineStr">
        <is>
          <t>Day 10</t>
        </is>
      </c>
      <c r="Q4" s="15" t="inlineStr">
        <is>
          <t>Day 11</t>
        </is>
      </c>
      <c r="R4" s="15" t="inlineStr">
        <is>
          <t>Day 12</t>
        </is>
      </c>
      <c r="S4" s="15" t="inlineStr">
        <is>
          <t>Day 13</t>
        </is>
      </c>
      <c r="T4" s="15" t="inlineStr">
        <is>
          <t>Day 14</t>
        </is>
      </c>
      <c r="U4" s="15" t="inlineStr">
        <is>
          <t>Day 15</t>
        </is>
      </c>
      <c r="V4" s="15" t="inlineStr">
        <is>
          <t>Day 16</t>
        </is>
      </c>
      <c r="W4" s="15" t="inlineStr">
        <is>
          <t>Day 17</t>
        </is>
      </c>
      <c r="X4" s="30" t="inlineStr">
        <is>
          <t>Day 18</t>
        </is>
      </c>
      <c r="Y4" s="15" t="inlineStr">
        <is>
          <t>Day 19</t>
        </is>
      </c>
      <c r="Z4" s="15" t="inlineStr">
        <is>
          <t>Day 20</t>
        </is>
      </c>
      <c r="AA4" s="15" t="inlineStr">
        <is>
          <t>Day 21</t>
        </is>
      </c>
    </row>
    <row r="6">
      <c r="A6" s="51">
        <f>'Daily Closes'!A6</f>
        <v/>
      </c>
      <c r="B6" s="16">
        <f>'Daily Closes'!B6</f>
        <v/>
      </c>
      <c r="C6" s="52">
        <f>'Daily Closes'!C6</f>
        <v/>
      </c>
      <c r="D6" s="51">
        <f>'Daily Closes'!D6</f>
        <v/>
      </c>
      <c r="E6" s="18">
        <f>'Daily Closes'!E6</f>
        <v/>
      </c>
      <c r="F6" s="35" t="inlineStr">
        <is>
          <t>—</t>
        </is>
      </c>
      <c r="G6" s="20">
        <f>IF('Daily Closes'!G6="","",$D6*('Daily Closes'!G6-$E6))</f>
        <v/>
      </c>
      <c r="H6" s="20">
        <f>IF('Daily Closes'!H6="","",$D6*('Daily Closes'!H6-$E6))</f>
        <v/>
      </c>
      <c r="I6" s="20">
        <f>IF('Daily Closes'!I6="","",$D6*('Daily Closes'!I6-$E6))</f>
        <v/>
      </c>
      <c r="J6" s="20">
        <f>IF('Daily Closes'!J6="","",$D6*('Daily Closes'!J6-$E6))</f>
        <v/>
      </c>
      <c r="K6" s="20">
        <f>IF('Daily Closes'!K6="","",$D6*('Daily Closes'!K6-$E6))</f>
        <v/>
      </c>
      <c r="L6" s="20">
        <f>IF('Daily Closes'!L6="","",$D6*('Daily Closes'!L6-$E6))</f>
        <v/>
      </c>
      <c r="M6" s="20">
        <f>IF('Daily Closes'!M6="","",$D6*('Daily Closes'!M6-$E6))</f>
        <v/>
      </c>
      <c r="N6" s="20">
        <f>IF('Daily Closes'!N6="","",$D6*('Daily Closes'!N6-$E6))</f>
        <v/>
      </c>
      <c r="O6" s="20">
        <f>IF('Daily Closes'!O6="","",$D6*('Daily Closes'!O6-$E6))</f>
        <v/>
      </c>
      <c r="P6" s="20">
        <f>IF('Daily Closes'!P6="","",$D6*('Daily Closes'!P6-$E6))</f>
        <v/>
      </c>
      <c r="Q6" s="20">
        <f>IF('Daily Closes'!Q6="","",$D6*('Daily Closes'!Q6-$E6))</f>
        <v/>
      </c>
      <c r="R6" s="20">
        <f>IF('Daily Closes'!R6="","",$D6*('Daily Closes'!R6-$E6))</f>
        <v/>
      </c>
      <c r="S6" s="20">
        <f>IF('Daily Closes'!S6="","",$D6*('Daily Closes'!S6-$E6))</f>
        <v/>
      </c>
      <c r="T6" s="20">
        <f>IF('Daily Closes'!T6="","",$D6*('Daily Closes'!T6-$E6))</f>
        <v/>
      </c>
      <c r="U6" s="20">
        <f>IF('Daily Closes'!U6="","",$D6*('Daily Closes'!U6-$E6))</f>
        <v/>
      </c>
      <c r="V6" s="20">
        <f>IF('Daily Closes'!V6="","",$D6*('Daily Closes'!V6-$E6))</f>
        <v/>
      </c>
      <c r="W6" s="20">
        <f>IF('Daily Closes'!W6="","",$D6*('Daily Closes'!W6-$E6))</f>
        <v/>
      </c>
      <c r="X6" s="20">
        <f>IF('Daily Closes'!X6="","",$D6*('Daily Closes'!X6-$E6))</f>
        <v/>
      </c>
      <c r="Y6" s="20">
        <f>IF('Daily Closes'!Y6="","",$D6*('Daily Closes'!Y6-$E6))</f>
        <v/>
      </c>
      <c r="Z6" s="20">
        <f>IF('Daily Closes'!Z6="","",$D6*('Daily Closes'!Z6-$E6))</f>
        <v/>
      </c>
      <c r="AA6" s="20">
        <f>IF('Daily Closes'!AA6="","",$D6*('Daily Closes'!AA6-$E6))</f>
        <v/>
      </c>
    </row>
    <row r="7">
      <c r="A7" s="51">
        <f>'Daily Closes'!A7</f>
        <v/>
      </c>
      <c r="B7" s="16">
        <f>'Daily Closes'!B7</f>
        <v/>
      </c>
      <c r="C7" s="52">
        <f>'Daily Closes'!C7</f>
        <v/>
      </c>
      <c r="D7" s="51">
        <f>'Daily Closes'!D7</f>
        <v/>
      </c>
      <c r="E7" s="18">
        <f>'Daily Closes'!E7</f>
        <v/>
      </c>
      <c r="F7" s="35" t="inlineStr">
        <is>
          <t>—</t>
        </is>
      </c>
      <c r="G7" s="20">
        <f>IF('Daily Closes'!G7="","",$D7*('Daily Closes'!G7-$E7))</f>
        <v/>
      </c>
      <c r="H7" s="20">
        <f>IF('Daily Closes'!H7="","",$D7*('Daily Closes'!H7-$E7))</f>
        <v/>
      </c>
      <c r="I7" s="20">
        <f>IF('Daily Closes'!I7="","",$D7*('Daily Closes'!I7-$E7))</f>
        <v/>
      </c>
      <c r="J7" s="20">
        <f>IF('Daily Closes'!J7="","",$D7*('Daily Closes'!J7-$E7))</f>
        <v/>
      </c>
      <c r="K7" s="20">
        <f>IF('Daily Closes'!K7="","",$D7*('Daily Closes'!K7-$E7))</f>
        <v/>
      </c>
      <c r="L7" s="20">
        <f>IF('Daily Closes'!L7="","",$D7*('Daily Closes'!L7-$E7))</f>
        <v/>
      </c>
      <c r="M7" s="20">
        <f>IF('Daily Closes'!M7="","",$D7*('Daily Closes'!M7-$E7))</f>
        <v/>
      </c>
      <c r="N7" s="20">
        <f>IF('Daily Closes'!N7="","",$D7*('Daily Closes'!N7-$E7))</f>
        <v/>
      </c>
      <c r="O7" s="20">
        <f>IF('Daily Closes'!O7="","",$D7*('Daily Closes'!O7-$E7))</f>
        <v/>
      </c>
      <c r="P7" s="20">
        <f>IF('Daily Closes'!P7="","",$D7*('Daily Closes'!P7-$E7))</f>
        <v/>
      </c>
      <c r="Q7" s="20">
        <f>IF('Daily Closes'!Q7="","",$D7*('Daily Closes'!Q7-$E7))</f>
        <v/>
      </c>
      <c r="R7" s="20">
        <f>IF('Daily Closes'!R7="","",$D7*('Daily Closes'!R7-$E7))</f>
        <v/>
      </c>
      <c r="S7" s="20">
        <f>IF('Daily Closes'!S7="","",$D7*('Daily Closes'!S7-$E7))</f>
        <v/>
      </c>
      <c r="T7" s="20">
        <f>IF('Daily Closes'!T7="","",$D7*('Daily Closes'!T7-$E7))</f>
        <v/>
      </c>
      <c r="U7" s="20">
        <f>IF('Daily Closes'!U7="","",$D7*('Daily Closes'!U7-$E7))</f>
        <v/>
      </c>
      <c r="V7" s="20">
        <f>IF('Daily Closes'!V7="","",$D7*('Daily Closes'!V7-$E7))</f>
        <v/>
      </c>
      <c r="W7" s="20">
        <f>IF('Daily Closes'!W7="","",$D7*('Daily Closes'!W7-$E7))</f>
        <v/>
      </c>
      <c r="X7" s="20">
        <f>IF('Daily Closes'!X7="","",$D7*('Daily Closes'!X7-$E7))</f>
        <v/>
      </c>
      <c r="Y7" s="20">
        <f>IF('Daily Closes'!Y7="","",$D7*('Daily Closes'!Y7-$E7))</f>
        <v/>
      </c>
      <c r="Z7" s="20">
        <f>IF('Daily Closes'!Z7="","",$D7*('Daily Closes'!Z7-$E7))</f>
        <v/>
      </c>
      <c r="AA7" s="20">
        <f>IF('Daily Closes'!AA7="","",$D7*('Daily Closes'!AA7-$E7))</f>
        <v/>
      </c>
    </row>
    <row r="8">
      <c r="A8" s="51">
        <f>'Daily Closes'!A8</f>
        <v/>
      </c>
      <c r="B8" s="16">
        <f>'Daily Closes'!B8</f>
        <v/>
      </c>
      <c r="C8" s="52">
        <f>'Daily Closes'!C8</f>
        <v/>
      </c>
      <c r="D8" s="51">
        <f>'Daily Closes'!D8</f>
        <v/>
      </c>
      <c r="E8" s="18">
        <f>'Daily Closes'!E8</f>
        <v/>
      </c>
      <c r="F8" s="35" t="inlineStr">
        <is>
          <t>—</t>
        </is>
      </c>
      <c r="G8" s="20">
        <f>IF('Daily Closes'!G8="","",$D8*('Daily Closes'!G8-$E8))</f>
        <v/>
      </c>
      <c r="H8" s="20">
        <f>IF('Daily Closes'!H8="","",$D8*('Daily Closes'!H8-$E8))</f>
        <v/>
      </c>
      <c r="I8" s="20">
        <f>IF('Daily Closes'!I8="","",$D8*('Daily Closes'!I8-$E8))</f>
        <v/>
      </c>
      <c r="J8" s="20">
        <f>IF('Daily Closes'!J8="","",$D8*('Daily Closes'!J8-$E8))</f>
        <v/>
      </c>
      <c r="K8" s="20">
        <f>IF('Daily Closes'!K8="","",$D8*('Daily Closes'!K8-$E8))</f>
        <v/>
      </c>
      <c r="L8" s="20">
        <f>IF('Daily Closes'!L8="","",$D8*('Daily Closes'!L8-$E8))</f>
        <v/>
      </c>
      <c r="M8" s="20">
        <f>IF('Daily Closes'!M8="","",$D8*('Daily Closes'!M8-$E8))</f>
        <v/>
      </c>
      <c r="N8" s="20">
        <f>IF('Daily Closes'!N8="","",$D8*('Daily Closes'!N8-$E8))</f>
        <v/>
      </c>
      <c r="O8" s="20">
        <f>IF('Daily Closes'!O8="","",$D8*('Daily Closes'!O8-$E8))</f>
        <v/>
      </c>
      <c r="P8" s="20">
        <f>IF('Daily Closes'!P8="","",$D8*('Daily Closes'!P8-$E8))</f>
        <v/>
      </c>
      <c r="Q8" s="20">
        <f>IF('Daily Closes'!Q8="","",$D8*('Daily Closes'!Q8-$E8))</f>
        <v/>
      </c>
      <c r="R8" s="20">
        <f>IF('Daily Closes'!R8="","",$D8*('Daily Closes'!R8-$E8))</f>
        <v/>
      </c>
      <c r="S8" s="20">
        <f>IF('Daily Closes'!S8="","",$D8*('Daily Closes'!S8-$E8))</f>
        <v/>
      </c>
      <c r="T8" s="20">
        <f>IF('Daily Closes'!T8="","",$D8*('Daily Closes'!T8-$E8))</f>
        <v/>
      </c>
      <c r="U8" s="20">
        <f>IF('Daily Closes'!U8="","",$D8*('Daily Closes'!U8-$E8))</f>
        <v/>
      </c>
      <c r="V8" s="20">
        <f>IF('Daily Closes'!V8="","",$D8*('Daily Closes'!V8-$E8))</f>
        <v/>
      </c>
      <c r="W8" s="20">
        <f>IF('Daily Closes'!W8="","",$D8*('Daily Closes'!W8-$E8))</f>
        <v/>
      </c>
      <c r="X8" s="20">
        <f>IF('Daily Closes'!X8="","",$D8*('Daily Closes'!X8-$E8))</f>
        <v/>
      </c>
      <c r="Y8" s="20">
        <f>IF('Daily Closes'!Y8="","",$D8*('Daily Closes'!Y8-$E8))</f>
        <v/>
      </c>
      <c r="Z8" s="20">
        <f>IF('Daily Closes'!Z8="","",$D8*('Daily Closes'!Z8-$E8))</f>
        <v/>
      </c>
      <c r="AA8" s="20">
        <f>IF('Daily Closes'!AA8="","",$D8*('Daily Closes'!AA8-$E8))</f>
        <v/>
      </c>
    </row>
    <row r="9">
      <c r="A9" s="51">
        <f>'Daily Closes'!A9</f>
        <v/>
      </c>
      <c r="B9" s="16">
        <f>'Daily Closes'!B9</f>
        <v/>
      </c>
      <c r="C9" s="52">
        <f>'Daily Closes'!C9</f>
        <v/>
      </c>
      <c r="D9" s="51">
        <f>'Daily Closes'!D9</f>
        <v/>
      </c>
      <c r="E9" s="18">
        <f>'Daily Closes'!E9</f>
        <v/>
      </c>
      <c r="F9" s="35" t="inlineStr">
        <is>
          <t>—</t>
        </is>
      </c>
      <c r="G9" s="20">
        <f>IF('Daily Closes'!G9="","",$D9*('Daily Closes'!G9-$E9))</f>
        <v/>
      </c>
      <c r="H9" s="20">
        <f>IF('Daily Closes'!H9="","",$D9*('Daily Closes'!H9-$E9))</f>
        <v/>
      </c>
      <c r="I9" s="20">
        <f>IF('Daily Closes'!I9="","",$D9*('Daily Closes'!I9-$E9))</f>
        <v/>
      </c>
      <c r="J9" s="20">
        <f>IF('Daily Closes'!J9="","",$D9*('Daily Closes'!J9-$E9))</f>
        <v/>
      </c>
      <c r="K9" s="20">
        <f>IF('Daily Closes'!K9="","",$D9*('Daily Closes'!K9-$E9))</f>
        <v/>
      </c>
      <c r="L9" s="20">
        <f>IF('Daily Closes'!L9="","",$D9*('Daily Closes'!L9-$E9))</f>
        <v/>
      </c>
      <c r="M9" s="20">
        <f>IF('Daily Closes'!M9="","",$D9*('Daily Closes'!M9-$E9))</f>
        <v/>
      </c>
      <c r="N9" s="20">
        <f>IF('Daily Closes'!N9="","",$D9*('Daily Closes'!N9-$E9))</f>
        <v/>
      </c>
      <c r="O9" s="20">
        <f>IF('Daily Closes'!O9="","",$D9*('Daily Closes'!O9-$E9))</f>
        <v/>
      </c>
      <c r="P9" s="20">
        <f>IF('Daily Closes'!P9="","",$D9*('Daily Closes'!P9-$E9))</f>
        <v/>
      </c>
      <c r="Q9" s="20">
        <f>IF('Daily Closes'!Q9="","",$D9*('Daily Closes'!Q9-$E9))</f>
        <v/>
      </c>
      <c r="R9" s="20">
        <f>IF('Daily Closes'!R9="","",$D9*('Daily Closes'!R9-$E9))</f>
        <v/>
      </c>
      <c r="S9" s="20">
        <f>IF('Daily Closes'!S9="","",$D9*('Daily Closes'!S9-$E9))</f>
        <v/>
      </c>
      <c r="T9" s="20">
        <f>IF('Daily Closes'!T9="","",$D9*('Daily Closes'!T9-$E9))</f>
        <v/>
      </c>
      <c r="U9" s="20">
        <f>IF('Daily Closes'!U9="","",$D9*('Daily Closes'!U9-$E9))</f>
        <v/>
      </c>
      <c r="V9" s="20">
        <f>IF('Daily Closes'!V9="","",$D9*('Daily Closes'!V9-$E9))</f>
        <v/>
      </c>
      <c r="W9" s="20">
        <f>IF('Daily Closes'!W9="","",$D9*('Daily Closes'!W9-$E9))</f>
        <v/>
      </c>
      <c r="X9" s="20">
        <f>IF('Daily Closes'!X9="","",$D9*('Daily Closes'!X9-$E9))</f>
        <v/>
      </c>
      <c r="Y9" s="20">
        <f>IF('Daily Closes'!Y9="","",$D9*('Daily Closes'!Y9-$E9))</f>
        <v/>
      </c>
      <c r="Z9" s="20">
        <f>IF('Daily Closes'!Z9="","",$D9*('Daily Closes'!Z9-$E9))</f>
        <v/>
      </c>
      <c r="AA9" s="20">
        <f>IF('Daily Closes'!AA9="","",$D9*('Daily Closes'!AA9-$E9))</f>
        <v/>
      </c>
    </row>
    <row r="10">
      <c r="A10" s="51">
        <f>'Daily Closes'!A10</f>
        <v/>
      </c>
      <c r="B10" s="16">
        <f>'Daily Closes'!B10</f>
        <v/>
      </c>
      <c r="C10" s="52">
        <f>'Daily Closes'!C10</f>
        <v/>
      </c>
      <c r="D10" s="51">
        <f>'Daily Closes'!D10</f>
        <v/>
      </c>
      <c r="E10" s="18">
        <f>'Daily Closes'!E10</f>
        <v/>
      </c>
      <c r="F10" s="35" t="inlineStr">
        <is>
          <t>—</t>
        </is>
      </c>
      <c r="G10" s="20">
        <f>IF('Daily Closes'!G10="","",$D10*('Daily Closes'!G10-$E10))</f>
        <v/>
      </c>
      <c r="H10" s="20">
        <f>IF('Daily Closes'!H10="","",$D10*('Daily Closes'!H10-$E10))</f>
        <v/>
      </c>
      <c r="I10" s="20">
        <f>IF('Daily Closes'!I10="","",$D10*('Daily Closes'!I10-$E10))</f>
        <v/>
      </c>
      <c r="J10" s="20">
        <f>IF('Daily Closes'!J10="","",$D10*('Daily Closes'!J10-$E10))</f>
        <v/>
      </c>
      <c r="K10" s="20">
        <f>IF('Daily Closes'!K10="","",$D10*('Daily Closes'!K10-$E10))</f>
        <v/>
      </c>
      <c r="L10" s="20">
        <f>IF('Daily Closes'!L10="","",$D10*('Daily Closes'!L10-$E10))</f>
        <v/>
      </c>
      <c r="M10" s="20">
        <f>IF('Daily Closes'!M10="","",$D10*('Daily Closes'!M10-$E10))</f>
        <v/>
      </c>
      <c r="N10" s="20">
        <f>IF('Daily Closes'!N10="","",$D10*('Daily Closes'!N10-$E10))</f>
        <v/>
      </c>
      <c r="O10" s="20">
        <f>IF('Daily Closes'!O10="","",$D10*('Daily Closes'!O10-$E10))</f>
        <v/>
      </c>
      <c r="P10" s="20">
        <f>IF('Daily Closes'!P10="","",$D10*('Daily Closes'!P10-$E10))</f>
        <v/>
      </c>
      <c r="Q10" s="20">
        <f>IF('Daily Closes'!Q10="","",$D10*('Daily Closes'!Q10-$E10))</f>
        <v/>
      </c>
      <c r="R10" s="20">
        <f>IF('Daily Closes'!R10="","",$D10*('Daily Closes'!R10-$E10))</f>
        <v/>
      </c>
      <c r="S10" s="20">
        <f>IF('Daily Closes'!S10="","",$D10*('Daily Closes'!S10-$E10))</f>
        <v/>
      </c>
      <c r="T10" s="20">
        <f>IF('Daily Closes'!T10="","",$D10*('Daily Closes'!T10-$E10))</f>
        <v/>
      </c>
      <c r="U10" s="20">
        <f>IF('Daily Closes'!U10="","",$D10*('Daily Closes'!U10-$E10))</f>
        <v/>
      </c>
      <c r="V10" s="20">
        <f>IF('Daily Closes'!V10="","",$D10*('Daily Closes'!V10-$E10))</f>
        <v/>
      </c>
      <c r="W10" s="20">
        <f>IF('Daily Closes'!W10="","",$D10*('Daily Closes'!W10-$E10))</f>
        <v/>
      </c>
      <c r="X10" s="20">
        <f>IF('Daily Closes'!X10="","",$D10*('Daily Closes'!X10-$E10))</f>
        <v/>
      </c>
      <c r="Y10" s="20">
        <f>IF('Daily Closes'!Y10="","",$D10*('Daily Closes'!Y10-$E10))</f>
        <v/>
      </c>
      <c r="Z10" s="20">
        <f>IF('Daily Closes'!Z10="","",$D10*('Daily Closes'!Z10-$E10))</f>
        <v/>
      </c>
      <c r="AA10" s="20">
        <f>IF('Daily Closes'!AA10="","",$D10*('Daily Closes'!AA10-$E10))</f>
        <v/>
      </c>
    </row>
    <row r="11">
      <c r="A11" s="51">
        <f>'Daily Closes'!A11</f>
        <v/>
      </c>
      <c r="B11" s="16">
        <f>'Daily Closes'!B11</f>
        <v/>
      </c>
      <c r="C11" s="52">
        <f>'Daily Closes'!C11</f>
        <v/>
      </c>
      <c r="D11" s="51">
        <f>'Daily Closes'!D11</f>
        <v/>
      </c>
      <c r="E11" s="18">
        <f>'Daily Closes'!E11</f>
        <v/>
      </c>
      <c r="F11" s="35" t="inlineStr">
        <is>
          <t>—</t>
        </is>
      </c>
      <c r="G11" s="20">
        <f>IF('Daily Closes'!G11="","",$D11*('Daily Closes'!G11-$E11))</f>
        <v/>
      </c>
      <c r="H11" s="20">
        <f>IF('Daily Closes'!H11="","",$D11*('Daily Closes'!H11-$E11))</f>
        <v/>
      </c>
      <c r="I11" s="20">
        <f>IF('Daily Closes'!I11="","",$D11*('Daily Closes'!I11-$E11))</f>
        <v/>
      </c>
      <c r="J11" s="20">
        <f>IF('Daily Closes'!J11="","",$D11*('Daily Closes'!J11-$E11))</f>
        <v/>
      </c>
      <c r="K11" s="20">
        <f>IF('Daily Closes'!K11="","",$D11*('Daily Closes'!K11-$E11))</f>
        <v/>
      </c>
      <c r="L11" s="20">
        <f>IF('Daily Closes'!L11="","",$D11*('Daily Closes'!L11-$E11))</f>
        <v/>
      </c>
      <c r="M11" s="20">
        <f>IF('Daily Closes'!M11="","",$D11*('Daily Closes'!M11-$E11))</f>
        <v/>
      </c>
      <c r="N11" s="20">
        <f>IF('Daily Closes'!N11="","",$D11*('Daily Closes'!N11-$E11))</f>
        <v/>
      </c>
      <c r="O11" s="20">
        <f>IF('Daily Closes'!O11="","",$D11*('Daily Closes'!O11-$E11))</f>
        <v/>
      </c>
      <c r="P11" s="20">
        <f>IF('Daily Closes'!P11="","",$D11*('Daily Closes'!P11-$E11))</f>
        <v/>
      </c>
      <c r="Q11" s="20">
        <f>IF('Daily Closes'!Q11="","",$D11*('Daily Closes'!Q11-$E11))</f>
        <v/>
      </c>
      <c r="R11" s="20">
        <f>IF('Daily Closes'!R11="","",$D11*('Daily Closes'!R11-$E11))</f>
        <v/>
      </c>
      <c r="S11" s="20">
        <f>IF('Daily Closes'!S11="","",$D11*('Daily Closes'!S11-$E11))</f>
        <v/>
      </c>
      <c r="T11" s="20">
        <f>IF('Daily Closes'!T11="","",$D11*('Daily Closes'!T11-$E11))</f>
        <v/>
      </c>
      <c r="U11" s="20">
        <f>IF('Daily Closes'!U11="","",$D11*('Daily Closes'!U11-$E11))</f>
        <v/>
      </c>
      <c r="V11" s="20">
        <f>IF('Daily Closes'!V11="","",$D11*('Daily Closes'!V11-$E11))</f>
        <v/>
      </c>
      <c r="W11" s="20">
        <f>IF('Daily Closes'!W11="","",$D11*('Daily Closes'!W11-$E11))</f>
        <v/>
      </c>
      <c r="X11" s="20">
        <f>IF('Daily Closes'!X11="","",$D11*('Daily Closes'!X11-$E11))</f>
        <v/>
      </c>
      <c r="Y11" s="20">
        <f>IF('Daily Closes'!Y11="","",$D11*('Daily Closes'!Y11-$E11))</f>
        <v/>
      </c>
      <c r="Z11" s="20">
        <f>IF('Daily Closes'!Z11="","",$D11*('Daily Closes'!Z11-$E11))</f>
        <v/>
      </c>
      <c r="AA11" s="20">
        <f>IF('Daily Closes'!AA11="","",$D11*('Daily Closes'!AA11-$E11))</f>
        <v/>
      </c>
    </row>
    <row r="12">
      <c r="A12" s="51">
        <f>'Daily Closes'!A12</f>
        <v/>
      </c>
      <c r="B12" s="16">
        <f>'Daily Closes'!B12</f>
        <v/>
      </c>
      <c r="C12" s="52">
        <f>'Daily Closes'!C12</f>
        <v/>
      </c>
      <c r="D12" s="51">
        <f>'Daily Closes'!D12</f>
        <v/>
      </c>
      <c r="E12" s="18">
        <f>'Daily Closes'!E12</f>
        <v/>
      </c>
      <c r="F12" s="35" t="inlineStr">
        <is>
          <t>—</t>
        </is>
      </c>
      <c r="G12" s="20">
        <f>IF('Daily Closes'!G12="","",$D12*('Daily Closes'!G12-$E12))</f>
        <v/>
      </c>
      <c r="H12" s="20">
        <f>IF('Daily Closes'!H12="","",$D12*('Daily Closes'!H12-$E12))</f>
        <v/>
      </c>
      <c r="I12" s="20">
        <f>IF('Daily Closes'!I12="","",$D12*('Daily Closes'!I12-$E12))</f>
        <v/>
      </c>
      <c r="J12" s="20">
        <f>IF('Daily Closes'!J12="","",$D12*('Daily Closes'!J12-$E12))</f>
        <v/>
      </c>
      <c r="K12" s="20">
        <f>IF('Daily Closes'!K12="","",$D12*('Daily Closes'!K12-$E12))</f>
        <v/>
      </c>
      <c r="L12" s="20">
        <f>IF('Daily Closes'!L12="","",$D12*('Daily Closes'!L12-$E12))</f>
        <v/>
      </c>
      <c r="M12" s="20">
        <f>IF('Daily Closes'!M12="","",$D12*('Daily Closes'!M12-$E12))</f>
        <v/>
      </c>
      <c r="N12" s="20">
        <f>IF('Daily Closes'!N12="","",$D12*('Daily Closes'!N12-$E12))</f>
        <v/>
      </c>
      <c r="O12" s="20">
        <f>IF('Daily Closes'!O12="","",$D12*('Daily Closes'!O12-$E12))</f>
        <v/>
      </c>
      <c r="P12" s="20">
        <f>IF('Daily Closes'!P12="","",$D12*('Daily Closes'!P12-$E12))</f>
        <v/>
      </c>
      <c r="Q12" s="20">
        <f>IF('Daily Closes'!Q12="","",$D12*('Daily Closes'!Q12-$E12))</f>
        <v/>
      </c>
      <c r="R12" s="20">
        <f>IF('Daily Closes'!R12="","",$D12*('Daily Closes'!R12-$E12))</f>
        <v/>
      </c>
      <c r="S12" s="20">
        <f>IF('Daily Closes'!S12="","",$D12*('Daily Closes'!S12-$E12))</f>
        <v/>
      </c>
      <c r="T12" s="20">
        <f>IF('Daily Closes'!T12="","",$D12*('Daily Closes'!T12-$E12))</f>
        <v/>
      </c>
      <c r="U12" s="20">
        <f>IF('Daily Closes'!U12="","",$D12*('Daily Closes'!U12-$E12))</f>
        <v/>
      </c>
      <c r="V12" s="20">
        <f>IF('Daily Closes'!V12="","",$D12*('Daily Closes'!V12-$E12))</f>
        <v/>
      </c>
      <c r="W12" s="20">
        <f>IF('Daily Closes'!W12="","",$D12*('Daily Closes'!W12-$E12))</f>
        <v/>
      </c>
      <c r="X12" s="20">
        <f>IF('Daily Closes'!X12="","",$D12*('Daily Closes'!X12-$E12))</f>
        <v/>
      </c>
      <c r="Y12" s="20">
        <f>IF('Daily Closes'!Y12="","",$D12*('Daily Closes'!Y12-$E12))</f>
        <v/>
      </c>
      <c r="Z12" s="20">
        <f>IF('Daily Closes'!Z12="","",$D12*('Daily Closes'!Z12-$E12))</f>
        <v/>
      </c>
      <c r="AA12" s="20">
        <f>IF('Daily Closes'!AA12="","",$D12*('Daily Closes'!AA12-$E12))</f>
        <v/>
      </c>
    </row>
    <row r="13">
      <c r="A13" s="51">
        <f>'Daily Closes'!A13</f>
        <v/>
      </c>
      <c r="B13" s="16">
        <f>'Daily Closes'!B13</f>
        <v/>
      </c>
      <c r="C13" s="52">
        <f>'Daily Closes'!C13</f>
        <v/>
      </c>
      <c r="D13" s="51">
        <f>'Daily Closes'!D13</f>
        <v/>
      </c>
      <c r="E13" s="18">
        <f>'Daily Closes'!E13</f>
        <v/>
      </c>
      <c r="F13" s="35" t="inlineStr">
        <is>
          <t>—</t>
        </is>
      </c>
      <c r="G13" s="20">
        <f>IF('Daily Closes'!G13="","",$D13*('Daily Closes'!G13-$E13))</f>
        <v/>
      </c>
      <c r="H13" s="20">
        <f>IF('Daily Closes'!H13="","",$D13*('Daily Closes'!H13-$E13))</f>
        <v/>
      </c>
      <c r="I13" s="20">
        <f>IF('Daily Closes'!I13="","",$D13*('Daily Closes'!I13-$E13))</f>
        <v/>
      </c>
      <c r="J13" s="20">
        <f>IF('Daily Closes'!J13="","",$D13*('Daily Closes'!J13-$E13))</f>
        <v/>
      </c>
      <c r="K13" s="20">
        <f>IF('Daily Closes'!K13="","",$D13*('Daily Closes'!K13-$E13))</f>
        <v/>
      </c>
      <c r="L13" s="20">
        <f>IF('Daily Closes'!L13="","",$D13*('Daily Closes'!L13-$E13))</f>
        <v/>
      </c>
      <c r="M13" s="20">
        <f>IF('Daily Closes'!M13="","",$D13*('Daily Closes'!M13-$E13))</f>
        <v/>
      </c>
      <c r="N13" s="20">
        <f>IF('Daily Closes'!N13="","",$D13*('Daily Closes'!N13-$E13))</f>
        <v/>
      </c>
      <c r="O13" s="20">
        <f>IF('Daily Closes'!O13="","",$D13*('Daily Closes'!O13-$E13))</f>
        <v/>
      </c>
      <c r="P13" s="20">
        <f>IF('Daily Closes'!P13="","",$D13*('Daily Closes'!P13-$E13))</f>
        <v/>
      </c>
      <c r="Q13" s="20">
        <f>IF('Daily Closes'!Q13="","",$D13*('Daily Closes'!Q13-$E13))</f>
        <v/>
      </c>
      <c r="R13" s="20">
        <f>IF('Daily Closes'!R13="","",$D13*('Daily Closes'!R13-$E13))</f>
        <v/>
      </c>
      <c r="S13" s="20">
        <f>IF('Daily Closes'!S13="","",$D13*('Daily Closes'!S13-$E13))</f>
        <v/>
      </c>
      <c r="T13" s="20">
        <f>IF('Daily Closes'!T13="","",$D13*('Daily Closes'!T13-$E13))</f>
        <v/>
      </c>
      <c r="U13" s="20">
        <f>IF('Daily Closes'!U13="","",$D13*('Daily Closes'!U13-$E13))</f>
        <v/>
      </c>
      <c r="V13" s="20">
        <f>IF('Daily Closes'!V13="","",$D13*('Daily Closes'!V13-$E13))</f>
        <v/>
      </c>
      <c r="W13" s="20">
        <f>IF('Daily Closes'!W13="","",$D13*('Daily Closes'!W13-$E13))</f>
        <v/>
      </c>
      <c r="X13" s="20">
        <f>IF('Daily Closes'!X13="","",$D13*('Daily Closes'!X13-$E13))</f>
        <v/>
      </c>
      <c r="Y13" s="20">
        <f>IF('Daily Closes'!Y13="","",$D13*('Daily Closes'!Y13-$E13))</f>
        <v/>
      </c>
      <c r="Z13" s="20">
        <f>IF('Daily Closes'!Z13="","",$D13*('Daily Closes'!Z13-$E13))</f>
        <v/>
      </c>
      <c r="AA13" s="20">
        <f>IF('Daily Closes'!AA13="","",$D13*('Daily Closes'!AA13-$E13))</f>
        <v/>
      </c>
    </row>
    <row r="14">
      <c r="A14" s="51">
        <f>'Daily Closes'!A14</f>
        <v/>
      </c>
      <c r="B14" s="16">
        <f>'Daily Closes'!B14</f>
        <v/>
      </c>
      <c r="C14" s="52">
        <f>'Daily Closes'!C14</f>
        <v/>
      </c>
      <c r="D14" s="51">
        <f>'Daily Closes'!D14</f>
        <v/>
      </c>
      <c r="E14" s="18">
        <f>'Daily Closes'!E14</f>
        <v/>
      </c>
      <c r="F14" s="35" t="inlineStr">
        <is>
          <t>—</t>
        </is>
      </c>
      <c r="G14" s="20">
        <f>IF('Daily Closes'!G14="","",$D14*('Daily Closes'!G14-$E14))</f>
        <v/>
      </c>
      <c r="H14" s="20">
        <f>IF('Daily Closes'!H14="","",$D14*('Daily Closes'!H14-$E14))</f>
        <v/>
      </c>
      <c r="I14" s="20">
        <f>IF('Daily Closes'!I14="","",$D14*('Daily Closes'!I14-$E14))</f>
        <v/>
      </c>
      <c r="J14" s="20">
        <f>IF('Daily Closes'!J14="","",$D14*('Daily Closes'!J14-$E14))</f>
        <v/>
      </c>
      <c r="K14" s="20">
        <f>IF('Daily Closes'!K14="","",$D14*('Daily Closes'!K14-$E14))</f>
        <v/>
      </c>
      <c r="L14" s="20">
        <f>IF('Daily Closes'!L14="","",$D14*('Daily Closes'!L14-$E14))</f>
        <v/>
      </c>
      <c r="M14" s="20">
        <f>IF('Daily Closes'!M14="","",$D14*('Daily Closes'!M14-$E14))</f>
        <v/>
      </c>
      <c r="N14" s="20">
        <f>IF('Daily Closes'!N14="","",$D14*('Daily Closes'!N14-$E14))</f>
        <v/>
      </c>
      <c r="O14" s="20">
        <f>IF('Daily Closes'!O14="","",$D14*('Daily Closes'!O14-$E14))</f>
        <v/>
      </c>
      <c r="P14" s="20">
        <f>IF('Daily Closes'!P14="","",$D14*('Daily Closes'!P14-$E14))</f>
        <v/>
      </c>
      <c r="Q14" s="20">
        <f>IF('Daily Closes'!Q14="","",$D14*('Daily Closes'!Q14-$E14))</f>
        <v/>
      </c>
      <c r="R14" s="20">
        <f>IF('Daily Closes'!R14="","",$D14*('Daily Closes'!R14-$E14))</f>
        <v/>
      </c>
      <c r="S14" s="20">
        <f>IF('Daily Closes'!S14="","",$D14*('Daily Closes'!S14-$E14))</f>
        <v/>
      </c>
      <c r="T14" s="20">
        <f>IF('Daily Closes'!T14="","",$D14*('Daily Closes'!T14-$E14))</f>
        <v/>
      </c>
      <c r="U14" s="20">
        <f>IF('Daily Closes'!U14="","",$D14*('Daily Closes'!U14-$E14))</f>
        <v/>
      </c>
      <c r="V14" s="20">
        <f>IF('Daily Closes'!V14="","",$D14*('Daily Closes'!V14-$E14))</f>
        <v/>
      </c>
      <c r="W14" s="20">
        <f>IF('Daily Closes'!W14="","",$D14*('Daily Closes'!W14-$E14))</f>
        <v/>
      </c>
      <c r="X14" s="20">
        <f>IF('Daily Closes'!X14="","",$D14*('Daily Closes'!X14-$E14))</f>
        <v/>
      </c>
      <c r="Y14" s="20">
        <f>IF('Daily Closes'!Y14="","",$D14*('Daily Closes'!Y14-$E14))</f>
        <v/>
      </c>
      <c r="Z14" s="20">
        <f>IF('Daily Closes'!Z14="","",$D14*('Daily Closes'!Z14-$E14))</f>
        <v/>
      </c>
      <c r="AA14" s="20">
        <f>IF('Daily Closes'!AA14="","",$D14*('Daily Closes'!AA14-$E14))</f>
        <v/>
      </c>
    </row>
    <row r="15">
      <c r="A15" s="51">
        <f>'Daily Closes'!A15</f>
        <v/>
      </c>
      <c r="B15" s="16">
        <f>'Daily Closes'!B15</f>
        <v/>
      </c>
      <c r="C15" s="52">
        <f>'Daily Closes'!C15</f>
        <v/>
      </c>
      <c r="D15" s="51">
        <f>'Daily Closes'!D15</f>
        <v/>
      </c>
      <c r="E15" s="18">
        <f>'Daily Closes'!E15</f>
        <v/>
      </c>
      <c r="F15" s="35" t="inlineStr">
        <is>
          <t>—</t>
        </is>
      </c>
      <c r="G15" s="20">
        <f>IF('Daily Closes'!G15="","",$D15*('Daily Closes'!G15-$E15))</f>
        <v/>
      </c>
      <c r="H15" s="20">
        <f>IF('Daily Closes'!H15="","",$D15*('Daily Closes'!H15-$E15))</f>
        <v/>
      </c>
      <c r="I15" s="20">
        <f>IF('Daily Closes'!I15="","",$D15*('Daily Closes'!I15-$E15))</f>
        <v/>
      </c>
      <c r="J15" s="20">
        <f>IF('Daily Closes'!J15="","",$D15*('Daily Closes'!J15-$E15))</f>
        <v/>
      </c>
      <c r="K15" s="20">
        <f>IF('Daily Closes'!K15="","",$D15*('Daily Closes'!K15-$E15))</f>
        <v/>
      </c>
      <c r="L15" s="20">
        <f>IF('Daily Closes'!L15="","",$D15*('Daily Closes'!L15-$E15))</f>
        <v/>
      </c>
      <c r="M15" s="20">
        <f>IF('Daily Closes'!M15="","",$D15*('Daily Closes'!M15-$E15))</f>
        <v/>
      </c>
      <c r="N15" s="20">
        <f>IF('Daily Closes'!N15="","",$D15*('Daily Closes'!N15-$E15))</f>
        <v/>
      </c>
      <c r="O15" s="20">
        <f>IF('Daily Closes'!O15="","",$D15*('Daily Closes'!O15-$E15))</f>
        <v/>
      </c>
      <c r="P15" s="20">
        <f>IF('Daily Closes'!P15="","",$D15*('Daily Closes'!P15-$E15))</f>
        <v/>
      </c>
      <c r="Q15" s="20">
        <f>IF('Daily Closes'!Q15="","",$D15*('Daily Closes'!Q15-$E15))</f>
        <v/>
      </c>
      <c r="R15" s="20">
        <f>IF('Daily Closes'!R15="","",$D15*('Daily Closes'!R15-$E15))</f>
        <v/>
      </c>
      <c r="S15" s="20">
        <f>IF('Daily Closes'!S15="","",$D15*('Daily Closes'!S15-$E15))</f>
        <v/>
      </c>
      <c r="T15" s="20">
        <f>IF('Daily Closes'!T15="","",$D15*('Daily Closes'!T15-$E15))</f>
        <v/>
      </c>
      <c r="U15" s="20">
        <f>IF('Daily Closes'!U15="","",$D15*('Daily Closes'!U15-$E15))</f>
        <v/>
      </c>
      <c r="V15" s="20">
        <f>IF('Daily Closes'!V15="","",$D15*('Daily Closes'!V15-$E15))</f>
        <v/>
      </c>
      <c r="W15" s="20">
        <f>IF('Daily Closes'!W15="","",$D15*('Daily Closes'!W15-$E15))</f>
        <v/>
      </c>
      <c r="X15" s="20">
        <f>IF('Daily Closes'!X15="","",$D15*('Daily Closes'!X15-$E15))</f>
        <v/>
      </c>
      <c r="Y15" s="20">
        <f>IF('Daily Closes'!Y15="","",$D15*('Daily Closes'!Y15-$E15))</f>
        <v/>
      </c>
      <c r="Z15" s="20">
        <f>IF('Daily Closes'!Z15="","",$D15*('Daily Closes'!Z15-$E15))</f>
        <v/>
      </c>
      <c r="AA15" s="20">
        <f>IF('Daily Closes'!AA15="","",$D15*('Daily Closes'!AA15-$E15))</f>
        <v/>
      </c>
    </row>
    <row r="16">
      <c r="B16" s="16" t="inlineStr">
        <is>
          <t>TOTAL</t>
        </is>
      </c>
      <c r="G16" s="48">
        <f>IF(COUNT(G6:G15)=0,"",SUM(G6:G15))</f>
        <v/>
      </c>
      <c r="H16" s="48">
        <f>IF(COUNT(H6:H15)=0,"",SUM(H6:H15))</f>
        <v/>
      </c>
      <c r="I16" s="48">
        <f>IF(COUNT(I6:I15)=0,"",SUM(I6:I15))</f>
        <v/>
      </c>
      <c r="J16" s="48">
        <f>IF(COUNT(J6:J15)=0,"",SUM(J6:J15))</f>
        <v/>
      </c>
      <c r="K16" s="48">
        <f>IF(COUNT(K6:K15)=0,"",SUM(K6:K15))</f>
        <v/>
      </c>
      <c r="L16" s="48">
        <f>IF(COUNT(L6:L15)=0,"",SUM(L6:L15))</f>
        <v/>
      </c>
      <c r="M16" s="48">
        <f>IF(COUNT(M6:M15)=0,"",SUM(M6:M15))</f>
        <v/>
      </c>
      <c r="N16" s="48">
        <f>IF(COUNT(N6:N15)=0,"",SUM(N6:N15))</f>
        <v/>
      </c>
      <c r="O16" s="48">
        <f>IF(COUNT(O6:O15)=0,"",SUM(O6:O15))</f>
        <v/>
      </c>
      <c r="P16" s="48">
        <f>IF(COUNT(P6:P15)=0,"",SUM(P6:P15))</f>
        <v/>
      </c>
      <c r="Q16" s="48">
        <f>IF(COUNT(Q6:Q15)=0,"",SUM(Q6:Q15))</f>
        <v/>
      </c>
      <c r="R16" s="48">
        <f>IF(COUNT(R6:R15)=0,"",SUM(R6:R15))</f>
        <v/>
      </c>
      <c r="S16" s="48">
        <f>IF(COUNT(S6:S15)=0,"",SUM(S6:S15))</f>
        <v/>
      </c>
      <c r="T16" s="48">
        <f>IF(COUNT(T6:T15)=0,"",SUM(T6:T15))</f>
        <v/>
      </c>
      <c r="U16" s="48">
        <f>IF(COUNT(U6:U15)=0,"",SUM(U6:U15))</f>
        <v/>
      </c>
      <c r="V16" s="48">
        <f>IF(COUNT(V6:V15)=0,"",SUM(V6:V15))</f>
        <v/>
      </c>
      <c r="W16" s="48">
        <f>IF(COUNT(W6:W15)=0,"",SUM(W6:W15))</f>
        <v/>
      </c>
      <c r="X16" s="48">
        <f>IF(COUNT(X6:X15)=0,"",SUM(X6:X15))</f>
        <v/>
      </c>
      <c r="Y16" s="48">
        <f>IF(COUNT(Y6:Y15)=0,"",SUM(Y6:Y15))</f>
        <v/>
      </c>
      <c r="Z16" s="48">
        <f>IF(COUNT(Z6:Z15)=0,"",SUM(Z6:Z15))</f>
        <v/>
      </c>
      <c r="AA16" s="48">
        <f>IF(COUNT(AA6:AA15)=0,"",SUM(AA6:AA15))</f>
        <v/>
      </c>
    </row>
  </sheetData>
  <mergeCells count="2">
    <mergeCell ref="A1:AA1"/>
    <mergeCell ref="A2:AA2"/>
  </mergeCells>
  <conditionalFormatting sqref="G6:AA16">
    <cfRule type="cellIs" priority="1" operator="greaterThan" dxfId="4">
      <formula>0</formula>
    </cfRule>
    <cfRule type="cellIs" priority="2" operator="lessThan" dxfId="5">
      <formula>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8" customWidth="1" min="4" max="4"/>
    <col width="14" customWidth="1" min="5" max="5"/>
    <col width="11" customWidth="1" min="6" max="6"/>
    <col width="10" customWidth="1" min="7" max="7"/>
    <col width="12" customWidth="1" min="8" max="8"/>
    <col width="12" customWidth="1" min="9" max="9"/>
  </cols>
  <sheetData>
    <row r="1" ht="30" customHeight="1">
      <c r="A1" s="1" t="inlineStr">
        <is>
          <t>Portfolio Path — Day by Day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Value, P&amp;L, return, drawdown and Nifty 50 comparison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5" t="inlineStr">
        <is>
          <t>Day</t>
        </is>
      </c>
      <c r="B4" s="15" t="inlineStr">
        <is>
          <t>Date</t>
        </is>
      </c>
      <c r="C4" s="15" t="inlineStr">
        <is>
          <t>Status</t>
        </is>
      </c>
      <c r="D4" s="15" t="inlineStr">
        <is>
          <t>Portfolio Value ₹</t>
        </is>
      </c>
      <c r="E4" s="15" t="inlineStr">
        <is>
          <t>P&amp;L ₹</t>
        </is>
      </c>
      <c r="F4" s="15" t="inlineStr">
        <is>
          <t>Return %</t>
        </is>
      </c>
      <c r="G4" s="15" t="inlineStr">
        <is>
          <t>Daily %</t>
        </is>
      </c>
      <c r="H4" s="15" t="inlineStr">
        <is>
          <t>Drawdown %</t>
        </is>
      </c>
      <c r="I4" s="15" t="inlineStr">
        <is>
          <t>Nifty 50 %</t>
        </is>
      </c>
    </row>
    <row r="5">
      <c r="A5" s="53" t="n">
        <v>0</v>
      </c>
      <c r="B5" s="35" t="inlineStr">
        <is>
          <t>2026-09-28</t>
        </is>
      </c>
      <c r="C5" s="52" t="inlineStr">
        <is>
          <t>Signal</t>
        </is>
      </c>
      <c r="D5" s="20" t="n">
        <v>139903</v>
      </c>
      <c r="E5" s="20" t="n">
        <v>0</v>
      </c>
      <c r="F5" s="19" t="n">
        <v>0</v>
      </c>
      <c r="G5" s="19" t="n"/>
      <c r="H5" s="19" t="n"/>
      <c r="I5" s="19" t="n">
        <v>0</v>
      </c>
    </row>
    <row r="6">
      <c r="A6" s="53" t="n">
        <v>1</v>
      </c>
      <c r="B6" s="35" t="inlineStr">
        <is>
          <t>2026-09-29</t>
        </is>
      </c>
      <c r="C6" s="52" t="inlineStr">
        <is>
          <t>Entry</t>
        </is>
      </c>
      <c r="D6" s="20" t="n">
        <v>145178.6</v>
      </c>
      <c r="E6" s="20" t="n">
        <v>5223.55</v>
      </c>
      <c r="F6" s="19" t="n">
        <v>0.037323</v>
      </c>
      <c r="G6" s="19" t="n"/>
      <c r="H6" s="19" t="n">
        <v>0</v>
      </c>
      <c r="I6" s="19" t="n">
        <v>-0.002812</v>
      </c>
    </row>
    <row r="7">
      <c r="A7" s="53" t="n">
        <v>2</v>
      </c>
      <c r="B7" s="35" t="inlineStr">
        <is>
          <t>2026-09-30</t>
        </is>
      </c>
      <c r="C7" s="52" t="inlineStr">
        <is>
          <t>Hold</t>
        </is>
      </c>
      <c r="D7" s="20" t="n">
        <v>144421.3</v>
      </c>
      <c r="E7" s="20" t="n">
        <v>4466.25</v>
      </c>
      <c r="F7" s="19" t="n">
        <v>0.031912</v>
      </c>
      <c r="G7" s="19" t="n">
        <v>-0.005216</v>
      </c>
      <c r="H7" s="19" t="n">
        <v>-0.005216</v>
      </c>
      <c r="I7" s="19" t="n">
        <v>-0.007015</v>
      </c>
    </row>
    <row r="8">
      <c r="A8" s="53" t="n">
        <v>3</v>
      </c>
      <c r="B8" s="35" t="inlineStr">
        <is>
          <t>2026-10-01</t>
        </is>
      </c>
      <c r="C8" s="52" t="inlineStr">
        <is>
          <t>Hold</t>
        </is>
      </c>
      <c r="D8" s="20" t="n">
        <v>142311.25</v>
      </c>
      <c r="E8" s="20" t="n">
        <v>2356.2</v>
      </c>
      <c r="F8" s="19" t="n">
        <v>0.016835</v>
      </c>
      <c r="G8" s="19" t="n">
        <v>-0.01461</v>
      </c>
      <c r="H8" s="19" t="n">
        <v>-0.019751</v>
      </c>
      <c r="I8" s="19" t="n">
        <v>-0.015729</v>
      </c>
    </row>
    <row r="9">
      <c r="A9" s="53" t="n">
        <v>4</v>
      </c>
      <c r="B9" s="35" t="inlineStr">
        <is>
          <t>2026-10-02</t>
        </is>
      </c>
      <c r="C9" s="52" t="inlineStr">
        <is>
          <t>Hold</t>
        </is>
      </c>
      <c r="D9" s="20" t="n">
        <v>142311.25</v>
      </c>
      <c r="E9" s="20" t="n">
        <v>2356.2</v>
      </c>
      <c r="F9" s="19" t="n">
        <v>0.016835</v>
      </c>
      <c r="G9" s="19" t="n">
        <v>0</v>
      </c>
      <c r="H9" s="19" t="n">
        <v>-0.019751</v>
      </c>
      <c r="I9" s="19" t="n">
        <v>-0.015729</v>
      </c>
    </row>
    <row r="10">
      <c r="A10" s="53" t="n">
        <v>5</v>
      </c>
      <c r="B10" s="35" t="inlineStr">
        <is>
          <t>2026-10-05</t>
        </is>
      </c>
      <c r="C10" s="52" t="inlineStr">
        <is>
          <t>Hold</t>
        </is>
      </c>
      <c r="D10" s="20" t="n">
        <v>144045.15</v>
      </c>
      <c r="E10" s="20" t="n">
        <v>4090.1</v>
      </c>
      <c r="F10" s="19" t="n">
        <v>0.029224</v>
      </c>
      <c r="G10" s="19" t="n">
        <v>0.012184</v>
      </c>
      <c r="H10" s="19" t="n">
        <v>-0.007807</v>
      </c>
      <c r="I10" s="19" t="n">
        <v>-0.009854999999999999</v>
      </c>
    </row>
    <row r="11">
      <c r="A11" s="53" t="n">
        <v>6</v>
      </c>
      <c r="B11" s="35" t="inlineStr">
        <is>
          <t>2026-10-06</t>
        </is>
      </c>
      <c r="C11" s="52" t="inlineStr">
        <is>
          <t>Hold</t>
        </is>
      </c>
      <c r="D11" s="20" t="n">
        <v>148186.35</v>
      </c>
      <c r="E11" s="20" t="n">
        <v>8231.299999999999</v>
      </c>
      <c r="F11" s="19" t="n">
        <v>0.058814</v>
      </c>
      <c r="G11" s="19" t="n">
        <v>0.028749</v>
      </c>
      <c r="H11" s="19" t="n">
        <v>0</v>
      </c>
      <c r="I11" s="19" t="n">
        <v>-0.000182</v>
      </c>
    </row>
    <row r="12">
      <c r="A12" s="53" t="n">
        <v>7</v>
      </c>
      <c r="B12" s="35" t="inlineStr">
        <is>
          <t>2026-10-07</t>
        </is>
      </c>
      <c r="C12" s="52" t="inlineStr">
        <is>
          <t>Hold</t>
        </is>
      </c>
      <c r="D12" s="20" t="n">
        <v>148825.15</v>
      </c>
      <c r="E12" s="20" t="n">
        <v>8870.1</v>
      </c>
      <c r="F12" s="19" t="n">
        <v>0.063378</v>
      </c>
      <c r="G12" s="19" t="n">
        <v>0.004311</v>
      </c>
      <c r="H12" s="19" t="n">
        <v>0</v>
      </c>
      <c r="I12" s="19" t="n">
        <v>-0.007779</v>
      </c>
    </row>
    <row r="13">
      <c r="A13" s="53" t="n">
        <v>8</v>
      </c>
      <c r="B13" s="35" t="inlineStr">
        <is>
          <t>2026-10-08</t>
        </is>
      </c>
      <c r="C13" s="52" t="inlineStr">
        <is>
          <t>Hold</t>
        </is>
      </c>
      <c r="D13" s="20" t="n">
        <v>145212.55</v>
      </c>
      <c r="E13" s="20" t="n">
        <v>5257.5</v>
      </c>
      <c r="F13" s="19" t="n">
        <v>0.037566</v>
      </c>
      <c r="G13" s="19" t="n">
        <v>-0.024274</v>
      </c>
      <c r="H13" s="19" t="n">
        <v>-0.024274</v>
      </c>
      <c r="I13" s="19" t="n">
        <v>-0.024076</v>
      </c>
    </row>
    <row r="14">
      <c r="A14" s="53" t="n">
        <v>9</v>
      </c>
      <c r="B14" s="35" t="inlineStr">
        <is>
          <t>2026-10-09</t>
        </is>
      </c>
      <c r="C14" s="52" t="inlineStr">
        <is>
          <t>Hold</t>
        </is>
      </c>
      <c r="D14" s="20" t="n">
        <v>146665.1</v>
      </c>
      <c r="E14" s="20" t="n">
        <v>6710.05</v>
      </c>
      <c r="F14" s="19" t="n">
        <v>0.047944</v>
      </c>
      <c r="G14" s="19" t="n">
        <v>0.010003</v>
      </c>
      <c r="H14" s="19" t="n">
        <v>-0.014514</v>
      </c>
      <c r="I14" s="19" t="n">
        <v>-0.011405</v>
      </c>
    </row>
    <row r="15">
      <c r="A15" s="53" t="n">
        <v>10</v>
      </c>
      <c r="B15" s="35" t="inlineStr">
        <is>
          <t>2026-10-12</t>
        </is>
      </c>
      <c r="C15" s="52" t="inlineStr">
        <is>
          <t>Hold</t>
        </is>
      </c>
      <c r="D15" s="20" t="n">
        <v>150238.35</v>
      </c>
      <c r="E15" s="20" t="n">
        <v>10283.3</v>
      </c>
      <c r="F15" s="19" t="n">
        <v>0.073476</v>
      </c>
      <c r="G15" s="19" t="n">
        <v>0.024363</v>
      </c>
      <c r="H15" s="19" t="n">
        <v>0</v>
      </c>
      <c r="I15" s="19" t="n">
        <v>-0.018301</v>
      </c>
    </row>
    <row r="16">
      <c r="A16" s="53" t="n">
        <v>11</v>
      </c>
      <c r="B16" s="35" t="inlineStr">
        <is>
          <t>2026-10-13</t>
        </is>
      </c>
      <c r="C16" s="52" t="inlineStr">
        <is>
          <t>Hold</t>
        </is>
      </c>
      <c r="D16" s="20" t="n">
        <v>148485.25</v>
      </c>
      <c r="E16" s="20" t="n">
        <v>8530.200000000001</v>
      </c>
      <c r="F16" s="19" t="n">
        <v>0.06095</v>
      </c>
      <c r="G16" s="19" t="n">
        <v>-0.011669</v>
      </c>
      <c r="H16" s="19" t="n">
        <v>-0.011669</v>
      </c>
      <c r="I16" s="19" t="n">
        <v>-0.002559</v>
      </c>
    </row>
    <row r="17">
      <c r="A17" s="53" t="n">
        <v>12</v>
      </c>
      <c r="B17" s="35" t="inlineStr">
        <is>
          <t>2026-10-14</t>
        </is>
      </c>
      <c r="C17" s="52" t="inlineStr">
        <is>
          <t>Hold</t>
        </is>
      </c>
      <c r="D17" s="20" t="n">
        <v>148334.2</v>
      </c>
      <c r="E17" s="20" t="n">
        <v>8379.15</v>
      </c>
      <c r="F17" s="19" t="n">
        <v>0.05987</v>
      </c>
      <c r="G17" s="19" t="n">
        <v>-0.001017</v>
      </c>
      <c r="H17" s="19" t="n">
        <v>-0.012674</v>
      </c>
      <c r="I17" s="19" t="n">
        <v>-0.006916</v>
      </c>
    </row>
    <row r="18">
      <c r="A18" s="53" t="n">
        <v>13</v>
      </c>
      <c r="B18" s="35" t="inlineStr">
        <is>
          <t>2026-10-15</t>
        </is>
      </c>
      <c r="C18" s="52" t="inlineStr">
        <is>
          <t>Hold</t>
        </is>
      </c>
      <c r="D18" s="20" t="n">
        <v>143337.25</v>
      </c>
      <c r="E18" s="20" t="n">
        <v>3382.2</v>
      </c>
      <c r="F18" s="19" t="n">
        <v>0.024166</v>
      </c>
      <c r="G18" s="19" t="n">
        <v>-0.033687</v>
      </c>
      <c r="H18" s="19" t="n">
        <v>-0.045934</v>
      </c>
      <c r="I18" s="19" t="n">
        <v>0.00953</v>
      </c>
    </row>
    <row r="19">
      <c r="A19" s="53" t="n">
        <v>14</v>
      </c>
      <c r="B19" s="35" t="inlineStr">
        <is>
          <t>2026-10-16</t>
        </is>
      </c>
      <c r="C19" s="52" t="inlineStr">
        <is>
          <t>Hold</t>
        </is>
      </c>
      <c r="D19" s="20" t="n">
        <v>142526.25</v>
      </c>
      <c r="E19" s="20" t="n">
        <v>2571.2</v>
      </c>
      <c r="F19" s="19" t="n">
        <v>0.018372</v>
      </c>
      <c r="G19" s="19" t="n">
        <v>-0.005658</v>
      </c>
      <c r="H19" s="19" t="n">
        <v>-0.051332</v>
      </c>
      <c r="I19" s="19" t="n">
        <v>0.016062</v>
      </c>
    </row>
    <row r="20">
      <c r="A20" s="53" t="n">
        <v>15</v>
      </c>
      <c r="B20" s="35" t="inlineStr">
        <is>
          <t>2026-10-19</t>
        </is>
      </c>
      <c r="C20" s="52" t="inlineStr">
        <is>
          <t>Hold</t>
        </is>
      </c>
      <c r="D20" s="20" t="n">
        <v>140052.45</v>
      </c>
      <c r="E20" s="20" t="n">
        <v>97.40000000000001</v>
      </c>
      <c r="F20" s="19" t="n">
        <v>0.000696</v>
      </c>
      <c r="G20" s="19" t="n">
        <v>-0.017357</v>
      </c>
      <c r="H20" s="19" t="n">
        <v>-0.067798</v>
      </c>
      <c r="I20" s="19" t="n">
        <v>0.004772</v>
      </c>
    </row>
    <row r="21">
      <c r="A21" s="53" t="n">
        <v>16</v>
      </c>
      <c r="B21" s="35" t="inlineStr">
        <is>
          <t>2026-10-21</t>
        </is>
      </c>
      <c r="C21" s="52" t="inlineStr">
        <is>
          <t>Hold</t>
        </is>
      </c>
      <c r="D21" s="20" t="n">
        <v>135474.2</v>
      </c>
      <c r="E21" s="20" t="n">
        <v>-4480.85</v>
      </c>
      <c r="F21" s="19" t="n">
        <v>-0.032016</v>
      </c>
      <c r="G21" s="19" t="n">
        <v>-0.03269</v>
      </c>
      <c r="H21" s="19" t="n">
        <v>-0.098272</v>
      </c>
      <c r="I21" s="19" t="n">
        <v>0.001365</v>
      </c>
    </row>
    <row r="22">
      <c r="A22" s="53" t="n">
        <v>17</v>
      </c>
      <c r="B22" s="35" t="inlineStr">
        <is>
          <t>2026-10-22</t>
        </is>
      </c>
      <c r="C22" s="52" t="inlineStr">
        <is>
          <t>Hold</t>
        </is>
      </c>
      <c r="D22" s="20" t="n">
        <v>132806.35</v>
      </c>
      <c r="E22" s="20" t="n">
        <v>-7148.7</v>
      </c>
      <c r="F22" s="19" t="n">
        <v>-0.051079</v>
      </c>
      <c r="G22" s="19" t="n">
        <v>-0.019693</v>
      </c>
      <c r="H22" s="19" t="n">
        <v>-0.116029</v>
      </c>
      <c r="I22" s="19" t="n">
        <v>-0.004065</v>
      </c>
    </row>
    <row r="23">
      <c r="A23" s="54" t="n">
        <v>18</v>
      </c>
      <c r="B23" s="55" t="inlineStr">
        <is>
          <t>2026-10-23</t>
        </is>
      </c>
      <c r="C23" s="56" t="inlineStr">
        <is>
          <t>Hold</t>
        </is>
      </c>
      <c r="D23" s="57" t="n">
        <v>127614.75</v>
      </c>
      <c r="E23" s="57" t="n">
        <v>-12340.3</v>
      </c>
      <c r="F23" s="58" t="n">
        <v>-0.088173</v>
      </c>
      <c r="G23" s="58" t="n">
        <v>-0.039092</v>
      </c>
      <c r="H23" s="58" t="n">
        <v>-0.150585</v>
      </c>
      <c r="I23" s="58" t="n">
        <v>-0.007913</v>
      </c>
    </row>
    <row r="24">
      <c r="A24" s="59" t="n">
        <v>19</v>
      </c>
      <c r="B24" s="60" t="inlineStr">
        <is>
          <t>2026-10-27</t>
        </is>
      </c>
      <c r="C24" s="61" t="inlineStr">
        <is>
          <t>Hold (upcoming)</t>
        </is>
      </c>
      <c r="D24" s="62" t="n"/>
      <c r="E24" s="62" t="n"/>
      <c r="F24" s="63" t="n"/>
      <c r="G24" s="63" t="n"/>
      <c r="H24" s="63" t="n"/>
      <c r="I24" s="63" t="n"/>
    </row>
    <row r="25">
      <c r="A25" s="59" t="n">
        <v>20</v>
      </c>
      <c r="B25" s="60" t="inlineStr">
        <is>
          <t>2026-10-28</t>
        </is>
      </c>
      <c r="C25" s="61" t="inlineStr">
        <is>
          <t>Exit reminder (upcoming)</t>
        </is>
      </c>
      <c r="D25" s="62" t="n"/>
      <c r="E25" s="62" t="n"/>
      <c r="F25" s="63" t="n"/>
      <c r="G25" s="63" t="n"/>
      <c r="H25" s="63" t="n"/>
      <c r="I25" s="63" t="n"/>
    </row>
    <row r="26">
      <c r="A26" s="59" t="n">
        <v>21</v>
      </c>
      <c r="B26" s="60" t="inlineStr">
        <is>
          <t>2026-10-29</t>
        </is>
      </c>
      <c r="C26" s="61" t="inlineStr">
        <is>
          <t>Exit (upcoming)</t>
        </is>
      </c>
      <c r="D26" s="62" t="n"/>
      <c r="E26" s="62" t="n"/>
      <c r="F26" s="63" t="n"/>
      <c r="G26" s="63" t="n"/>
      <c r="H26" s="63" t="n"/>
      <c r="I26" s="63" t="n"/>
    </row>
  </sheetData>
  <mergeCells count="2">
    <mergeCell ref="A1:I1"/>
    <mergeCell ref="A2:I2"/>
  </mergeCells>
  <conditionalFormatting sqref="E5:I26">
    <cfRule type="cellIs" priority="1" operator="greaterThan" dxfId="4">
      <formula>0</formula>
    </cfRule>
    <cfRule type="cellIs" priority="2" operator="lessThan" dxfId="5">
      <formula>0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P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1" t="inlineStr">
        <is>
          <t>Batch Details (from SwingScope HTML)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SwingScope batch 2026-09-28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22" t="inlineStr">
        <is>
          <t>Batch ID</t>
        </is>
      </c>
      <c r="C4" s="52" t="inlineStr">
        <is>
          <t>2026-09-28</t>
        </is>
      </c>
      <c r="D4" s="64" t="n"/>
      <c r="E4" s="64" t="n"/>
      <c r="F4" s="64" t="n"/>
      <c r="G4" s="64" t="n"/>
      <c r="H4" s="65" t="n"/>
    </row>
    <row r="5">
      <c r="B5" s="22" t="inlineStr">
        <is>
          <t>Signal date (Day 0)</t>
        </is>
      </c>
      <c r="C5" s="52" t="inlineStr">
        <is>
          <t>2026-09-28</t>
        </is>
      </c>
      <c r="D5" s="64" t="n"/>
      <c r="E5" s="64" t="n"/>
      <c r="F5" s="64" t="n"/>
      <c r="G5" s="64" t="n"/>
      <c r="H5" s="65" t="n"/>
    </row>
    <row r="6">
      <c r="B6" s="22" t="inlineStr">
        <is>
          <t>Exit (HTML estimate)</t>
        </is>
      </c>
      <c r="C6" s="52" t="inlineStr">
        <is>
          <t>2026-10-27</t>
        </is>
      </c>
      <c r="D6" s="64" t="n"/>
      <c r="E6" s="64" t="n"/>
      <c r="F6" s="64" t="n"/>
      <c r="G6" s="64" t="n"/>
      <c r="H6" s="65" t="n"/>
    </row>
    <row r="7">
      <c r="B7" s="22" t="inlineStr">
        <is>
          <t>Exit (projected, NSE calendar)</t>
        </is>
      </c>
      <c r="C7" s="52" t="inlineStr">
        <is>
          <t>2026-10-29</t>
        </is>
      </c>
      <c r="D7" s="64" t="n"/>
      <c r="E7" s="64" t="n"/>
      <c r="F7" s="64" t="n"/>
      <c r="G7" s="64" t="n"/>
      <c r="H7" s="65" t="n"/>
    </row>
    <row r="8">
      <c r="B8" s="22" t="inlineStr">
        <is>
          <t>Hold</t>
        </is>
      </c>
      <c r="C8" s="52" t="inlineStr">
        <is>
          <t>21 sessions — no stop, no target</t>
        </is>
      </c>
      <c r="D8" s="64" t="n"/>
      <c r="E8" s="64" t="n"/>
      <c r="F8" s="64" t="n"/>
      <c r="G8" s="64" t="n"/>
      <c r="H8" s="65" t="n"/>
    </row>
    <row r="9">
      <c r="B9" s="22" t="inlineStr">
        <is>
          <t>Universe</t>
        </is>
      </c>
      <c r="C9" s="52" t="inlineStr">
        <is>
          <t>liquidity top 400 of all NSE stocks</t>
        </is>
      </c>
      <c r="D9" s="64" t="n"/>
      <c r="E9" s="64" t="n"/>
      <c r="F9" s="64" t="n"/>
      <c r="G9" s="64" t="n"/>
      <c r="H9" s="65" t="n"/>
    </row>
    <row r="10">
      <c r="B10" s="22" t="inlineStr">
        <is>
          <t>Capital committed (at signal close)</t>
        </is>
      </c>
      <c r="C10" s="66" t="n">
        <v>139903</v>
      </c>
      <c r="D10" s="64" t="n"/>
      <c r="E10" s="64" t="n"/>
      <c r="F10" s="64" t="n"/>
      <c r="G10" s="64" t="n"/>
      <c r="H10" s="65" t="n"/>
    </row>
    <row r="11">
      <c r="B11" s="22" t="inlineStr">
        <is>
          <t>Estimated costs</t>
        </is>
      </c>
      <c r="C11" s="66" t="n">
        <v>859</v>
      </c>
      <c r="D11" s="64" t="n"/>
      <c r="E11" s="64" t="n"/>
      <c r="F11" s="64" t="n"/>
      <c r="G11" s="64" t="n"/>
      <c r="H11" s="65" t="n"/>
    </row>
    <row r="12">
      <c r="B12" s="22" t="inlineStr">
        <is>
          <t>Cost %</t>
        </is>
      </c>
      <c r="C12" s="52" t="inlineStr">
        <is>
          <t>0.6%</t>
        </is>
      </c>
      <c r="D12" s="64" t="n"/>
      <c r="E12" s="64" t="n"/>
      <c r="F12" s="64" t="n"/>
      <c r="G12" s="64" t="n"/>
      <c r="H12" s="65" t="n"/>
    </row>
    <row r="13">
      <c r="B13" s="22" t="inlineStr">
        <is>
          <t>Market regime</t>
        </is>
      </c>
      <c r="C13" s="52" t="inlineStr">
        <is>
          <t>Down — the signal's weakest regime historically</t>
        </is>
      </c>
      <c r="D13" s="64" t="n"/>
      <c r="E13" s="64" t="n"/>
      <c r="F13" s="64" t="n"/>
      <c r="G13" s="64" t="n"/>
      <c r="H13" s="65" t="n"/>
    </row>
    <row r="14">
      <c r="B14" s="22" t="inlineStr">
        <is>
          <t>Stocks with a warning</t>
        </is>
      </c>
      <c r="C14" s="52" t="inlineStr">
        <is>
          <t>0 of 10</t>
        </is>
      </c>
      <c r="D14" s="64" t="n"/>
      <c r="E14" s="64" t="n"/>
      <c r="F14" s="64" t="n"/>
      <c r="G14" s="64" t="n"/>
      <c r="H14" s="65" t="n"/>
    </row>
    <row r="17">
      <c r="B17" s="15" t="inlineStr">
        <is>
          <t>#</t>
        </is>
      </c>
      <c r="C17" s="15" t="inlineStr">
        <is>
          <t>Symbol</t>
        </is>
      </c>
      <c r="D17" s="15" t="inlineStr">
        <is>
          <t>ISIN</t>
        </is>
      </c>
      <c r="E17" s="15" t="inlineStr">
        <is>
          <t>Qty</t>
        </is>
      </c>
      <c r="F17" s="15" t="inlineStr">
        <is>
          <t>Signal close</t>
        </is>
      </c>
      <c r="G17" s="15" t="inlineStr">
        <is>
          <t>Amount</t>
        </is>
      </c>
      <c r="H17" s="15" t="inlineStr">
        <is>
          <t>12-1 %</t>
        </is>
      </c>
      <c r="I17" s="15" t="inlineStr">
        <is>
          <t>6-1 %</t>
        </is>
      </c>
      <c r="J17" s="15" t="inlineStr">
        <is>
          <t>3-1 %</t>
        </is>
      </c>
      <c r="K17" s="15" t="inlineStr">
        <is>
          <t>Vol %</t>
        </is>
      </c>
      <c r="L17" s="15" t="inlineStr">
        <is>
          <t>Traded daily (cr)</t>
        </is>
      </c>
      <c r="M17" s="15" t="inlineStr">
        <is>
          <t>From 12m high %</t>
        </is>
      </c>
      <c r="N17" s="15" t="inlineStr">
        <is>
          <t>Signal rank</t>
        </is>
      </c>
      <c r="O17" s="15" t="inlineStr">
        <is>
          <t>Data quality</t>
        </is>
      </c>
      <c r="P17" s="15" t="inlineStr">
        <is>
          <t>Watch</t>
        </is>
      </c>
    </row>
    <row r="18">
      <c r="B18" s="51" t="n">
        <v>1</v>
      </c>
      <c r="C18" s="52" t="inlineStr">
        <is>
          <t>TDPOWERSYS</t>
        </is>
      </c>
      <c r="D18" s="52" t="inlineStr">
        <is>
          <t>INE419M01035</t>
        </is>
      </c>
      <c r="E18" s="51" t="n">
        <v>20</v>
      </c>
      <c r="F18" s="18" t="n">
        <v>722</v>
      </c>
      <c r="G18" s="18" t="n">
        <v>14440</v>
      </c>
      <c r="H18" s="51" t="n">
        <v>177</v>
      </c>
      <c r="I18" s="51" t="n">
        <v>72.2</v>
      </c>
      <c r="J18" s="51" t="n">
        <v>19.6</v>
      </c>
      <c r="K18" s="51" t="n">
        <v>60.1</v>
      </c>
      <c r="L18" s="51" t="n">
        <v>128</v>
      </c>
      <c r="M18" s="51" t="n">
        <v>-10.3</v>
      </c>
      <c r="N18" s="51" t="n">
        <v>6</v>
      </c>
      <c r="O18" s="52" t="inlineStr">
        <is>
          <t>Green</t>
        </is>
      </c>
      <c r="P18" s="52" t="inlineStr">
        <is>
          <t>Nothing flagged</t>
        </is>
      </c>
    </row>
    <row r="19">
      <c r="B19" s="51" t="n">
        <v>2</v>
      </c>
      <c r="C19" s="52" t="inlineStr">
        <is>
          <t>AEROFLEX</t>
        </is>
      </c>
      <c r="D19" s="52" t="inlineStr">
        <is>
          <t>INE024001021</t>
        </is>
      </c>
      <c r="E19" s="51" t="n">
        <v>29</v>
      </c>
      <c r="F19" s="18" t="n">
        <v>513.4</v>
      </c>
      <c r="G19" s="18" t="n">
        <v>14889</v>
      </c>
      <c r="H19" s="51" t="n">
        <v>175</v>
      </c>
      <c r="I19" s="51" t="n">
        <v>107</v>
      </c>
      <c r="J19" s="51" t="n">
        <v>10.7</v>
      </c>
      <c r="K19" s="51" t="n">
        <v>67.3</v>
      </c>
      <c r="L19" s="51" t="n">
        <v>53</v>
      </c>
      <c r="M19" s="51" t="n">
        <v>-10.5</v>
      </c>
      <c r="N19" s="51" t="n">
        <v>7</v>
      </c>
      <c r="O19" s="52" t="inlineStr">
        <is>
          <t>Green</t>
        </is>
      </c>
      <c r="P19" s="52" t="inlineStr">
        <is>
          <t>Nothing flagged</t>
        </is>
      </c>
    </row>
    <row r="20">
      <c r="B20" s="51" t="n">
        <v>3</v>
      </c>
      <c r="C20" s="52" t="inlineStr">
        <is>
          <t>ATHERENERG</t>
        </is>
      </c>
      <c r="D20" s="52" t="inlineStr">
        <is>
          <t>INE0LEZ01016</t>
        </is>
      </c>
      <c r="E20" s="51" t="n">
        <v>10</v>
      </c>
      <c r="F20" s="18" t="n">
        <v>1454.9</v>
      </c>
      <c r="G20" s="18" t="n">
        <v>14549</v>
      </c>
      <c r="H20" s="51" t="n">
        <v>166</v>
      </c>
      <c r="I20" s="51" t="n">
        <v>97.5</v>
      </c>
      <c r="J20" s="51" t="n">
        <v>31.1</v>
      </c>
      <c r="K20" s="51" t="n">
        <v>49.4</v>
      </c>
      <c r="L20" s="51" t="n">
        <v>493</v>
      </c>
      <c r="M20" s="51" t="n">
        <v>-15.7</v>
      </c>
      <c r="N20" s="51" t="n">
        <v>9</v>
      </c>
      <c r="O20" s="52" t="inlineStr">
        <is>
          <t>Green</t>
        </is>
      </c>
      <c r="P20" s="52" t="inlineStr">
        <is>
          <t>Nothing flagged</t>
        </is>
      </c>
    </row>
    <row r="21">
      <c r="B21" s="51" t="n">
        <v>4</v>
      </c>
      <c r="C21" s="52" t="inlineStr">
        <is>
          <t>THANGAMAYL</t>
        </is>
      </c>
      <c r="D21" s="52" t="inlineStr">
        <is>
          <t>INE085J01014</t>
        </is>
      </c>
      <c r="E21" s="51" t="n">
        <v>2</v>
      </c>
      <c r="F21" s="18" t="n">
        <v>5011.5</v>
      </c>
      <c r="G21" s="18" t="n">
        <v>10023</v>
      </c>
      <c r="H21" s="51" t="n">
        <v>154</v>
      </c>
      <c r="I21" s="51" t="n">
        <v>66.3</v>
      </c>
      <c r="J21" s="51" t="n">
        <v>-14</v>
      </c>
      <c r="K21" s="51" t="n">
        <v>59.8</v>
      </c>
      <c r="L21" s="51" t="n">
        <v>71</v>
      </c>
      <c r="M21" s="51" t="n">
        <v>-31.4</v>
      </c>
      <c r="N21" s="51" t="n">
        <v>11</v>
      </c>
      <c r="O21" s="52" t="inlineStr">
        <is>
          <t>Green</t>
        </is>
      </c>
      <c r="P21" s="52" t="inlineStr">
        <is>
          <t>Nothing flagged</t>
        </is>
      </c>
    </row>
    <row r="22">
      <c r="B22" s="51" t="n">
        <v>5</v>
      </c>
      <c r="C22" s="52" t="inlineStr">
        <is>
          <t>RRKABEL</t>
        </is>
      </c>
      <c r="D22" s="52" t="inlineStr">
        <is>
          <t>INE777K01022</t>
        </is>
      </c>
      <c r="E22" s="51" t="n">
        <v>6</v>
      </c>
      <c r="F22" s="18" t="n">
        <v>2459.8</v>
      </c>
      <c r="G22" s="18" t="n">
        <v>14759</v>
      </c>
      <c r="H22" s="51" t="n">
        <v>126</v>
      </c>
      <c r="I22" s="51" t="n">
        <v>110</v>
      </c>
      <c r="J22" s="51" t="n">
        <v>18.2</v>
      </c>
      <c r="K22" s="51" t="n">
        <v>44</v>
      </c>
      <c r="L22" s="51" t="n">
        <v>93</v>
      </c>
      <c r="M22" s="51" t="n">
        <v>-16</v>
      </c>
      <c r="N22" s="51" t="n">
        <v>15</v>
      </c>
      <c r="O22" s="52" t="inlineStr">
        <is>
          <t>Green</t>
        </is>
      </c>
      <c r="P22" s="52" t="inlineStr">
        <is>
          <t>Nothing flagged</t>
        </is>
      </c>
    </row>
    <row r="23">
      <c r="B23" s="51" t="n">
        <v>6</v>
      </c>
      <c r="C23" s="52" t="inlineStr">
        <is>
          <t>ACUTAAS</t>
        </is>
      </c>
      <c r="D23" s="52" t="inlineStr">
        <is>
          <t>INE00FF01025</t>
        </is>
      </c>
      <c r="E23" s="51" t="n">
        <v>4</v>
      </c>
      <c r="F23" s="18" t="n">
        <v>3214.4</v>
      </c>
      <c r="G23" s="18" t="n">
        <v>12858</v>
      </c>
      <c r="H23" s="51" t="n">
        <v>126</v>
      </c>
      <c r="I23" s="51" t="n">
        <v>36.7</v>
      </c>
      <c r="J23" s="51" t="n">
        <v>-5.6</v>
      </c>
      <c r="K23" s="51" t="n">
        <v>46.7</v>
      </c>
      <c r="L23" s="51" t="n">
        <v>101</v>
      </c>
      <c r="M23" s="51" t="n">
        <v>-13</v>
      </c>
      <c r="N23" s="51" t="n">
        <v>16</v>
      </c>
      <c r="O23" s="52" t="inlineStr">
        <is>
          <t>Green</t>
        </is>
      </c>
      <c r="P23" s="52" t="inlineStr">
        <is>
          <t>Nothing flagged</t>
        </is>
      </c>
    </row>
    <row r="24">
      <c r="B24" s="51" t="n">
        <v>7</v>
      </c>
      <c r="C24" s="52" t="inlineStr">
        <is>
          <t>DIACABS</t>
        </is>
      </c>
      <c r="D24" s="52" t="inlineStr">
        <is>
          <t>INE989C01038</t>
        </is>
      </c>
      <c r="E24" s="51" t="n">
        <v>44</v>
      </c>
      <c r="F24" s="18" t="n">
        <v>339.25</v>
      </c>
      <c r="G24" s="18" t="n">
        <v>14927</v>
      </c>
      <c r="H24" s="51" t="n">
        <v>124</v>
      </c>
      <c r="I24" s="51" t="n">
        <v>180</v>
      </c>
      <c r="J24" s="51" t="n">
        <v>61.7</v>
      </c>
      <c r="K24" s="51" t="n">
        <v>53.6</v>
      </c>
      <c r="L24" s="51" t="n">
        <v>51</v>
      </c>
      <c r="M24" s="51" t="n">
        <v>-14.1</v>
      </c>
      <c r="N24" s="51" t="n">
        <v>17</v>
      </c>
      <c r="O24" s="52" t="inlineStr">
        <is>
          <t>Green</t>
        </is>
      </c>
      <c r="P24" s="52" t="inlineStr">
        <is>
          <t>Nothing flagged</t>
        </is>
      </c>
    </row>
    <row r="25">
      <c r="B25" s="51" t="n">
        <v>8</v>
      </c>
      <c r="C25" s="52" t="inlineStr">
        <is>
          <t>KIRLOSENG</t>
        </is>
      </c>
      <c r="D25" s="52" t="inlineStr">
        <is>
          <t>INE146L01010</t>
        </is>
      </c>
      <c r="E25" s="51" t="n">
        <v>7</v>
      </c>
      <c r="F25" s="18" t="n">
        <v>2141.2</v>
      </c>
      <c r="G25" s="18" t="n">
        <v>14988</v>
      </c>
      <c r="H25" s="51" t="n">
        <v>123</v>
      </c>
      <c r="I25" s="51" t="n">
        <v>58.2</v>
      </c>
      <c r="J25" s="51" t="n">
        <v>-11.2</v>
      </c>
      <c r="K25" s="51" t="n">
        <v>49.9</v>
      </c>
      <c r="L25" s="51" t="n">
        <v>87</v>
      </c>
      <c r="M25" s="51" t="n">
        <v>-16.5</v>
      </c>
      <c r="N25" s="51" t="n">
        <v>18</v>
      </c>
      <c r="O25" s="52" t="inlineStr">
        <is>
          <t>Green</t>
        </is>
      </c>
      <c r="P25" s="52" t="inlineStr">
        <is>
          <t>Nothing flagged</t>
        </is>
      </c>
    </row>
    <row r="26">
      <c r="B26" s="51" t="n">
        <v>9</v>
      </c>
      <c r="C26" s="52" t="inlineStr">
        <is>
          <t>E2E</t>
        </is>
      </c>
      <c r="D26" s="52" t="inlineStr">
        <is>
          <t>INE255Z01027</t>
        </is>
      </c>
      <c r="E26" s="51" t="n">
        <v>23</v>
      </c>
      <c r="F26" s="18" t="n">
        <v>625.9</v>
      </c>
      <c r="G26" s="18" t="n">
        <v>14396</v>
      </c>
      <c r="H26" s="51" t="n">
        <v>109</v>
      </c>
      <c r="I26" s="51" t="n">
        <v>186</v>
      </c>
      <c r="J26" s="51" t="n">
        <v>56</v>
      </c>
      <c r="K26" s="51" t="n">
        <v>56.2</v>
      </c>
      <c r="L26" s="51" t="n">
        <v>49</v>
      </c>
      <c r="M26" s="51" t="n">
        <v>-8.800000000000001</v>
      </c>
      <c r="N26" s="51" t="n">
        <v>20</v>
      </c>
      <c r="O26" s="52" t="inlineStr">
        <is>
          <t>Green</t>
        </is>
      </c>
      <c r="P26" s="52" t="inlineStr">
        <is>
          <t>Nothing flagged</t>
        </is>
      </c>
    </row>
    <row r="27">
      <c r="B27" s="51" t="n">
        <v>10</v>
      </c>
      <c r="C27" s="52" t="inlineStr">
        <is>
          <t>LAURUSLABS</t>
        </is>
      </c>
      <c r="D27" s="52" t="inlineStr">
        <is>
          <t>INE947Q01028</t>
        </is>
      </c>
      <c r="E27" s="51" t="n">
        <v>7</v>
      </c>
      <c r="F27" s="18" t="n">
        <v>2010.7</v>
      </c>
      <c r="G27" s="18" t="n">
        <v>14075</v>
      </c>
      <c r="H27" s="51" t="n">
        <v>109</v>
      </c>
      <c r="I27" s="51" t="n">
        <v>94.40000000000001</v>
      </c>
      <c r="J27" s="51" t="n">
        <v>27.2</v>
      </c>
      <c r="K27" s="51" t="n">
        <v>28.1</v>
      </c>
      <c r="L27" s="51" t="n">
        <v>300</v>
      </c>
      <c r="M27" s="51" t="n">
        <v>-1.1</v>
      </c>
      <c r="N27" s="51" t="n">
        <v>21</v>
      </c>
      <c r="O27" s="52" t="inlineStr">
        <is>
          <t>Green</t>
        </is>
      </c>
      <c r="P27" s="52" t="inlineStr">
        <is>
          <t>Nothing flagged</t>
        </is>
      </c>
    </row>
    <row r="30">
      <c r="B30" s="14" t="inlineStr">
        <is>
          <t>Evidence behind the rule (backtest, from HTML)</t>
        </is>
      </c>
    </row>
    <row r="31" ht="60" customHeight="1">
      <c r="B31" s="67" t="inlineStr">
        <is>
          <t>Backtest, 2017–2026 | Replayed point in time on your survivorship-free archive. Not live results. | Signal strength | IC +0.041 | rank IC over 113 monthly dates, 2017-2026 (t 2.52); validated benchmark 0.026 | Top vs bottom decile | +1.89% | per 21-session hold, before costs (t 2.94) | Top-10 picks | +1.45% | per hold after 0.60% costs; Nifty 50 earned +1.02% before costs | Entry timing | Open wins | buying at the open beat all 30 support-entry rules (best -0.12% per hold) | Down markets | IC +0.009 | over 27 down-regime dates, against +0.050 over 86 up-regime dates</t>
        </is>
      </c>
    </row>
    <row r="32" ht="60" customHeight="1">
      <c r="B32" s="67" t="inlineStr">
        <is>
          <t>Live record | No results yet | The first live result arrives when this system finishes its first batch. Live results are kept apart from the backtest and never mixed in.</t>
        </is>
      </c>
    </row>
    <row r="34">
      <c r="B34" s="14" t="inlineStr">
        <is>
          <t>Corporate actions (splits, bonuses, dividends)</t>
        </is>
      </c>
    </row>
    <row r="35">
      <c r="B35" s="28" t="inlineStr">
        <is>
          <t>None recorded during this hold.</t>
        </is>
      </c>
    </row>
  </sheetData>
  <mergeCells count="15">
    <mergeCell ref="C11:H11"/>
    <mergeCell ref="C6:H6"/>
    <mergeCell ref="C10:H10"/>
    <mergeCell ref="C14:H14"/>
    <mergeCell ref="C5:H5"/>
    <mergeCell ref="A2:H2"/>
    <mergeCell ref="C9:H9"/>
    <mergeCell ref="C13:H13"/>
    <mergeCell ref="B31:P31"/>
    <mergeCell ref="C8:H8"/>
    <mergeCell ref="C4:H4"/>
    <mergeCell ref="B32:P32"/>
    <mergeCell ref="A1:H1"/>
    <mergeCell ref="C12:H12"/>
    <mergeCell ref="C7:H7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I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20" customWidth="1" min="4" max="4"/>
    <col width="12" customWidth="1" min="5" max="5"/>
    <col width="58" customWidth="1" min="6" max="6"/>
    <col width="15" customWidth="1" min="7" max="7"/>
    <col width="16" customWidth="1" min="8" max="8"/>
  </cols>
  <sheetData>
    <row r="1" ht="30" customHeight="1">
      <c r="A1" s="1" t="inlineStr">
        <is>
          <t>Stock-by-Stock Research &amp; Swing-Trade Shortlist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Views from your research notes · written 2026-09-28 13:27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5" t="inlineStr">
        <is>
          <t>Rank</t>
        </is>
      </c>
      <c r="B4" s="15" t="inlineStr">
        <is>
          <t>Symbol</t>
        </is>
      </c>
      <c r="C4" s="15" t="inlineStr">
        <is>
          <t>Company</t>
        </is>
      </c>
      <c r="D4" s="15" t="inlineStr">
        <is>
          <t>View</t>
        </is>
      </c>
      <c r="E4" s="15" t="inlineStr">
        <is>
          <t>Conviction</t>
        </is>
      </c>
      <c r="F4" s="15" t="inlineStr">
        <is>
          <t>Why</t>
        </is>
      </c>
      <c r="G4" s="15" t="inlineStr">
        <is>
          <t>Since entry %</t>
        </is>
      </c>
      <c r="H4" s="15" t="inlineStr">
        <is>
          <t>Call check</t>
        </is>
      </c>
    </row>
    <row r="5" ht="30" customHeight="1">
      <c r="A5" s="51" t="n">
        <v>1</v>
      </c>
      <c r="B5" s="16" t="inlineStr">
        <is>
          <t>LAURUSLABS</t>
        </is>
      </c>
      <c r="C5" s="52" t="inlineStr">
        <is>
          <t>Laurus Labs</t>
        </is>
      </c>
      <c r="D5" s="68" t="inlineStr">
        <is>
          <t>Bullish</t>
        </is>
      </c>
      <c r="E5" s="69" t="n">
        <v>2</v>
      </c>
      <c r="F5" s="70" t="inlineStr">
        <is>
          <t>Relative strength near highs, lowest volatility, defensive sector</t>
        </is>
      </c>
      <c r="G5" s="19" t="n">
        <v>-0.02509031523729399</v>
      </c>
      <c r="H5" s="52" t="inlineStr">
        <is>
          <t>✗ Off track</t>
        </is>
      </c>
    </row>
    <row r="6" ht="30" customHeight="1">
      <c r="A6" s="51" t="n">
        <v>2</v>
      </c>
      <c r="B6" s="16" t="inlineStr">
        <is>
          <t>TDPOWERSYS</t>
        </is>
      </c>
      <c r="C6" s="52" t="inlineStr">
        <is>
          <t>TD Power Systems</t>
        </is>
      </c>
      <c r="D6" s="71" t="inlineStr">
        <is>
          <t>Bullish</t>
        </is>
      </c>
      <c r="E6" s="69" t="n">
        <v>1.5</v>
      </c>
      <c r="F6" s="70" t="inlineStr">
        <is>
          <t>Guidance raised, shallow pullback. Check for a fundraise.</t>
        </is>
      </c>
      <c r="G6" s="19" t="n">
        <v>-0.1105006954102922</v>
      </c>
      <c r="H6" s="52" t="inlineStr">
        <is>
          <t>✗ Off track</t>
        </is>
      </c>
    </row>
    <row r="7" ht="30" customHeight="1">
      <c r="A7" s="51" t="n">
        <v>3</v>
      </c>
      <c r="B7" s="16" t="inlineStr">
        <is>
          <t>ATHERENERG</t>
        </is>
      </c>
      <c r="C7" s="52" t="inlineStr">
        <is>
          <t>Ather Energy</t>
        </is>
      </c>
      <c r="D7" s="71" t="inlineStr">
        <is>
          <t>Bullish</t>
        </is>
      </c>
      <c r="E7" s="69" t="n">
        <v>1.25</v>
      </c>
      <c r="F7" s="70" t="inlineStr">
        <is>
          <t>Strong catalysts and brokers, but still pulling back</t>
        </is>
      </c>
      <c r="G7" s="19" t="n">
        <v>-0.05492398301602518</v>
      </c>
      <c r="H7" s="52" t="inlineStr">
        <is>
          <t>✗ Off track</t>
        </is>
      </c>
    </row>
    <row r="8" ht="30" customHeight="1">
      <c r="A8" s="51" t="n">
        <v>4</v>
      </c>
      <c r="B8" s="16" t="inlineStr">
        <is>
          <t>RRKABEL</t>
        </is>
      </c>
      <c r="C8" s="52" t="inlineStr">
        <is>
          <t>RR Kabel</t>
        </is>
      </c>
      <c r="D8" s="72" t="inlineStr">
        <is>
          <t>Moderately bullish</t>
        </is>
      </c>
      <c r="E8" s="69" t="n">
        <v>1</v>
      </c>
      <c r="F8" s="70" t="inlineStr">
        <is>
          <t>Strong Q1, moderate volatility</t>
        </is>
      </c>
      <c r="G8" s="19" t="n">
        <v>-0.1300105699650379</v>
      </c>
      <c r="H8" s="52" t="inlineStr">
        <is>
          <t>✗ Off track</t>
        </is>
      </c>
    </row>
    <row r="9" ht="30" customHeight="1">
      <c r="A9" s="51" t="n">
        <v>5</v>
      </c>
      <c r="B9" s="16" t="inlineStr">
        <is>
          <t>AEROFLEX</t>
        </is>
      </c>
      <c r="C9" s="52" t="inlineStr">
        <is>
          <t>Aeroflex Industries</t>
        </is>
      </c>
      <c r="D9" s="71" t="inlineStr">
        <is>
          <t>Bullish, risky</t>
        </is>
      </c>
      <c r="E9" s="69" t="n">
        <v>1.25</v>
      </c>
      <c r="F9" s="70" t="inlineStr">
        <is>
          <t>Strong growth, expensive, volatile, thin liquidity</t>
        </is>
      </c>
      <c r="G9" s="19" t="n">
        <v>-0.1173479366321142</v>
      </c>
      <c r="H9" s="52" t="inlineStr">
        <is>
          <t>✗ Off track</t>
        </is>
      </c>
    </row>
    <row r="10" ht="30" customHeight="1">
      <c r="A10" s="51" t="n">
        <v>6</v>
      </c>
      <c r="B10" s="16" t="inlineStr">
        <is>
          <t>E2E</t>
        </is>
      </c>
      <c r="C10" s="52" t="inlineStr">
        <is>
          <t>E2E Networks</t>
        </is>
      </c>
      <c r="D10" s="73" t="inlineStr">
        <is>
          <t>Speculative</t>
        </is>
      </c>
      <c r="E10" s="69" t="n">
        <v>0.5</v>
      </c>
      <c r="F10" s="70" t="inlineStr">
        <is>
          <t>Big revenue jump, P/E near 400</t>
        </is>
      </c>
      <c r="G10" s="19" t="n">
        <v>-0.08635299814381403</v>
      </c>
      <c r="H10" s="52" t="inlineStr">
        <is>
          <t>↓ Lagging</t>
        </is>
      </c>
    </row>
    <row r="11" ht="30" customHeight="1">
      <c r="A11" s="51" t="n">
        <v>7</v>
      </c>
      <c r="B11" s="16" t="inlineStr">
        <is>
          <t>ACUTAAS</t>
        </is>
      </c>
      <c r="C11" s="52" t="inlineStr">
        <is>
          <t>Acutaas Chemicals</t>
        </is>
      </c>
      <c r="D11" s="74" t="inlineStr">
        <is>
          <t>Neutral</t>
        </is>
      </c>
      <c r="E11" s="69" t="n">
        <v>0</v>
      </c>
      <c r="F11" s="70" t="inlineStr">
        <is>
          <t>No catalyst, sideways trend</t>
        </is>
      </c>
      <c r="G11" s="19" t="n">
        <v>-0.04629179331306998</v>
      </c>
      <c r="H11" s="52" t="inlineStr">
        <is>
          <t>↓ Lagging</t>
        </is>
      </c>
    </row>
    <row r="12" ht="30" customHeight="1">
      <c r="A12" s="51" t="n">
        <v>8</v>
      </c>
      <c r="B12" s="16" t="inlineStr">
        <is>
          <t>DIACABS</t>
        </is>
      </c>
      <c r="C12" s="52" t="inlineStr">
        <is>
          <t>Diamond Power Infra</t>
        </is>
      </c>
      <c r="D12" s="75" t="inlineStr">
        <is>
          <t>Neutral to bearish</t>
        </is>
      </c>
      <c r="E12" s="69" t="n">
        <v>-1</v>
      </c>
      <c r="F12" s="70" t="inlineStr">
        <is>
          <t>Extended, weak balance sheet</t>
        </is>
      </c>
      <c r="G12" s="19" t="n">
        <v>-0.0648560403680617</v>
      </c>
      <c r="H12" s="52" t="inlineStr">
        <is>
          <t>✓ On track</t>
        </is>
      </c>
    </row>
    <row r="13" ht="30" customHeight="1">
      <c r="A13" s="51" t="n">
        <v>9</v>
      </c>
      <c r="B13" s="16" t="inlineStr">
        <is>
          <t>KIRLOSENG</t>
        </is>
      </c>
      <c r="C13" s="52" t="inlineStr">
        <is>
          <t>Kirloskar Oil Engines</t>
        </is>
      </c>
      <c r="D13" s="75" t="inlineStr">
        <is>
          <t>Neutral to bearish</t>
        </is>
      </c>
      <c r="E13" s="69" t="n">
        <v>-1</v>
      </c>
      <c r="F13" s="70" t="inlineStr">
        <is>
          <t>Margins and momentum fading</t>
        </is>
      </c>
      <c r="G13" s="19" t="n">
        <v>-0.1664954231272183</v>
      </c>
      <c r="H13" s="52" t="inlineStr">
        <is>
          <t>✓ On track</t>
        </is>
      </c>
    </row>
    <row r="14" ht="30" customHeight="1">
      <c r="A14" s="51" t="n">
        <v>10</v>
      </c>
      <c r="B14" s="16" t="inlineStr">
        <is>
          <t>THANGAMAYL</t>
        </is>
      </c>
      <c r="C14" s="52" t="inlineStr">
        <is>
          <t>Thangamayil Jewellery</t>
        </is>
      </c>
      <c r="D14" s="76" t="inlineStr">
        <is>
          <t>Bearish</t>
        </is>
      </c>
      <c r="E14" s="69" t="n">
        <v>-2</v>
      </c>
      <c r="F14" s="70" t="inlineStr">
        <is>
          <t>Downtrend, avoid</t>
        </is>
      </c>
      <c r="G14" s="19" t="n">
        <v>-0.06377245508982032</v>
      </c>
      <c r="H14" s="52" t="inlineStr">
        <is>
          <t>✓ On track</t>
        </is>
      </c>
    </row>
    <row r="16">
      <c r="A16" s="77" t="inlineStr">
        <is>
          <t>STOCK BY STOCK — catalysts, risks and sources</t>
        </is>
      </c>
    </row>
    <row r="17">
      <c r="A17" s="15" t="inlineStr">
        <is>
          <t>Rank</t>
        </is>
      </c>
      <c r="B17" s="15" t="inlineStr">
        <is>
          <t>Symbol</t>
        </is>
      </c>
      <c r="C17" s="15" t="inlineStr">
        <is>
          <t>Company</t>
        </is>
      </c>
      <c r="D17" s="15" t="inlineStr">
        <is>
          <t>Type</t>
        </is>
      </c>
      <c r="E17" s="15" t="inlineStr">
        <is>
          <t>Point</t>
        </is>
      </c>
      <c r="F17" s="15" t="inlineStr"/>
      <c r="G17" s="15" t="inlineStr">
        <is>
          <t>Source</t>
        </is>
      </c>
      <c r="H17" s="15" t="inlineStr">
        <is>
          <t>Link</t>
        </is>
      </c>
    </row>
    <row r="18" ht="44" customHeight="1">
      <c r="A18" s="51" t="n">
        <v>1</v>
      </c>
      <c r="B18" s="52" t="inlineStr">
        <is>
          <t>LAURUSLABS</t>
        </is>
      </c>
      <c r="C18" s="52" t="inlineStr">
        <is>
          <t>Laurus Labs</t>
        </is>
      </c>
      <c r="D18" s="78" t="inlineStr">
        <is>
          <t>Catalyst</t>
        </is>
      </c>
      <c r="E18" s="70" t="inlineStr">
        <is>
          <t>Its close is only 1.1% below its 12-month high, and its volatility is the lowest of the ten (28%).</t>
        </is>
      </c>
      <c r="F18" s="65" t="n"/>
      <c r="G18" s="52" t="inlineStr"/>
      <c r="H18" s="52" t="n"/>
    </row>
    <row r="19" ht="30" customHeight="1">
      <c r="A19" s="51" t="n">
        <v>1</v>
      </c>
      <c r="B19" s="52" t="inlineStr">
        <is>
          <t>LAURUSLABS</t>
        </is>
      </c>
      <c r="C19" s="52" t="inlineStr">
        <is>
          <t>Laurus Labs</t>
        </is>
      </c>
      <c r="D19" s="78" t="inlineStr">
        <is>
          <t>Catalyst</t>
        </is>
      </c>
      <c r="E19" s="70" t="inlineStr">
        <is>
          <t>FY26 profit after tax was ₹740 crore vs ₹380 crore the year before.</t>
        </is>
      </c>
      <c r="F19" s="65" t="n"/>
      <c r="G19" s="52" t="inlineStr">
        <is>
          <t>torusdigital</t>
        </is>
      </c>
      <c r="H19" s="79" t="inlineStr">
        <is>
          <t>open ↗</t>
        </is>
      </c>
    </row>
    <row r="20" ht="30" customHeight="1">
      <c r="A20" s="51" t="n">
        <v>1</v>
      </c>
      <c r="B20" s="52" t="inlineStr">
        <is>
          <t>LAURUSLABS</t>
        </is>
      </c>
      <c r="C20" s="52" t="inlineStr">
        <is>
          <t>Laurus Labs</t>
        </is>
      </c>
      <c r="D20" s="78" t="inlineStr">
        <is>
          <t>Catalyst</t>
        </is>
      </c>
      <c r="E20" s="70" t="inlineStr">
        <is>
          <t>It is up about 94% in six months and holding near highs while the index falls.</t>
        </is>
      </c>
      <c r="F20" s="65" t="n"/>
      <c r="G20" s="52" t="inlineStr">
        <is>
          <t>anandrathi</t>
        </is>
      </c>
      <c r="H20" s="79" t="inlineStr">
        <is>
          <t>open ↗</t>
        </is>
      </c>
    </row>
    <row r="21" ht="30" customHeight="1">
      <c r="A21" s="51" t="n">
        <v>1</v>
      </c>
      <c r="B21" s="52" t="inlineStr">
        <is>
          <t>LAURUSLABS</t>
        </is>
      </c>
      <c r="C21" s="52" t="inlineStr">
        <is>
          <t>Laurus Labs</t>
        </is>
      </c>
      <c r="D21" s="78" t="inlineStr">
        <is>
          <t>Catalyst</t>
        </is>
      </c>
      <c r="E21" s="70" t="inlineStr">
        <is>
          <t>Pharma is also defensive in a risk-off tape.</t>
        </is>
      </c>
      <c r="F21" s="65" t="n"/>
      <c r="G21" s="52" t="inlineStr">
        <is>
          <t>anandrathi</t>
        </is>
      </c>
      <c r="H21" s="79" t="inlineStr">
        <is>
          <t>open ↗</t>
        </is>
      </c>
    </row>
    <row r="22" ht="30" customHeight="1">
      <c r="A22" s="51" t="n">
        <v>1</v>
      </c>
      <c r="B22" s="52" t="inlineStr">
        <is>
          <t>LAURUSLABS</t>
        </is>
      </c>
      <c r="C22" s="52" t="inlineStr">
        <is>
          <t>Laurus Labs</t>
        </is>
      </c>
      <c r="D22" s="80" t="inlineStr">
        <is>
          <t>Risk</t>
        </is>
      </c>
      <c r="E22" s="70" t="inlineStr">
        <is>
          <t>P/E is high, so it can still pull back.</t>
        </is>
      </c>
      <c r="F22" s="65" t="n"/>
      <c r="G22" s="52" t="inlineStr">
        <is>
          <t>anandrathi</t>
        </is>
      </c>
      <c r="H22" s="79" t="inlineStr">
        <is>
          <t>open ↗</t>
        </is>
      </c>
    </row>
    <row r="23" ht="30" customHeight="1">
      <c r="A23" s="51" t="n">
        <v>2</v>
      </c>
      <c r="B23" s="52" t="inlineStr">
        <is>
          <t>TDPOWERSYS</t>
        </is>
      </c>
      <c r="C23" s="52" t="inlineStr">
        <is>
          <t>TD Power Systems</t>
        </is>
      </c>
      <c r="D23" s="81" t="inlineStr">
        <is>
          <t>Context</t>
        </is>
      </c>
      <c r="E23" s="70" t="inlineStr">
        <is>
          <t>The stock is 10% below its high, a shallow pullback within a strong uptrend.</t>
        </is>
      </c>
      <c r="F23" s="65" t="n"/>
      <c r="G23" s="52" t="inlineStr"/>
      <c r="H23" s="52" t="n"/>
    </row>
    <row r="24" ht="30" customHeight="1">
      <c r="A24" s="51" t="n">
        <v>2</v>
      </c>
      <c r="B24" s="52" t="inlineStr">
        <is>
          <t>TDPOWERSYS</t>
        </is>
      </c>
      <c r="C24" s="52" t="inlineStr">
        <is>
          <t>TD Power Systems</t>
        </is>
      </c>
      <c r="D24" s="78" t="inlineStr">
        <is>
          <t>Catalyst</t>
        </is>
      </c>
      <c r="E24" s="70" t="inlineStr">
        <is>
          <t>Q1 FY27 revenue rose about 72% YoY.</t>
        </is>
      </c>
      <c r="F24" s="65" t="n"/>
      <c r="G24" s="52" t="inlineStr">
        <is>
          <t>5paisa</t>
        </is>
      </c>
      <c r="H24" s="79" t="inlineStr">
        <is>
          <t>open ↗</t>
        </is>
      </c>
    </row>
    <row r="25" ht="30" customHeight="1">
      <c r="A25" s="51" t="n">
        <v>2</v>
      </c>
      <c r="B25" s="52" t="inlineStr">
        <is>
          <t>TDPOWERSYS</t>
        </is>
      </c>
      <c r="C25" s="52" t="inlineStr">
        <is>
          <t>TD Power Systems</t>
        </is>
      </c>
      <c r="D25" s="78" t="inlineStr">
        <is>
          <t>Catalyst</t>
        </is>
      </c>
      <c r="E25" s="70" t="inlineStr">
        <is>
          <t>It raised its FY27 revenue guidance to ₹2,600 crore.</t>
        </is>
      </c>
      <c r="F25" s="65" t="n"/>
      <c r="G25" s="52" t="inlineStr">
        <is>
          <t>fyers</t>
        </is>
      </c>
      <c r="H25" s="79" t="inlineStr">
        <is>
          <t>open ↗</t>
        </is>
      </c>
    </row>
    <row r="26" ht="44" customHeight="1">
      <c r="A26" s="51" t="n">
        <v>2</v>
      </c>
      <c r="B26" s="52" t="inlineStr">
        <is>
          <t>TDPOWERSYS</t>
        </is>
      </c>
      <c r="C26" s="52" t="inlineStr">
        <is>
          <t>TD Power Systems</t>
        </is>
      </c>
      <c r="D26" s="80" t="inlineStr">
        <is>
          <t>Risk</t>
        </is>
      </c>
      <c r="E26" s="70" t="inlineStr">
        <is>
          <t>A board meeting on 14 Aug was set to consider raising funds, so check whether a dilutive QIP is pending.</t>
        </is>
      </c>
      <c r="F26" s="65" t="n"/>
      <c r="G26" s="52" t="inlineStr">
        <is>
          <t>5paisa</t>
        </is>
      </c>
      <c r="H26" s="79" t="inlineStr">
        <is>
          <t>open ↗</t>
        </is>
      </c>
    </row>
    <row r="27" ht="30" customHeight="1">
      <c r="A27" s="51" t="n">
        <v>2</v>
      </c>
      <c r="B27" s="52" t="inlineStr">
        <is>
          <t>TDPOWERSYS</t>
        </is>
      </c>
      <c r="C27" s="52" t="inlineStr">
        <is>
          <t>TD Power Systems</t>
        </is>
      </c>
      <c r="D27" s="80" t="inlineStr">
        <is>
          <t>Risk</t>
        </is>
      </c>
      <c r="E27" s="70" t="inlineStr">
        <is>
          <t>Valuation is stretched (P/E around 70).</t>
        </is>
      </c>
      <c r="F27" s="65" t="n"/>
      <c r="G27" s="52" t="inlineStr">
        <is>
          <t>5paisa</t>
        </is>
      </c>
      <c r="H27" s="79" t="inlineStr">
        <is>
          <t>open ↗</t>
        </is>
      </c>
    </row>
    <row r="28" ht="30" customHeight="1">
      <c r="A28" s="51" t="n">
        <v>3</v>
      </c>
      <c r="B28" s="52" t="inlineStr">
        <is>
          <t>ATHERENERG</t>
        </is>
      </c>
      <c r="C28" s="52" t="inlineStr">
        <is>
          <t>Ather Energy</t>
        </is>
      </c>
      <c r="D28" s="78" t="inlineStr">
        <is>
          <t>Catalyst</t>
        </is>
      </c>
      <c r="E28" s="70" t="inlineStr">
        <is>
          <t>Q1 revenue grew 89% and the loss narrowed 71%.</t>
        </is>
      </c>
      <c r="F28" s="65" t="n"/>
      <c r="G28" s="52" t="inlineStr">
        <is>
          <t>indmoney</t>
        </is>
      </c>
      <c r="H28" s="79" t="inlineStr">
        <is>
          <t>open ↗</t>
        </is>
      </c>
    </row>
    <row r="29" ht="30" customHeight="1">
      <c r="A29" s="51" t="n">
        <v>3</v>
      </c>
      <c r="B29" s="52" t="inlineStr">
        <is>
          <t>ATHERENERG</t>
        </is>
      </c>
      <c r="C29" s="52" t="inlineStr">
        <is>
          <t>Ather Energy</t>
        </is>
      </c>
      <c r="D29" s="78" t="inlineStr">
        <is>
          <t>Catalyst</t>
        </is>
      </c>
      <c r="E29" s="70" t="inlineStr">
        <is>
          <t>It was also added to the MSCI India Domestic Small Cap Index.</t>
        </is>
      </c>
      <c r="F29" s="65" t="n"/>
      <c r="G29" s="52" t="inlineStr">
        <is>
          <t>indmoney</t>
        </is>
      </c>
      <c r="H29" s="79" t="inlineStr">
        <is>
          <t>open ↗</t>
        </is>
      </c>
    </row>
    <row r="30" ht="30" customHeight="1">
      <c r="A30" s="51" t="n">
        <v>3</v>
      </c>
      <c r="B30" s="52" t="inlineStr">
        <is>
          <t>ATHERENERG</t>
        </is>
      </c>
      <c r="C30" s="52" t="inlineStr">
        <is>
          <t>Ather Energy</t>
        </is>
      </c>
      <c r="D30" s="78" t="inlineStr">
        <is>
          <t>Catalyst</t>
        </is>
      </c>
      <c r="E30" s="70" t="inlineStr">
        <is>
          <t>Hero MotoCorp is lifting its stake to about 32.8%.</t>
        </is>
      </c>
      <c r="F30" s="65" t="n"/>
      <c r="G30" s="52" t="inlineStr">
        <is>
          <t>freepressjournal</t>
        </is>
      </c>
      <c r="H30" s="79" t="inlineStr">
        <is>
          <t>open ↗</t>
        </is>
      </c>
    </row>
    <row r="31" ht="30" customHeight="1">
      <c r="A31" s="51" t="n">
        <v>3</v>
      </c>
      <c r="B31" s="52" t="inlineStr">
        <is>
          <t>ATHERENERG</t>
        </is>
      </c>
      <c r="C31" s="52" t="inlineStr">
        <is>
          <t>Ather Energy</t>
        </is>
      </c>
      <c r="D31" s="78" t="inlineStr">
        <is>
          <t>Catalyst</t>
        </is>
      </c>
      <c r="E31" s="70" t="inlineStr">
        <is>
          <t>A global broker raised its target to ₹1,926.</t>
        </is>
      </c>
      <c r="F31" s="65" t="n"/>
      <c r="G31" s="52" t="inlineStr">
        <is>
          <t>hdfcsky</t>
        </is>
      </c>
      <c r="H31" s="79" t="inlineStr">
        <is>
          <t>open ↗</t>
        </is>
      </c>
    </row>
    <row r="32" ht="44" customHeight="1">
      <c r="A32" s="51" t="n">
        <v>3</v>
      </c>
      <c r="B32" s="52" t="inlineStr">
        <is>
          <t>ATHERENERG</t>
        </is>
      </c>
      <c r="C32" s="52" t="inlineStr">
        <is>
          <t>Ather Energy</t>
        </is>
      </c>
      <c r="D32" s="81" t="inlineStr">
        <is>
          <t>Context</t>
        </is>
      </c>
      <c r="E32" s="70" t="inlineStr">
        <is>
          <t>The stock has slid about 16% from its early-September high, so the story is intact but the price is digesting a big run.</t>
        </is>
      </c>
      <c r="F32" s="65" t="n"/>
      <c r="G32" s="52" t="inlineStr"/>
      <c r="H32" s="52" t="n"/>
    </row>
    <row r="33" ht="30" customHeight="1">
      <c r="A33" s="51" t="n">
        <v>3</v>
      </c>
      <c r="B33" s="52" t="inlineStr">
        <is>
          <t>ATHERENERG</t>
        </is>
      </c>
      <c r="C33" s="52" t="inlineStr">
        <is>
          <t>Ather Energy</t>
        </is>
      </c>
      <c r="D33" s="78" t="inlineStr">
        <is>
          <t>Catalyst</t>
        </is>
      </c>
      <c r="E33" s="70" t="inlineStr">
        <is>
          <t>High oil prices are a tailwind for the EV theme.</t>
        </is>
      </c>
      <c r="F33" s="65" t="n"/>
      <c r="G33" s="52" t="inlineStr"/>
      <c r="H33" s="52" t="n"/>
    </row>
    <row r="34" ht="30" customHeight="1">
      <c r="A34" s="51" t="n">
        <v>4</v>
      </c>
      <c r="B34" s="52" t="inlineStr">
        <is>
          <t>RRKABEL</t>
        </is>
      </c>
      <c r="C34" s="52" t="inlineStr">
        <is>
          <t>RR Kabel</t>
        </is>
      </c>
      <c r="D34" s="78" t="inlineStr">
        <is>
          <t>Catalyst</t>
        </is>
      </c>
      <c r="E34" s="70" t="inlineStr">
        <is>
          <t>Q1 PAT jumped 129% and EBITDA doubled.</t>
        </is>
      </c>
      <c r="F34" s="65" t="n"/>
      <c r="G34" s="52" t="inlineStr">
        <is>
          <t>5paisa</t>
        </is>
      </c>
      <c r="H34" s="79" t="inlineStr">
        <is>
          <t>open ↗</t>
        </is>
      </c>
    </row>
    <row r="35" ht="30" customHeight="1">
      <c r="A35" s="51" t="n">
        <v>4</v>
      </c>
      <c r="B35" s="52" t="inlineStr">
        <is>
          <t>RRKABEL</t>
        </is>
      </c>
      <c r="C35" s="52" t="inlineStr">
        <is>
          <t>RR Kabel</t>
        </is>
      </c>
      <c r="D35" s="78" t="inlineStr">
        <is>
          <t>Catalyst</t>
        </is>
      </c>
      <c r="E35" s="70" t="inlineStr">
        <is>
          <t>CLSA initiated at Outperform with a ₹2,850 target.</t>
        </is>
      </c>
      <c r="F35" s="65" t="n"/>
      <c r="G35" s="52" t="inlineStr">
        <is>
          <t>fyers</t>
        </is>
      </c>
      <c r="H35" s="79" t="inlineStr">
        <is>
          <t>open ↗</t>
        </is>
      </c>
    </row>
    <row r="36" ht="30" customHeight="1">
      <c r="A36" s="51" t="n">
        <v>4</v>
      </c>
      <c r="B36" s="52" t="inlineStr">
        <is>
          <t>RRKABEL</t>
        </is>
      </c>
      <c r="C36" s="52" t="inlineStr">
        <is>
          <t>RR Kabel</t>
        </is>
      </c>
      <c r="D36" s="81" t="inlineStr">
        <is>
          <t>Context</t>
        </is>
      </c>
      <c r="E36" s="70" t="inlineStr">
        <is>
          <t>The stock is 16% off its high, so it is consolidating.</t>
        </is>
      </c>
      <c r="F36" s="65" t="n"/>
      <c r="G36" s="52" t="inlineStr"/>
      <c r="H36" s="52" t="n"/>
    </row>
    <row r="37" ht="30" customHeight="1">
      <c r="A37" s="51" t="n">
        <v>4</v>
      </c>
      <c r="B37" s="52" t="inlineStr">
        <is>
          <t>RRKABEL</t>
        </is>
      </c>
      <c r="C37" s="52" t="inlineStr">
        <is>
          <t>RR Kabel</t>
        </is>
      </c>
      <c r="D37" s="78" t="inlineStr">
        <is>
          <t>Catalyst</t>
        </is>
      </c>
      <c r="E37" s="70" t="inlineStr">
        <is>
          <t>Volatility is moderate (44%), which is better than most here.</t>
        </is>
      </c>
      <c r="F37" s="65" t="n"/>
      <c r="G37" s="52" t="inlineStr"/>
      <c r="H37" s="52" t="n"/>
    </row>
    <row r="38" ht="30" customHeight="1">
      <c r="A38" s="51" t="n">
        <v>5</v>
      </c>
      <c r="B38" s="52" t="inlineStr">
        <is>
          <t>AEROFLEX</t>
        </is>
      </c>
      <c r="C38" s="52" t="inlineStr">
        <is>
          <t>Aeroflex Industries</t>
        </is>
      </c>
      <c r="D38" s="78" t="inlineStr">
        <is>
          <t>Catalyst</t>
        </is>
      </c>
      <c r="E38" s="70" t="inlineStr">
        <is>
          <t>Q1 FY27 revenue grew 72.4% and PAT rose 162%.</t>
        </is>
      </c>
      <c r="F38" s="65" t="n"/>
      <c r="G38" s="52" t="inlineStr">
        <is>
          <t>sahi</t>
        </is>
      </c>
      <c r="H38" s="79" t="inlineStr">
        <is>
          <t>open ↗</t>
        </is>
      </c>
    </row>
    <row r="39" ht="30" customHeight="1">
      <c r="A39" s="51" t="n">
        <v>5</v>
      </c>
      <c r="B39" s="52" t="inlineStr">
        <is>
          <t>AEROFLEX</t>
        </is>
      </c>
      <c r="C39" s="52" t="inlineStr">
        <is>
          <t>Aeroflex Industries</t>
        </is>
      </c>
      <c r="D39" s="78" t="inlineStr">
        <is>
          <t>Catalyst</t>
        </is>
      </c>
      <c r="E39" s="70" t="inlineStr">
        <is>
          <t>Liquid-cooling skid capacity was raised 50%, with further expansion planned.</t>
        </is>
      </c>
      <c r="F39" s="65" t="n"/>
      <c r="G39" s="52" t="inlineStr">
        <is>
          <t>sahi</t>
        </is>
      </c>
      <c r="H39" s="79" t="inlineStr">
        <is>
          <t>open ↗</t>
        </is>
      </c>
    </row>
    <row r="40" ht="44" customHeight="1">
      <c r="A40" s="51" t="n">
        <v>5</v>
      </c>
      <c r="B40" s="52" t="inlineStr">
        <is>
          <t>AEROFLEX</t>
        </is>
      </c>
      <c r="C40" s="52" t="inlineStr">
        <is>
          <t>Aeroflex Industries</t>
        </is>
      </c>
      <c r="D40" s="80" t="inlineStr">
        <is>
          <t>Risk</t>
        </is>
      </c>
      <c r="E40" s="70" t="inlineStr">
        <is>
          <t>P/E is about 102, volatility is the highest of the ten (67%), and liquidity is thin (₹53 cr/day).</t>
        </is>
      </c>
      <c r="F40" s="65" t="n"/>
      <c r="G40" s="52" t="inlineStr">
        <is>
          <t>share</t>
        </is>
      </c>
      <c r="H40" s="79" t="inlineStr">
        <is>
          <t>open ↗</t>
        </is>
      </c>
    </row>
    <row r="41" ht="30" customHeight="1">
      <c r="A41" s="51" t="n">
        <v>5</v>
      </c>
      <c r="B41" s="52" t="inlineStr">
        <is>
          <t>AEROFLEX</t>
        </is>
      </c>
      <c r="C41" s="52" t="inlineStr">
        <is>
          <t>Aeroflex Industries</t>
        </is>
      </c>
      <c r="D41" s="80" t="inlineStr">
        <is>
          <t>Risk</t>
        </is>
      </c>
      <c r="E41" s="70" t="inlineStr">
        <is>
          <t>That makes it the most fragile in a falling market.</t>
        </is>
      </c>
      <c r="F41" s="65" t="n"/>
      <c r="G41" s="52" t="inlineStr">
        <is>
          <t>share</t>
        </is>
      </c>
      <c r="H41" s="79" t="inlineStr">
        <is>
          <t>open ↗</t>
        </is>
      </c>
    </row>
    <row r="42" ht="44" customHeight="1">
      <c r="A42" s="51" t="n">
        <v>6</v>
      </c>
      <c r="B42" s="52" t="inlineStr">
        <is>
          <t>E2E</t>
        </is>
      </c>
      <c r="C42" s="52" t="inlineStr">
        <is>
          <t>E2E Networks</t>
        </is>
      </c>
      <c r="D42" s="78" t="inlineStr">
        <is>
          <t>Catalyst</t>
        </is>
      </c>
      <c r="E42" s="70" t="inlineStr">
        <is>
          <t>Q1 revenue was ₹156.76 crore vs ₹36.11 crore a year earlier, with a profit of ₹43.88 crore, on GPU cluster expansion.</t>
        </is>
      </c>
      <c r="F42" s="65" t="n"/>
      <c r="G42" s="52" t="inlineStr">
        <is>
          <t>angelone</t>
        </is>
      </c>
      <c r="H42" s="79" t="inlineStr">
        <is>
          <t>open ↗</t>
        </is>
      </c>
    </row>
    <row r="43" ht="30" customHeight="1">
      <c r="A43" s="51" t="n">
        <v>6</v>
      </c>
      <c r="B43" s="52" t="inlineStr">
        <is>
          <t>E2E</t>
        </is>
      </c>
      <c r="C43" s="52" t="inlineStr">
        <is>
          <t>E2E Networks</t>
        </is>
      </c>
      <c r="D43" s="80" t="inlineStr">
        <is>
          <t>Risk</t>
        </is>
      </c>
      <c r="E43" s="70" t="inlineStr">
        <is>
          <t>P/E is about 398 and the stock fell 11.8% in the month to 18 Sep.</t>
        </is>
      </c>
      <c r="F43" s="65" t="n"/>
      <c r="G43" s="52" t="inlineStr">
        <is>
          <t>anandrathi</t>
        </is>
      </c>
      <c r="H43" s="79" t="inlineStr">
        <is>
          <t>open ↗</t>
        </is>
      </c>
    </row>
    <row r="44" ht="30" customHeight="1">
      <c r="A44" s="51" t="n">
        <v>6</v>
      </c>
      <c r="B44" s="52" t="inlineStr">
        <is>
          <t>E2E</t>
        </is>
      </c>
      <c r="C44" s="52" t="inlineStr">
        <is>
          <t>E2E Networks</t>
        </is>
      </c>
      <c r="D44" s="81" t="inlineStr">
        <is>
          <t>Context</t>
        </is>
      </c>
      <c r="E44" s="70" t="inlineStr">
        <is>
          <t>It has bounced since.</t>
        </is>
      </c>
      <c r="F44" s="65" t="n"/>
      <c r="G44" s="52" t="inlineStr">
        <is>
          <t>anandrathi</t>
        </is>
      </c>
      <c r="H44" s="79" t="inlineStr">
        <is>
          <t>open ↗</t>
        </is>
      </c>
    </row>
    <row r="45" ht="30" customHeight="1">
      <c r="A45" s="51" t="n">
        <v>6</v>
      </c>
      <c r="B45" s="52" t="inlineStr">
        <is>
          <t>E2E</t>
        </is>
      </c>
      <c r="C45" s="52" t="inlineStr">
        <is>
          <t>E2E Networks</t>
        </is>
      </c>
      <c r="D45" s="80" t="inlineStr">
        <is>
          <t>Risk</t>
        </is>
      </c>
      <c r="E45" s="70" t="inlineStr">
        <is>
          <t>It is an AI-theme stock with thin liquidity and gap risk in both directions.</t>
        </is>
      </c>
      <c r="F45" s="65" t="n"/>
      <c r="G45" s="52" t="inlineStr"/>
      <c r="H45" s="52" t="n"/>
    </row>
    <row r="46" ht="44" customHeight="1">
      <c r="A46" s="51" t="n">
        <v>7</v>
      </c>
      <c r="B46" s="52" t="inlineStr">
        <is>
          <t>ACUTAAS</t>
        </is>
      </c>
      <c r="C46" s="52" t="inlineStr">
        <is>
          <t>Acutaas Chemicals</t>
        </is>
      </c>
      <c r="D46" s="78" t="inlineStr">
        <is>
          <t>Catalyst</t>
        </is>
      </c>
      <c r="E46" s="70" t="inlineStr">
        <is>
          <t>It received PLI approval for an electrolyte additives plan and commissioned a high-potency API pilot plant.</t>
        </is>
      </c>
      <c r="F46" s="65" t="n"/>
      <c r="G46" s="52" t="inlineStr">
        <is>
          <t>fyers</t>
        </is>
      </c>
      <c r="H46" s="79" t="inlineStr">
        <is>
          <t>open ↗</t>
        </is>
      </c>
    </row>
    <row r="47" ht="44" customHeight="1">
      <c r="A47" s="51" t="n">
        <v>7</v>
      </c>
      <c r="B47" s="52" t="inlineStr">
        <is>
          <t>ACUTAAS</t>
        </is>
      </c>
      <c r="C47" s="52" t="inlineStr">
        <is>
          <t>Acutaas Chemicals</t>
        </is>
      </c>
      <c r="D47" s="80" t="inlineStr">
        <is>
          <t>Risk</t>
        </is>
      </c>
      <c r="E47" s="70" t="inlineStr">
        <is>
          <t>Quarterly revenue and profit were lower sequentially (₹327 cr and ₹76 cr in Jun vs ₹436 cr and ₹137 cr in Mar).</t>
        </is>
      </c>
      <c r="F47" s="65" t="n"/>
      <c r="G47" s="52" t="inlineStr">
        <is>
          <t>anandrathi</t>
        </is>
      </c>
      <c r="H47" s="79" t="inlineStr">
        <is>
          <t>open ↗</t>
        </is>
      </c>
    </row>
    <row r="48" ht="30" customHeight="1">
      <c r="A48" s="51" t="n">
        <v>7</v>
      </c>
      <c r="B48" s="52" t="inlineStr">
        <is>
          <t>ACUTAAS</t>
        </is>
      </c>
      <c r="C48" s="52" t="inlineStr">
        <is>
          <t>Acutaas Chemicals</t>
        </is>
      </c>
      <c r="D48" s="80" t="inlineStr">
        <is>
          <t>Risk</t>
        </is>
      </c>
      <c r="E48" s="70" t="inlineStr">
        <is>
          <t>The 6-1 return is negative.</t>
        </is>
      </c>
      <c r="F48" s="65" t="n"/>
      <c r="G48" s="52" t="inlineStr">
        <is>
          <t>anandrathi</t>
        </is>
      </c>
      <c r="H48" s="79" t="inlineStr">
        <is>
          <t>open ↗</t>
        </is>
      </c>
    </row>
    <row r="49" ht="30" customHeight="1">
      <c r="A49" s="51" t="n">
        <v>7</v>
      </c>
      <c r="B49" s="52" t="inlineStr">
        <is>
          <t>ACUTAAS</t>
        </is>
      </c>
      <c r="C49" s="52" t="inlineStr">
        <is>
          <t>Acutaas Chemicals</t>
        </is>
      </c>
      <c r="D49" s="80" t="inlineStr">
        <is>
          <t>Risk</t>
        </is>
      </c>
      <c r="E49" s="70" t="inlineStr">
        <is>
          <t>The price has moved sideways since June.</t>
        </is>
      </c>
      <c r="F49" s="65" t="n"/>
      <c r="G49" s="52" t="inlineStr"/>
      <c r="H49" s="52" t="n"/>
    </row>
    <row r="50" ht="30" customHeight="1">
      <c r="A50" s="51" t="n">
        <v>7</v>
      </c>
      <c r="B50" s="52" t="inlineStr">
        <is>
          <t>ACUTAAS</t>
        </is>
      </c>
      <c r="C50" s="52" t="inlineStr">
        <is>
          <t>Acutaas Chemicals</t>
        </is>
      </c>
      <c r="D50" s="80" t="inlineStr">
        <is>
          <t>Risk</t>
        </is>
      </c>
      <c r="E50" s="70" t="inlineStr">
        <is>
          <t>There is no clear trigger for a 21-day move.</t>
        </is>
      </c>
      <c r="F50" s="65" t="n"/>
      <c r="G50" s="52" t="inlineStr"/>
      <c r="H50" s="52" t="n"/>
    </row>
    <row r="51" ht="30" customHeight="1">
      <c r="A51" s="51" t="n">
        <v>8</v>
      </c>
      <c r="B51" s="52" t="inlineStr">
        <is>
          <t>DIACABS</t>
        </is>
      </c>
      <c r="C51" s="52" t="inlineStr">
        <is>
          <t>Diamond Power Infra</t>
        </is>
      </c>
      <c r="D51" s="80" t="inlineStr">
        <is>
          <t>Risk</t>
        </is>
      </c>
      <c r="E51" s="70" t="inlineStr">
        <is>
          <t>It hit a 52-week high of about ₹395 on 17 Sep, up 202% in six months, with a P/E near 128.</t>
        </is>
      </c>
      <c r="F51" s="65" t="n"/>
      <c r="G51" s="52" t="inlineStr">
        <is>
          <t>anandrathi</t>
        </is>
      </c>
      <c r="H51" s="79" t="inlineStr">
        <is>
          <t>open ↗</t>
        </is>
      </c>
    </row>
    <row r="52" ht="30" customHeight="1">
      <c r="A52" s="51" t="n">
        <v>8</v>
      </c>
      <c r="B52" s="52" t="inlineStr">
        <is>
          <t>DIACABS</t>
        </is>
      </c>
      <c r="C52" s="52" t="inlineStr">
        <is>
          <t>Diamond Power Infra</t>
        </is>
      </c>
      <c r="D52" s="80" t="inlineStr">
        <is>
          <t>Risk</t>
        </is>
      </c>
      <c r="E52" s="70" t="inlineStr">
        <is>
          <t>Book value per share was negative in the July data.</t>
        </is>
      </c>
      <c r="F52" s="65" t="n"/>
      <c r="G52" s="52" t="inlineStr">
        <is>
          <t>bajajfinserv</t>
        </is>
      </c>
      <c r="H52" s="79" t="inlineStr">
        <is>
          <t>open ↗</t>
        </is>
      </c>
    </row>
    <row r="53" ht="30" customHeight="1">
      <c r="A53" s="51" t="n">
        <v>8</v>
      </c>
      <c r="B53" s="52" t="inlineStr">
        <is>
          <t>DIACABS</t>
        </is>
      </c>
      <c r="C53" s="52" t="inlineStr">
        <is>
          <t>Diamond Power Infra</t>
        </is>
      </c>
      <c r="D53" s="80" t="inlineStr">
        <is>
          <t>Risk</t>
        </is>
      </c>
      <c r="E53" s="70" t="inlineStr">
        <is>
          <t>It is now 14% off that high.</t>
        </is>
      </c>
      <c r="F53" s="65" t="n"/>
      <c r="G53" s="52" t="inlineStr"/>
      <c r="H53" s="52" t="n"/>
    </row>
    <row r="54" ht="44" customHeight="1">
      <c r="A54" s="51" t="n">
        <v>8</v>
      </c>
      <c r="B54" s="52" t="inlineStr">
        <is>
          <t>DIACABS</t>
        </is>
      </c>
      <c r="C54" s="52" t="inlineStr">
        <is>
          <t>Diamond Power Infra</t>
        </is>
      </c>
      <c r="D54" s="81" t="inlineStr">
        <is>
          <t>Context</t>
        </is>
      </c>
      <c r="E54" s="70" t="inlineStr">
        <is>
          <t>The T&amp;D order-book story is real, but the valuation and balance sheet make it a momentum-only trade.</t>
        </is>
      </c>
      <c r="F54" s="65" t="n"/>
      <c r="G54" s="52" t="inlineStr"/>
      <c r="H54" s="52" t="n"/>
    </row>
    <row r="55" ht="44" customHeight="1">
      <c r="A55" s="51" t="n">
        <v>9</v>
      </c>
      <c r="B55" s="52" t="inlineStr">
        <is>
          <t>KIRLOSENG</t>
        </is>
      </c>
      <c r="C55" s="52" t="inlineStr">
        <is>
          <t>Kirloskar Oil Engines</t>
        </is>
      </c>
      <c r="D55" s="80" t="inlineStr">
        <is>
          <t>Risk</t>
        </is>
      </c>
      <c r="E55" s="70" t="inlineStr">
        <is>
          <t>June-quarter revenue was ₹1,482 cr vs ₹1,284 cr a year ago, but EBITDA slipped to ₹176 cr from ₹184 cr, so margins are compressing.</t>
        </is>
      </c>
      <c r="F55" s="65" t="n"/>
      <c r="G55" s="52" t="inlineStr">
        <is>
          <t>anandrathi</t>
        </is>
      </c>
      <c r="H55" s="79" t="inlineStr">
        <is>
          <t>open ↗</t>
        </is>
      </c>
    </row>
    <row r="56" ht="30" customHeight="1">
      <c r="A56" s="51" t="n">
        <v>9</v>
      </c>
      <c r="B56" s="52" t="inlineStr">
        <is>
          <t>KIRLOSENG</t>
        </is>
      </c>
      <c r="C56" s="52" t="inlineStr">
        <is>
          <t>Kirloskar Oil Engines</t>
        </is>
      </c>
      <c r="D56" s="80" t="inlineStr">
        <is>
          <t>Risk</t>
        </is>
      </c>
      <c r="E56" s="70" t="inlineStr">
        <is>
          <t>The 6-1 return is −11% and the stock is 16.5% below its high.</t>
        </is>
      </c>
      <c r="F56" s="65" t="n"/>
      <c r="G56" s="52" t="inlineStr"/>
      <c r="H56" s="52" t="n"/>
    </row>
    <row r="57" ht="30" customHeight="1">
      <c r="A57" s="51" t="n">
        <v>9</v>
      </c>
      <c r="B57" s="52" t="inlineStr">
        <is>
          <t>KIRLOSENG</t>
        </is>
      </c>
      <c r="C57" s="52" t="inlineStr">
        <is>
          <t>Kirloskar Oil Engines</t>
        </is>
      </c>
      <c r="D57" s="80" t="inlineStr">
        <is>
          <t>Risk</t>
        </is>
      </c>
      <c r="E57" s="70" t="inlineStr">
        <is>
          <t>Momentum is fading.</t>
        </is>
      </c>
      <c r="F57" s="65" t="n"/>
      <c r="G57" s="52" t="inlineStr"/>
      <c r="H57" s="52" t="n"/>
    </row>
    <row r="58" ht="30" customHeight="1">
      <c r="A58" s="51" t="n">
        <v>10</v>
      </c>
      <c r="B58" s="52" t="inlineStr">
        <is>
          <t>THANGAMAYL</t>
        </is>
      </c>
      <c r="C58" s="52" t="inlineStr">
        <is>
          <t>Thangamayil Jewellery</t>
        </is>
      </c>
      <c r="D58" s="81" t="inlineStr">
        <is>
          <t>Context</t>
        </is>
      </c>
      <c r="E58" s="70" t="inlineStr">
        <is>
          <t>It hit a high of ₹7,429 and traded near ₹5,085 on 22 Sep.</t>
        </is>
      </c>
      <c r="F58" s="65" t="n"/>
      <c r="G58" s="52" t="inlineStr">
        <is>
          <t>anandrathi</t>
        </is>
      </c>
      <c r="H58" s="79" t="inlineStr">
        <is>
          <t>open ↗</t>
        </is>
      </c>
    </row>
    <row r="59" ht="30" customHeight="1">
      <c r="A59" s="51" t="n">
        <v>10</v>
      </c>
      <c r="B59" s="52" t="inlineStr">
        <is>
          <t>THANGAMAYL</t>
        </is>
      </c>
      <c r="C59" s="52" t="inlineStr">
        <is>
          <t>Thangamayil Jewellery</t>
        </is>
      </c>
      <c r="D59" s="80" t="inlineStr">
        <is>
          <t>Risk</t>
        </is>
      </c>
      <c r="E59" s="70" t="inlineStr">
        <is>
          <t>It is now about 31% below the peak.</t>
        </is>
      </c>
      <c r="F59" s="65" t="n"/>
      <c r="G59" s="52" t="inlineStr">
        <is>
          <t>anandrathi</t>
        </is>
      </c>
      <c r="H59" s="79" t="inlineStr">
        <is>
          <t>open ↗</t>
        </is>
      </c>
    </row>
    <row r="60" ht="30" customHeight="1">
      <c r="A60" s="51" t="n">
        <v>10</v>
      </c>
      <c r="B60" s="52" t="inlineStr">
        <is>
          <t>THANGAMAYL</t>
        </is>
      </c>
      <c r="C60" s="52" t="inlineStr">
        <is>
          <t>Thangamayil Jewellery</t>
        </is>
      </c>
      <c r="D60" s="80" t="inlineStr">
        <is>
          <t>Risk</t>
        </is>
      </c>
      <c r="E60" s="70" t="inlineStr">
        <is>
          <t>Q1 EBITDA (₹145 cr) fell from ₹214 cr in the March quarter.</t>
        </is>
      </c>
      <c r="F60" s="65" t="n"/>
      <c r="G60" s="52" t="inlineStr">
        <is>
          <t>anandrathi</t>
        </is>
      </c>
      <c r="H60" s="79" t="inlineStr">
        <is>
          <t>open ↗</t>
        </is>
      </c>
    </row>
    <row r="61" ht="44" customHeight="1">
      <c r="A61" s="51" t="n">
        <v>10</v>
      </c>
      <c r="B61" s="52" t="inlineStr">
        <is>
          <t>THANGAMAYL</t>
        </is>
      </c>
      <c r="C61" s="52" t="inlineStr">
        <is>
          <t>Thangamayil Jewellery</t>
        </is>
      </c>
      <c r="D61" s="80" t="inlineStr">
        <is>
          <t>Risk</t>
        </is>
      </c>
      <c r="E61" s="70" t="inlineStr">
        <is>
          <t>It has the weakest chart in the batch: a clear downtrend, a negative 6-1 return, and a gold-price-sensitive business.</t>
        </is>
      </c>
      <c r="F61" s="65" t="n"/>
      <c r="G61" s="52" t="inlineStr"/>
      <c r="H61" s="52" t="n"/>
    </row>
  </sheetData>
  <mergeCells count="46">
    <mergeCell ref="E43:F43"/>
    <mergeCell ref="E50:F50"/>
    <mergeCell ref="E55:F55"/>
    <mergeCell ref="E24:F24"/>
    <mergeCell ref="E33:F33"/>
    <mergeCell ref="E42:F42"/>
    <mergeCell ref="E23:F23"/>
    <mergeCell ref="E52:F52"/>
    <mergeCell ref="E48:F48"/>
    <mergeCell ref="E39:F39"/>
    <mergeCell ref="E44:F44"/>
    <mergeCell ref="E35:F35"/>
    <mergeCell ref="E51:F51"/>
    <mergeCell ref="E20:F20"/>
    <mergeCell ref="A2:I2"/>
    <mergeCell ref="E38:F38"/>
    <mergeCell ref="E29:F29"/>
    <mergeCell ref="E19:F19"/>
    <mergeCell ref="E28:F28"/>
    <mergeCell ref="E60:F60"/>
    <mergeCell ref="E40:F40"/>
    <mergeCell ref="E31:F31"/>
    <mergeCell ref="E56:F56"/>
    <mergeCell ref="E34:F34"/>
    <mergeCell ref="E59:F59"/>
    <mergeCell ref="E30:F30"/>
    <mergeCell ref="E46:F46"/>
    <mergeCell ref="E58:F58"/>
    <mergeCell ref="E49:F49"/>
    <mergeCell ref="E27:F27"/>
    <mergeCell ref="E45:F45"/>
    <mergeCell ref="E36:F36"/>
    <mergeCell ref="E61:F61"/>
    <mergeCell ref="E26:F26"/>
    <mergeCell ref="E57:F57"/>
    <mergeCell ref="E54:F54"/>
    <mergeCell ref="E32:F32"/>
    <mergeCell ref="E25:F25"/>
    <mergeCell ref="E41:F41"/>
    <mergeCell ref="A1:I1"/>
    <mergeCell ref="E37:F37"/>
    <mergeCell ref="E22:F22"/>
    <mergeCell ref="E53:F53"/>
    <mergeCell ref="E18:F18"/>
    <mergeCell ref="E47:F47"/>
    <mergeCell ref="E21:F21"/>
  </mergeCells>
  <conditionalFormatting sqref="E5:E14">
    <cfRule type="dataBar" priority="1">
      <dataBar showValue="1">
        <cfvo type="num" val="-2"/>
        <cfvo type="num" val="2"/>
        <color rgb="001F9D63"/>
      </dataBar>
    </cfRule>
  </conditionalFormatting>
  <conditionalFormatting sqref="G5:G14">
    <cfRule type="cellIs" priority="2" operator="greaterThan" dxfId="2">
      <formula>0</formula>
    </cfRule>
    <cfRule type="cellIs" priority="3" operator="lessThan" dxfId="3">
      <formula>0</formula>
    </cfRule>
  </conditionalFormatting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2" r:id="rId4"/>
    <hyperlink xmlns:r="http://schemas.openxmlformats.org/officeDocument/2006/relationships" ref="H24" r:id="rId5"/>
    <hyperlink xmlns:r="http://schemas.openxmlformats.org/officeDocument/2006/relationships" ref="H25" r:id="rId6"/>
    <hyperlink xmlns:r="http://schemas.openxmlformats.org/officeDocument/2006/relationships" ref="H26" r:id="rId7"/>
    <hyperlink xmlns:r="http://schemas.openxmlformats.org/officeDocument/2006/relationships" ref="H27" r:id="rId8"/>
    <hyperlink xmlns:r="http://schemas.openxmlformats.org/officeDocument/2006/relationships" ref="H28" r:id="rId9"/>
    <hyperlink xmlns:r="http://schemas.openxmlformats.org/officeDocument/2006/relationships" ref="H29" r:id="rId10"/>
    <hyperlink xmlns:r="http://schemas.openxmlformats.org/officeDocument/2006/relationships" ref="H30" r:id="rId11"/>
    <hyperlink xmlns:r="http://schemas.openxmlformats.org/officeDocument/2006/relationships" ref="H31" r:id="rId12"/>
    <hyperlink xmlns:r="http://schemas.openxmlformats.org/officeDocument/2006/relationships" ref="H34" r:id="rId13"/>
    <hyperlink xmlns:r="http://schemas.openxmlformats.org/officeDocument/2006/relationships" ref="H35" r:id="rId14"/>
    <hyperlink xmlns:r="http://schemas.openxmlformats.org/officeDocument/2006/relationships" ref="H38" r:id="rId15"/>
    <hyperlink xmlns:r="http://schemas.openxmlformats.org/officeDocument/2006/relationships" ref="H39" r:id="rId16"/>
    <hyperlink xmlns:r="http://schemas.openxmlformats.org/officeDocument/2006/relationships" ref="H40" r:id="rId17"/>
    <hyperlink xmlns:r="http://schemas.openxmlformats.org/officeDocument/2006/relationships" ref="H41" r:id="rId18"/>
    <hyperlink xmlns:r="http://schemas.openxmlformats.org/officeDocument/2006/relationships" ref="H42" r:id="rId19"/>
    <hyperlink xmlns:r="http://schemas.openxmlformats.org/officeDocument/2006/relationships" ref="H43" r:id="rId20"/>
    <hyperlink xmlns:r="http://schemas.openxmlformats.org/officeDocument/2006/relationships" ref="H44" r:id="rId21"/>
    <hyperlink xmlns:r="http://schemas.openxmlformats.org/officeDocument/2006/relationships" ref="H46" r:id="rId22"/>
    <hyperlink xmlns:r="http://schemas.openxmlformats.org/officeDocument/2006/relationships" ref="H47" r:id="rId23"/>
    <hyperlink xmlns:r="http://schemas.openxmlformats.org/officeDocument/2006/relationships" ref="H48" r:id="rId24"/>
    <hyperlink xmlns:r="http://schemas.openxmlformats.org/officeDocument/2006/relationships" ref="H51" r:id="rId25"/>
    <hyperlink xmlns:r="http://schemas.openxmlformats.org/officeDocument/2006/relationships" ref="H52" r:id="rId26"/>
    <hyperlink xmlns:r="http://schemas.openxmlformats.org/officeDocument/2006/relationships" ref="H55" r:id="rId27"/>
    <hyperlink xmlns:r="http://schemas.openxmlformats.org/officeDocument/2006/relationships" ref="H58" r:id="rId28"/>
    <hyperlink xmlns:r="http://schemas.openxmlformats.org/officeDocument/2006/relationships" ref="H59" r:id="rId29"/>
    <hyperlink xmlns:r="http://schemas.openxmlformats.org/officeDocument/2006/relationships" ref="H60" r:id="rId30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G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0" customWidth="1" min="3" max="3"/>
    <col width="20" customWidth="1" min="4" max="4"/>
    <col width="10" customWidth="1" min="5" max="5"/>
    <col width="10" customWidth="1" min="6" max="6"/>
    <col width="9" customWidth="1" min="7" max="7"/>
  </cols>
  <sheetData>
    <row r="1" ht="30" customHeight="1">
      <c r="A1" s="1" t="inlineStr">
        <is>
          <t>Positive News &amp; Sentiment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Fetched 2026-10-23 17:22</t>
        </is>
      </c>
      <c r="B2" s="2" t="n"/>
      <c r="C2" s="2" t="n"/>
      <c r="D2" s="2" t="n"/>
      <c r="E2" s="2" t="n"/>
      <c r="F2" s="2" t="n"/>
      <c r="G2" s="2" t="n"/>
    </row>
    <row r="4">
      <c r="A4" s="15" t="inlineStr">
        <is>
          <t>Symbol</t>
        </is>
      </c>
      <c r="B4" s="15" t="inlineStr">
        <is>
          <t>Published</t>
        </is>
      </c>
      <c r="C4" s="15" t="inlineStr">
        <is>
          <t>Headline</t>
        </is>
      </c>
      <c r="D4" s="15" t="inlineStr">
        <is>
          <t>Source</t>
        </is>
      </c>
      <c r="E4" s="15" t="inlineStr">
        <is>
          <t>Sentiment</t>
        </is>
      </c>
      <c r="F4" s="15" t="inlineStr">
        <is>
          <t>Label</t>
        </is>
      </c>
      <c r="G4" s="15" t="inlineStr">
        <is>
          <t>Link</t>
        </is>
      </c>
    </row>
    <row r="5">
      <c r="A5" s="52" t="inlineStr">
        <is>
          <t>MARKET</t>
        </is>
      </c>
      <c r="B5" s="52" t="inlineStr">
        <is>
          <t>2026-10-23 16:48</t>
        </is>
      </c>
      <c r="C5" s="52" t="inlineStr">
        <is>
          <t>Sensex, Nifty Extend Losing Streak to Fourth Session as Crude Surges above $114</t>
        </is>
      </c>
      <c r="D5" s="52" t="inlineStr">
        <is>
          <t>The Indian Awaaz</t>
        </is>
      </c>
      <c r="E5" s="82" t="n">
        <v>0.077</v>
      </c>
      <c r="F5" s="52" t="inlineStr">
        <is>
          <t>Neutral</t>
        </is>
      </c>
      <c r="G5" s="83" t="inlineStr">
        <is>
          <t>open ↗</t>
        </is>
      </c>
    </row>
    <row r="6">
      <c r="A6" s="52" t="inlineStr">
        <is>
          <t>MARKET</t>
        </is>
      </c>
      <c r="B6" s="52" t="inlineStr">
        <is>
          <t>2026-10-23 15:07</t>
        </is>
      </c>
      <c r="C6" s="52" t="inlineStr">
        <is>
          <t>Sensex, Nifty Fall for Fourth Consecutive Session as Geopolitical Tensions Rattle Indian Markets</t>
        </is>
      </c>
      <c r="D6" s="52" t="inlineStr">
        <is>
          <t>INDIA New England News</t>
        </is>
      </c>
      <c r="E6" s="82" t="n">
        <v>-0.34</v>
      </c>
      <c r="F6" s="52" t="inlineStr">
        <is>
          <t>Negative</t>
        </is>
      </c>
      <c r="G6" s="83" t="inlineStr">
        <is>
          <t>open ↗</t>
        </is>
      </c>
    </row>
    <row r="7">
      <c r="A7" s="52" t="inlineStr">
        <is>
          <t>AEROFLEX</t>
        </is>
      </c>
      <c r="B7" s="52" t="inlineStr">
        <is>
          <t>2026-10-23 14:26</t>
        </is>
      </c>
      <c r="C7" s="52" t="inlineStr">
        <is>
          <t>Aeroflex Enterprises NSE:AEROENTER Stilonn Acquisition</t>
        </is>
      </c>
      <c r="D7" s="52" t="inlineStr">
        <is>
          <t>Kalkine India</t>
        </is>
      </c>
      <c r="E7" s="82" t="n">
        <v>0</v>
      </c>
      <c r="F7" s="52" t="inlineStr">
        <is>
          <t>Neutral</t>
        </is>
      </c>
      <c r="G7" s="83" t="inlineStr">
        <is>
          <t>open ↗</t>
        </is>
      </c>
    </row>
    <row r="8">
      <c r="A8" s="52" t="inlineStr">
        <is>
          <t>MARKET</t>
        </is>
      </c>
      <c r="B8" s="52" t="inlineStr">
        <is>
          <t>2026-10-23 13:04</t>
        </is>
      </c>
      <c r="C8" s="52" t="inlineStr">
        <is>
          <t>Stock Market Weekly Wrap: Rs 16 lakh crore mcap wiped out as Sensex sheds 1,605 points — what lies ahead?</t>
        </is>
      </c>
      <c r="D8" s="52" t="inlineStr">
        <is>
          <t>Zee Business</t>
        </is>
      </c>
      <c r="E8" s="82" t="n">
        <v>-0.66</v>
      </c>
      <c r="F8" s="52" t="inlineStr">
        <is>
          <t>Negative</t>
        </is>
      </c>
      <c r="G8" s="83" t="inlineStr">
        <is>
          <t>open ↗</t>
        </is>
      </c>
    </row>
    <row r="9">
      <c r="A9" s="52" t="inlineStr">
        <is>
          <t>MARKET</t>
        </is>
      </c>
      <c r="B9" s="52" t="inlineStr">
        <is>
          <t>2026-10-23 12:56</t>
        </is>
      </c>
      <c r="C9" s="52" t="inlineStr">
        <is>
          <t>Indian Renewable Energy Stocks Decline as Inox Wind Falls 5.45% on October 23</t>
        </is>
      </c>
      <c r="D9" s="52" t="inlineStr">
        <is>
          <t>SolarQuarter</t>
        </is>
      </c>
      <c r="E9" s="82" t="n">
        <v>-0.477</v>
      </c>
      <c r="F9" s="52" t="inlineStr">
        <is>
          <t>Negative</t>
        </is>
      </c>
      <c r="G9" s="83" t="inlineStr">
        <is>
          <t>open ↗</t>
        </is>
      </c>
    </row>
    <row r="10">
      <c r="A10" s="52" t="inlineStr">
        <is>
          <t>MARKET</t>
        </is>
      </c>
      <c r="B10" s="52" t="inlineStr">
        <is>
          <t>2026-10-23 12:00</t>
        </is>
      </c>
      <c r="C10" s="52" t="inlineStr">
        <is>
          <t>Market wrap: Eternal, Apollo Hospital, Shriram Finance, Adani Enterprises among top gainers and losers on</t>
        </is>
      </c>
      <c r="D10" s="52" t="inlineStr">
        <is>
          <t>The Economic Times</t>
        </is>
      </c>
      <c r="E10" s="82" t="n">
        <v>-0.382</v>
      </c>
      <c r="F10" s="52" t="inlineStr">
        <is>
          <t>Negative</t>
        </is>
      </c>
      <c r="G10" s="83" t="inlineStr">
        <is>
          <t>open ↗</t>
        </is>
      </c>
    </row>
    <row r="11">
      <c r="A11" s="52" t="inlineStr">
        <is>
          <t>MARKET</t>
        </is>
      </c>
      <c r="B11" s="52" t="inlineStr">
        <is>
          <t>2026-10-23 11:34</t>
        </is>
      </c>
      <c r="C11" s="52" t="inlineStr">
        <is>
          <t>Sensex Fall Today: Sensex Drops 1,279 Points, Nifty Near 22,400</t>
        </is>
      </c>
      <c r="D11" s="52" t="inlineStr">
        <is>
          <t>Business Outreach Magazine</t>
        </is>
      </c>
      <c r="E11" s="82" t="n">
        <v>0.077</v>
      </c>
      <c r="F11" s="52" t="inlineStr">
        <is>
          <t>Neutral</t>
        </is>
      </c>
      <c r="G11" s="83" t="inlineStr">
        <is>
          <t>open ↗</t>
        </is>
      </c>
    </row>
    <row r="12">
      <c r="A12" s="52" t="inlineStr">
        <is>
          <t>MARKET</t>
        </is>
      </c>
      <c r="B12" s="52" t="inlineStr">
        <is>
          <t>2026-10-23 11:22</t>
        </is>
      </c>
      <c r="C12" s="52" t="inlineStr">
        <is>
          <t>Share Market Today: Nifty 50, Bank Nifty | Oct 23, 2026</t>
        </is>
      </c>
      <c r="D12" s="52" t="inlineStr">
        <is>
          <t>Liquide Blog</t>
        </is>
      </c>
      <c r="E12" s="82" t="n">
        <v>0.66</v>
      </c>
      <c r="F12" s="52" t="inlineStr">
        <is>
          <t>Positive</t>
        </is>
      </c>
      <c r="G12" s="83" t="inlineStr">
        <is>
          <t>open ↗</t>
        </is>
      </c>
    </row>
    <row r="13">
      <c r="A13" s="52" t="inlineStr">
        <is>
          <t>MARKET</t>
        </is>
      </c>
      <c r="B13" s="52" t="inlineStr">
        <is>
          <t>2026-10-23 11:20</t>
        </is>
      </c>
      <c r="C13" s="52" t="inlineStr">
        <is>
          <t>Indian Equities Fall for Fourth Day as West Asia Tensions Drive Oil Prices Higher</t>
        </is>
      </c>
      <c r="D13" s="52" t="inlineStr">
        <is>
          <t>Rediff</t>
        </is>
      </c>
      <c r="E13" s="82" t="n">
        <v>-0.625</v>
      </c>
      <c r="F13" s="52" t="inlineStr">
        <is>
          <t>Negative</t>
        </is>
      </c>
      <c r="G13" s="83" t="inlineStr">
        <is>
          <t>open ↗</t>
        </is>
      </c>
    </row>
    <row r="14">
      <c r="A14" s="52" t="inlineStr">
        <is>
          <t>MARKET</t>
        </is>
      </c>
      <c r="B14" s="52" t="inlineStr">
        <is>
          <t>2026-10-23 11:19</t>
        </is>
      </c>
      <c r="C14" s="52" t="inlineStr">
        <is>
          <t>Markets extend losses for 4th day amid selling pressure, oil price surge</t>
        </is>
      </c>
      <c r="D14" s="52" t="inlineStr">
        <is>
          <t>DT Next</t>
        </is>
      </c>
      <c r="E14" s="82" t="n">
        <v>-0.026</v>
      </c>
      <c r="F14" s="52" t="inlineStr">
        <is>
          <t>Neutral</t>
        </is>
      </c>
      <c r="G14" s="83" t="inlineStr">
        <is>
          <t>open ↗</t>
        </is>
      </c>
    </row>
    <row r="15">
      <c r="A15" s="52" t="inlineStr">
        <is>
          <t>MARKET</t>
        </is>
      </c>
      <c r="B15" s="52" t="inlineStr">
        <is>
          <t>2026-10-23 10:54</t>
        </is>
      </c>
      <c r="C15" s="52" t="inlineStr">
        <is>
          <t>Markets Fall for 4th Day as Crude Nears $114; Nifty Ends at 22,600</t>
        </is>
      </c>
      <c r="D15" s="52" t="inlineStr">
        <is>
          <t>HDFC Sky</t>
        </is>
      </c>
      <c r="E15" s="82" t="n">
        <v>-0.527</v>
      </c>
      <c r="F15" s="52" t="inlineStr">
        <is>
          <t>Negative</t>
        </is>
      </c>
      <c r="G15" s="83" t="inlineStr">
        <is>
          <t>open ↗</t>
        </is>
      </c>
    </row>
    <row r="16">
      <c r="A16" s="52" t="inlineStr">
        <is>
          <t>MARKET</t>
        </is>
      </c>
      <c r="B16" s="52" t="inlineStr">
        <is>
          <t>2026-10-23 10:46</t>
        </is>
      </c>
      <c r="C16" s="52" t="inlineStr">
        <is>
          <t>Sensex Today Ends 126 Points lower | Nifty Below 22,650 | Tata Steel Drown 3%</t>
        </is>
      </c>
      <c r="D16" s="52" t="inlineStr">
        <is>
          <t>Equitymaster</t>
        </is>
      </c>
      <c r="E16" s="82" t="n">
        <v>-0.421</v>
      </c>
      <c r="F16" s="52" t="inlineStr">
        <is>
          <t>Negative</t>
        </is>
      </c>
      <c r="G16" s="83" t="inlineStr">
        <is>
          <t>open ↗</t>
        </is>
      </c>
    </row>
    <row r="17">
      <c r="A17" s="52" t="inlineStr">
        <is>
          <t>MARKET</t>
        </is>
      </c>
      <c r="B17" s="52" t="inlineStr">
        <is>
          <t>2026-10-23 10:39</t>
        </is>
      </c>
      <c r="C17" s="52" t="inlineStr">
        <is>
          <t>Taking Stock: Markets recover from day's lows, but sell-off extends to 4th day; Nifty at 22,600</t>
        </is>
      </c>
      <c r="D17" s="52" t="inlineStr">
        <is>
          <t>Moneycontrol.com</t>
        </is>
      </c>
      <c r="E17" s="82" t="n">
        <v>0.599</v>
      </c>
      <c r="F17" s="52" t="inlineStr">
        <is>
          <t>Positive</t>
        </is>
      </c>
      <c r="G17" s="83" t="inlineStr">
        <is>
          <t>open ↗</t>
        </is>
      </c>
    </row>
    <row r="18">
      <c r="A18" s="52" t="inlineStr">
        <is>
          <t>MARKET</t>
        </is>
      </c>
      <c r="B18" s="52" t="inlineStr">
        <is>
          <t>2026-10-23 10:30</t>
        </is>
      </c>
      <c r="C18" s="52" t="inlineStr">
        <is>
          <t>Sensex, Nifty extend losses as crude surges to USD 114, all sectors close in red</t>
        </is>
      </c>
      <c r="D18" s="52" t="inlineStr">
        <is>
          <t>ANI News</t>
        </is>
      </c>
      <c r="E18" s="82" t="n">
        <v>0.026</v>
      </c>
      <c r="F18" s="52" t="inlineStr">
        <is>
          <t>Neutral</t>
        </is>
      </c>
      <c r="G18" s="83" t="inlineStr">
        <is>
          <t>open ↗</t>
        </is>
      </c>
    </row>
    <row r="19">
      <c r="A19" s="52" t="inlineStr">
        <is>
          <t>MARKET</t>
        </is>
      </c>
      <c r="B19" s="52" t="inlineStr">
        <is>
          <t>2026-10-23 10:30</t>
        </is>
      </c>
      <c r="C19" s="52" t="inlineStr">
        <is>
          <t>Closing Bell: Sensex, Nifty Fall for 4th Session as Brent Crude Nears $114; Smallcap Stocks Tumble</t>
        </is>
      </c>
      <c r="D19" s="52" t="inlineStr">
        <is>
          <t>Dalal Street Investment Journal</t>
        </is>
      </c>
      <c r="E19" s="82" t="n">
        <v>-0.527</v>
      </c>
      <c r="F19" s="52" t="inlineStr">
        <is>
          <t>Negative</t>
        </is>
      </c>
      <c r="G19" s="83" t="inlineStr">
        <is>
          <t>open ↗</t>
        </is>
      </c>
    </row>
    <row r="20">
      <c r="A20" s="52" t="inlineStr">
        <is>
          <t>MARKET</t>
        </is>
      </c>
      <c r="B20" s="52" t="inlineStr">
        <is>
          <t>2026-10-23 10:22</t>
        </is>
      </c>
      <c r="C20" s="52" t="inlineStr">
        <is>
          <t>Market Today: Sensex Falls 126 Points, Nifty Ends Below 22,650; Smallcap Stocks Crash Nearly 3%</t>
        </is>
      </c>
      <c r="D20" s="52" t="inlineStr">
        <is>
          <t>News18</t>
        </is>
      </c>
      <c r="E20" s="82" t="n">
        <v>-0.572</v>
      </c>
      <c r="F20" s="52" t="inlineStr">
        <is>
          <t>Negative</t>
        </is>
      </c>
      <c r="G20" s="83" t="inlineStr">
        <is>
          <t>open ↗</t>
        </is>
      </c>
    </row>
    <row r="21">
      <c r="A21" s="52" t="inlineStr">
        <is>
          <t>MARKET</t>
        </is>
      </c>
      <c r="B21" s="52" t="inlineStr">
        <is>
          <t>2026-10-23 10:12</t>
        </is>
      </c>
      <c r="C21" s="52" t="inlineStr">
        <is>
          <t>Sensex, Nifty end lower as Midcaps tumble; Swiggy suffers biggest single-day fall</t>
        </is>
      </c>
      <c r="D21" s="52" t="inlineStr">
        <is>
          <t>CNBC TV18</t>
        </is>
      </c>
      <c r="E21" s="82" t="n">
        <v>-0.5570000000000001</v>
      </c>
      <c r="F21" s="52" t="inlineStr">
        <is>
          <t>Negative</t>
        </is>
      </c>
      <c r="G21" s="83" t="inlineStr">
        <is>
          <t>open ↗</t>
        </is>
      </c>
    </row>
    <row r="22">
      <c r="A22" s="52" t="inlineStr">
        <is>
          <t>MARKET</t>
        </is>
      </c>
      <c r="B22" s="52" t="inlineStr">
        <is>
          <t>2026-10-23 10:05</t>
        </is>
      </c>
      <c r="C22" s="52" t="inlineStr">
        <is>
          <t>Closing Bell: Sensex falls 126 points, Nifty below 22,600 as oil prices spike; Metal, Realty stocks lead losses</t>
        </is>
      </c>
      <c r="D22" s="52" t="inlineStr">
        <is>
          <t>Zee Business</t>
        </is>
      </c>
      <c r="E22" s="82" t="n">
        <v>-0.402</v>
      </c>
      <c r="F22" s="52" t="inlineStr">
        <is>
          <t>Negative</t>
        </is>
      </c>
      <c r="G22" s="83" t="inlineStr">
        <is>
          <t>open ↗</t>
        </is>
      </c>
    </row>
    <row r="23">
      <c r="A23" s="52" t="inlineStr">
        <is>
          <t>MARKET</t>
        </is>
      </c>
      <c r="B23" s="52" t="inlineStr">
        <is>
          <t>2026-10-23 09:59</t>
        </is>
      </c>
      <c r="C23" s="52" t="inlineStr">
        <is>
          <t>Global Market: Eurozone bond markets stabilise after volatile week</t>
        </is>
      </c>
      <c r="D23" s="52" t="inlineStr">
        <is>
          <t>The Economic Times</t>
        </is>
      </c>
      <c r="E23" s="82" t="n">
        <v>0</v>
      </c>
      <c r="F23" s="52" t="inlineStr">
        <is>
          <t>Neutral</t>
        </is>
      </c>
      <c r="G23" s="83" t="inlineStr">
        <is>
          <t>open ↗</t>
        </is>
      </c>
    </row>
    <row r="24">
      <c r="A24" s="52" t="inlineStr">
        <is>
          <t>E2E</t>
        </is>
      </c>
      <c r="B24" s="52" t="inlineStr">
        <is>
          <t>2026-10-23 09:50</t>
        </is>
      </c>
      <c r="C24" s="52" t="inlineStr">
        <is>
          <t>E2E Networks shares hit lower circuit for 4th straight session; Netweb, Black Box fall up to 9% amid...</t>
        </is>
      </c>
      <c r="D24" s="52" t="inlineStr">
        <is>
          <t>Moneycontrol.com</t>
        </is>
      </c>
      <c r="E24" s="82" t="n">
        <v>-0.44</v>
      </c>
      <c r="F24" s="52" t="inlineStr">
        <is>
          <t>Negative</t>
        </is>
      </c>
      <c r="G24" s="83" t="inlineStr">
        <is>
          <t>open ↗</t>
        </is>
      </c>
    </row>
    <row r="25">
      <c r="A25" s="52" t="inlineStr">
        <is>
          <t>MARKET</t>
        </is>
      </c>
      <c r="B25" s="52" t="inlineStr">
        <is>
          <t>2026-10-23 09:30</t>
        </is>
      </c>
      <c r="C25" s="52" t="inlineStr">
        <is>
          <t>Westlife Foodworld soars 20%; rebounds 24% from days' low post Q2 results</t>
        </is>
      </c>
      <c r="D25" s="52" t="inlineStr">
        <is>
          <t>Business Standard</t>
        </is>
      </c>
      <c r="E25" s="82" t="n">
        <v>0.318</v>
      </c>
      <c r="F25" s="52" t="inlineStr">
        <is>
          <t>Positive</t>
        </is>
      </c>
      <c r="G25" s="83" t="inlineStr">
        <is>
          <t>open ↗</t>
        </is>
      </c>
    </row>
    <row r="26">
      <c r="A26" s="52" t="inlineStr">
        <is>
          <t>ATHERENERG</t>
        </is>
      </c>
      <c r="B26" s="52" t="inlineStr">
        <is>
          <t>2026-10-23 09:00</t>
        </is>
      </c>
      <c r="C26" s="52" t="inlineStr">
        <is>
          <t>Ather Energy Share Price Today, Ather Energy Stock Price Live NSE/BSE Updates</t>
        </is>
      </c>
      <c r="D26" s="52" t="inlineStr">
        <is>
          <t>The Economic Times</t>
        </is>
      </c>
      <c r="E26" s="82" t="n">
        <v>0.494</v>
      </c>
      <c r="F26" s="52" t="inlineStr">
        <is>
          <t>Positive</t>
        </is>
      </c>
      <c r="G26" s="83" t="inlineStr">
        <is>
          <t>open ↗</t>
        </is>
      </c>
    </row>
    <row r="27">
      <c r="A27" s="52" t="inlineStr">
        <is>
          <t>MARKET</t>
        </is>
      </c>
      <c r="B27" s="52" t="inlineStr">
        <is>
          <t>2026-10-23 08:53</t>
        </is>
      </c>
      <c r="C27" s="52" t="inlineStr">
        <is>
          <t>Sensex Recovers 408 Points from Intraday Levels as IT Stocks Advance; Nifty 50 Trades at 22,500</t>
        </is>
      </c>
      <c r="D27" s="52" t="inlineStr">
        <is>
          <t>Dalal Street Investment Journal</t>
        </is>
      </c>
      <c r="E27" s="82" t="n">
        <v>0.402</v>
      </c>
      <c r="F27" s="52" t="inlineStr">
        <is>
          <t>Positive</t>
        </is>
      </c>
      <c r="G27" s="83" t="inlineStr">
        <is>
          <t>open ↗</t>
        </is>
      </c>
    </row>
    <row r="28">
      <c r="A28" s="52" t="inlineStr">
        <is>
          <t>MARKET</t>
        </is>
      </c>
      <c r="B28" s="52" t="inlineStr">
        <is>
          <t>2026-10-23 08:29</t>
        </is>
      </c>
      <c r="C28" s="52" t="inlineStr">
        <is>
          <t>D-Street bleeds! Market value of all BSE-listed firms falls below Rs 450 lakh crore for first time since A</t>
        </is>
      </c>
      <c r="D28" s="52" t="inlineStr">
        <is>
          <t>The Economic Times</t>
        </is>
      </c>
      <c r="E28" s="82" t="n">
        <v>-0.126</v>
      </c>
      <c r="F28" s="52" t="inlineStr">
        <is>
          <t>Neutral</t>
        </is>
      </c>
      <c r="G28" s="83" t="inlineStr">
        <is>
          <t>open ↗</t>
        </is>
      </c>
    </row>
    <row r="29">
      <c r="A29" s="52" t="inlineStr">
        <is>
          <t>MARKET</t>
        </is>
      </c>
      <c r="B29" s="52" t="inlineStr">
        <is>
          <t>2026-10-23 08:17</t>
        </is>
      </c>
      <c r="C29" s="52" t="inlineStr">
        <is>
          <t>Sensex and Nifty Slip Amid Broad Market Weakness; Utilities Sector Leads Declines</t>
        </is>
      </c>
      <c r="D29" s="52" t="inlineStr">
        <is>
          <t>MarketsMojo</t>
        </is>
      </c>
      <c r="E29" s="82" t="n">
        <v>-0.625</v>
      </c>
      <c r="F29" s="52" t="inlineStr">
        <is>
          <t>Negative</t>
        </is>
      </c>
      <c r="G29" s="83" t="inlineStr">
        <is>
          <t>open ↗</t>
        </is>
      </c>
    </row>
    <row r="30">
      <c r="A30" s="52" t="inlineStr">
        <is>
          <t>MARKET</t>
        </is>
      </c>
      <c r="B30" s="52" t="inlineStr">
        <is>
          <t>2026-10-23 08:12</t>
        </is>
      </c>
      <c r="C30" s="52" t="inlineStr">
        <is>
          <t>Steel Strips zooms 19%, hits record high on heavy volume post Q2 results</t>
        </is>
      </c>
      <c r="D30" s="52" t="inlineStr">
        <is>
          <t>Business Standard</t>
        </is>
      </c>
      <c r="E30" s="82" t="n">
        <v>0.402</v>
      </c>
      <c r="F30" s="52" t="inlineStr">
        <is>
          <t>Positive</t>
        </is>
      </c>
      <c r="G30" s="83" t="inlineStr">
        <is>
          <t>open ↗</t>
        </is>
      </c>
    </row>
    <row r="31">
      <c r="A31" s="52" t="inlineStr">
        <is>
          <t>MARKET</t>
        </is>
      </c>
      <c r="B31" s="52" t="inlineStr">
        <is>
          <t>2026-10-23 07:59</t>
        </is>
      </c>
      <c r="C31" s="52" t="inlineStr">
        <is>
          <t>Stock Market Crash: Rs 24.8 lakh crore wiped off this week; Sensex sheds 1,000 pts from day's high, Nifty nears 24,400</t>
        </is>
      </c>
      <c r="D31" s="52" t="inlineStr">
        <is>
          <t>Zee Business</t>
        </is>
      </c>
      <c r="E31" s="82" t="n">
        <v>-0.44</v>
      </c>
      <c r="F31" s="52" t="inlineStr">
        <is>
          <t>Negative</t>
        </is>
      </c>
      <c r="G31" s="83" t="inlineStr">
        <is>
          <t>open ↗</t>
        </is>
      </c>
    </row>
    <row r="32">
      <c r="A32" s="52" t="inlineStr">
        <is>
          <t>MARKET</t>
        </is>
      </c>
      <c r="B32" s="52" t="inlineStr">
        <is>
          <t>2026-10-23 07:23</t>
        </is>
      </c>
      <c r="C32" s="52" t="inlineStr">
        <is>
          <t>Market crash: Sensex sinks 1,279 pts from day's high; Nifty tests 22,400</t>
        </is>
      </c>
      <c r="D32" s="52" t="inlineStr">
        <is>
          <t>India IPO</t>
        </is>
      </c>
      <c r="E32" s="82" t="n">
        <v>-0.511</v>
      </c>
      <c r="F32" s="52" t="inlineStr">
        <is>
          <t>Negative</t>
        </is>
      </c>
      <c r="G32" s="83" t="inlineStr">
        <is>
          <t>open ↗</t>
        </is>
      </c>
    </row>
    <row r="33">
      <c r="A33" s="52" t="inlineStr">
        <is>
          <t>RRKABEL</t>
        </is>
      </c>
      <c r="B33" s="52" t="inlineStr">
        <is>
          <t>2026-10-23 07:22</t>
        </is>
      </c>
      <c r="C33" s="52" t="inlineStr">
        <is>
          <t>Buy R R Kabel; target of Rs 2960: Motilal Oswal</t>
        </is>
      </c>
      <c r="D33" s="52" t="inlineStr">
        <is>
          <t>Moneycontrol.com</t>
        </is>
      </c>
      <c r="E33" s="82" t="n">
        <v>0.421</v>
      </c>
      <c r="F33" s="52" t="inlineStr">
        <is>
          <t>Positive</t>
        </is>
      </c>
      <c r="G33" s="83" t="inlineStr">
        <is>
          <t>open ↗</t>
        </is>
      </c>
    </row>
    <row r="34">
      <c r="A34" s="52" t="inlineStr">
        <is>
          <t>MARKET</t>
        </is>
      </c>
      <c r="B34" s="52" t="inlineStr">
        <is>
          <t>2026-10-23 07:16</t>
        </is>
      </c>
      <c r="C34" s="52" t="inlineStr">
        <is>
          <t>Why Stock Market Is Falling Today? Sensex Drops Over 700 Points, Nifty 50 Slips Below 22,400; Key Reasons</t>
        </is>
      </c>
      <c r="D34" s="52" t="inlineStr">
        <is>
          <t>NDTV Profit</t>
        </is>
      </c>
      <c r="E34" s="82" t="n">
        <v>-0.077</v>
      </c>
      <c r="F34" s="52" t="inlineStr">
        <is>
          <t>Neutral</t>
        </is>
      </c>
      <c r="G34" s="83" t="inlineStr">
        <is>
          <t>open ↗</t>
        </is>
      </c>
    </row>
    <row r="35">
      <c r="A35" s="52" t="inlineStr">
        <is>
          <t>MARKET</t>
        </is>
      </c>
      <c r="B35" s="52" t="inlineStr">
        <is>
          <t>2026-10-23 07:05</t>
        </is>
      </c>
      <c r="C35" s="52" t="inlineStr">
        <is>
          <t>TCS share price surges 28% in October, hits over 7-month high; here's why</t>
        </is>
      </c>
      <c r="D35" s="52" t="inlineStr">
        <is>
          <t>Business Standard</t>
        </is>
      </c>
      <c r="E35" s="82" t="n">
        <v>0.527</v>
      </c>
      <c r="F35" s="52" t="inlineStr">
        <is>
          <t>Positive</t>
        </is>
      </c>
      <c r="G35" s="83" t="inlineStr">
        <is>
          <t>open ↗</t>
        </is>
      </c>
    </row>
    <row r="36">
      <c r="A36" s="52" t="inlineStr">
        <is>
          <t>MARKET</t>
        </is>
      </c>
      <c r="B36" s="52" t="inlineStr">
        <is>
          <t>2026-10-23 06:50</t>
        </is>
      </c>
      <c r="C36" s="52" t="inlineStr">
        <is>
          <t>Sensex falls 600 points: Why is stock market down today?</t>
        </is>
      </c>
      <c r="D36" s="52" t="inlineStr">
        <is>
          <t>India Today</t>
        </is>
      </c>
      <c r="E36" s="82" t="n">
        <v>-0.382</v>
      </c>
      <c r="F36" s="52" t="inlineStr">
        <is>
          <t>Negative</t>
        </is>
      </c>
      <c r="G36" s="83" t="inlineStr">
        <is>
          <t>open ↗</t>
        </is>
      </c>
    </row>
    <row r="37">
      <c r="A37" s="52" t="inlineStr">
        <is>
          <t>MARKET</t>
        </is>
      </c>
      <c r="B37" s="52" t="inlineStr">
        <is>
          <t>2026-10-23 06:48</t>
        </is>
      </c>
      <c r="C37" s="52" t="inlineStr">
        <is>
          <t>Sensex Falls 669 Points, Nifty 50 Drops to 22,420 as Oil Prices Surge on West Asia Tensions</t>
        </is>
      </c>
      <c r="D37" s="52" t="inlineStr">
        <is>
          <t>Dalal Street Investment Journal</t>
        </is>
      </c>
      <c r="E37" s="82" t="n">
        <v>0.153</v>
      </c>
      <c r="F37" s="52" t="inlineStr">
        <is>
          <t>Neutral</t>
        </is>
      </c>
      <c r="G37" s="83" t="inlineStr">
        <is>
          <t>open ↗</t>
        </is>
      </c>
    </row>
    <row r="38">
      <c r="A38" s="52" t="inlineStr">
        <is>
          <t>MARKET</t>
        </is>
      </c>
      <c r="B38" s="52" t="inlineStr">
        <is>
          <t>2026-10-23 06:21</t>
        </is>
      </c>
      <c r="C38" s="52" t="inlineStr">
        <is>
          <t>Sensex, Nifty rebound after 3-day fall on IT stocks buying</t>
        </is>
      </c>
      <c r="D38" s="52" t="inlineStr">
        <is>
          <t>The Hindu</t>
        </is>
      </c>
      <c r="E38" s="82" t="n">
        <v>0.077</v>
      </c>
      <c r="F38" s="52" t="inlineStr">
        <is>
          <t>Neutral</t>
        </is>
      </c>
      <c r="G38" s="83" t="inlineStr">
        <is>
          <t>open ↗</t>
        </is>
      </c>
    </row>
    <row r="39">
      <c r="A39" s="52" t="inlineStr">
        <is>
          <t>MARKET</t>
        </is>
      </c>
      <c r="B39" s="52" t="inlineStr">
        <is>
          <t>2026-10-23 06:17</t>
        </is>
      </c>
      <c r="C39" s="52" t="inlineStr">
        <is>
          <t>Freaky Friday in stock market today: Sensex, Nifty reverse morning gains and crash for 3rd session — what led to blood?</t>
        </is>
      </c>
      <c r="D39" s="52" t="inlineStr">
        <is>
          <t>Livemint</t>
        </is>
      </c>
      <c r="E39" s="82" t="n">
        <v>-0.25</v>
      </c>
      <c r="F39" s="52" t="inlineStr">
        <is>
          <t>Negative</t>
        </is>
      </c>
      <c r="G39" s="83" t="inlineStr">
        <is>
          <t>open ↗</t>
        </is>
      </c>
    </row>
    <row r="40">
      <c r="A40" s="52" t="inlineStr">
        <is>
          <t>MARKET</t>
        </is>
      </c>
      <c r="B40" s="52" t="inlineStr">
        <is>
          <t>2026-10-23 05:54</t>
        </is>
      </c>
      <c r="C40" s="52" t="inlineStr">
        <is>
          <t>BSE Capital Goods index tanks nearly 4%; Hitachi Energy, ABB India slip 6%</t>
        </is>
      </c>
      <c r="D40" s="52" t="inlineStr">
        <is>
          <t>Business Standard</t>
        </is>
      </c>
      <c r="E40" s="82" t="n">
        <v>-0.542</v>
      </c>
      <c r="F40" s="52" t="inlineStr">
        <is>
          <t>Negative</t>
        </is>
      </c>
      <c r="G40" s="83" t="inlineStr">
        <is>
          <t>open ↗</t>
        </is>
      </c>
    </row>
    <row r="41">
      <c r="A41" s="52" t="inlineStr">
        <is>
          <t>MARKET</t>
        </is>
      </c>
      <c r="B41" s="52" t="inlineStr">
        <is>
          <t>2026-10-23 05:43</t>
        </is>
      </c>
      <c r="C41" s="52" t="inlineStr">
        <is>
          <t>Silver ETFs fall up to 5% as oil surge, inflation fears hit bullion markets</t>
        </is>
      </c>
      <c r="D41" s="52" t="inlineStr">
        <is>
          <t>Business Standard</t>
        </is>
      </c>
      <c r="E41" s="82" t="n">
        <v>-0.382</v>
      </c>
      <c r="F41" s="52" t="inlineStr">
        <is>
          <t>Negative</t>
        </is>
      </c>
      <c r="G41" s="83" t="inlineStr">
        <is>
          <t>open ↗</t>
        </is>
      </c>
    </row>
    <row r="42">
      <c r="A42" s="52" t="inlineStr">
        <is>
          <t>MARKET</t>
        </is>
      </c>
      <c r="B42" s="52" t="inlineStr">
        <is>
          <t>2026-10-23 05:40</t>
        </is>
      </c>
      <c r="C42" s="52" t="inlineStr">
        <is>
          <t>Why did market fall today? Sensex, Nifty end the week in deep red. 4 key factors behind sharp selloff</t>
        </is>
      </c>
      <c r="D42" s="52" t="inlineStr">
        <is>
          <t>The Economic Times</t>
        </is>
      </c>
      <c r="E42" s="82" t="n">
        <v>0.077</v>
      </c>
      <c r="F42" s="52" t="inlineStr">
        <is>
          <t>Neutral</t>
        </is>
      </c>
      <c r="G42" s="83" t="inlineStr">
        <is>
          <t>open ↗</t>
        </is>
      </c>
    </row>
    <row r="43">
      <c r="A43" s="52" t="inlineStr">
        <is>
          <t>MARKET</t>
        </is>
      </c>
      <c r="B43" s="52" t="inlineStr">
        <is>
          <t>2026-10-23 05:36</t>
        </is>
      </c>
      <c r="C43" s="52" t="inlineStr">
        <is>
          <t>Why Is Share Market Falling Today? Know 5 Key Reasons Behind Sensex, Nifty Crash on October 23</t>
        </is>
      </c>
      <c r="D43" s="52" t="inlineStr">
        <is>
          <t>News18</t>
        </is>
      </c>
      <c r="E43" s="82" t="n">
        <v>-0.402</v>
      </c>
      <c r="F43" s="52" t="inlineStr">
        <is>
          <t>Negative</t>
        </is>
      </c>
      <c r="G43" s="83" t="inlineStr">
        <is>
          <t>open ↗</t>
        </is>
      </c>
    </row>
    <row r="44">
      <c r="A44" s="52" t="inlineStr">
        <is>
          <t>MARKET</t>
        </is>
      </c>
      <c r="B44" s="52" t="inlineStr">
        <is>
          <t>2026-10-23 05:27</t>
        </is>
      </c>
      <c r="C44" s="52" t="inlineStr">
        <is>
          <t>Market crash: Sensex sinks 1,314 pts from day's high; Nifty tests 22,400</t>
        </is>
      </c>
      <c r="D44" s="52" t="inlineStr">
        <is>
          <t>Business Standard</t>
        </is>
      </c>
      <c r="E44" s="82" t="n">
        <v>-0.511</v>
      </c>
      <c r="F44" s="52" t="inlineStr">
        <is>
          <t>Negative</t>
        </is>
      </c>
      <c r="G44" s="83" t="inlineStr">
        <is>
          <t>open ↗</t>
        </is>
      </c>
    </row>
    <row r="45">
      <c r="A45" s="52" t="inlineStr">
        <is>
          <t>MARKET</t>
        </is>
      </c>
      <c r="B45" s="52" t="inlineStr">
        <is>
          <t>2026-10-23 05:19</t>
        </is>
      </c>
      <c r="C45" s="52" t="inlineStr">
        <is>
          <t>Sensex falls 450 points, Nifty slips below 22,500 as oil tops $113; Jio IPO in focus</t>
        </is>
      </c>
      <c r="D45" s="52" t="inlineStr">
        <is>
          <t>Firstpost</t>
        </is>
      </c>
      <c r="E45" s="82" t="n">
        <v>0.25</v>
      </c>
      <c r="F45" s="52" t="inlineStr">
        <is>
          <t>Positive</t>
        </is>
      </c>
      <c r="G45" s="83" t="inlineStr">
        <is>
          <t>open ↗</t>
        </is>
      </c>
    </row>
    <row r="46">
      <c r="A46" s="52" t="inlineStr">
        <is>
          <t>MARKET</t>
        </is>
      </c>
      <c r="B46" s="52" t="inlineStr">
        <is>
          <t>2026-10-23 05:04</t>
        </is>
      </c>
      <c r="C46" s="52" t="inlineStr">
        <is>
          <t>Sensex, Nifty Open Higher as IT Stocks Lead Gains Despite Weak Global Cues</t>
        </is>
      </c>
      <c r="D46" s="52" t="inlineStr">
        <is>
          <t>DD India</t>
        </is>
      </c>
      <c r="E46" s="82" t="n">
        <v>0.757</v>
      </c>
      <c r="F46" s="52" t="inlineStr">
        <is>
          <t>Positive</t>
        </is>
      </c>
      <c r="G46" s="83" t="inlineStr">
        <is>
          <t>open ↗</t>
        </is>
      </c>
    </row>
    <row r="47">
      <c r="A47" s="52" t="inlineStr">
        <is>
          <t>AEROFLEX</t>
        </is>
      </c>
      <c r="B47" s="52" t="inlineStr">
        <is>
          <t>2026-10-23 05:01</t>
        </is>
      </c>
      <c r="C47" s="52" t="inlineStr">
        <is>
          <t>Microcap 250 index slips 2%; Aeroflex, Rallis, Bluestone slide up to 8%</t>
        </is>
      </c>
      <c r="D47" s="52" t="inlineStr">
        <is>
          <t>Business Standard</t>
        </is>
      </c>
      <c r="E47" s="82" t="n">
        <v>-0.34</v>
      </c>
      <c r="F47" s="52" t="inlineStr">
        <is>
          <t>Negative</t>
        </is>
      </c>
      <c r="G47" s="83" t="inlineStr">
        <is>
          <t>open ↗</t>
        </is>
      </c>
    </row>
    <row r="48">
      <c r="A48" s="52" t="inlineStr">
        <is>
          <t>MARKET</t>
        </is>
      </c>
      <c r="B48" s="52" t="inlineStr">
        <is>
          <t>2026-10-23 05:01</t>
        </is>
      </c>
      <c r="C48" s="52" t="inlineStr">
        <is>
          <t>Microcap 250 index slips 2%; Aeroflex, Rallis, Bluestone slide up to 8%</t>
        </is>
      </c>
      <c r="D48" s="52" t="inlineStr">
        <is>
          <t>Business Standard</t>
        </is>
      </c>
      <c r="E48" s="82" t="n">
        <v>-0.34</v>
      </c>
      <c r="F48" s="52" t="inlineStr">
        <is>
          <t>Negative</t>
        </is>
      </c>
      <c r="G48" s="83" t="inlineStr">
        <is>
          <t>open ↗</t>
        </is>
      </c>
    </row>
    <row r="49">
      <c r="A49" s="52" t="inlineStr">
        <is>
          <t>MARKET</t>
        </is>
      </c>
      <c r="B49" s="52" t="inlineStr">
        <is>
          <t>2026-10-23 04:59</t>
        </is>
      </c>
      <c r="C49" s="52" t="inlineStr">
        <is>
          <t>India VIX Jumps 5% as Crude Nears $115; Nifty, Sensex Open Higher</t>
        </is>
      </c>
      <c r="D49" s="52" t="inlineStr">
        <is>
          <t>HDFC Sky</t>
        </is>
      </c>
      <c r="E49" s="82" t="n">
        <v>0.25</v>
      </c>
      <c r="F49" s="52" t="inlineStr">
        <is>
          <t>Positive</t>
        </is>
      </c>
      <c r="G49" s="83" t="inlineStr">
        <is>
          <t>open ↗</t>
        </is>
      </c>
    </row>
    <row r="50">
      <c r="A50" s="52" t="inlineStr">
        <is>
          <t>MARKET</t>
        </is>
      </c>
      <c r="B50" s="52" t="inlineStr">
        <is>
          <t>2026-10-23 04:55</t>
        </is>
      </c>
      <c r="C50" s="52" t="inlineStr">
        <is>
          <t>Opening Bell: Sensex Rises 339 Points, Nifty 50 Gains 36 Points; Q2 Results and IPO Subscriptions in Focus</t>
        </is>
      </c>
      <c r="D50" s="52" t="inlineStr">
        <is>
          <t>Dalal Street Investment Journal</t>
        </is>
      </c>
      <c r="E50" s="82" t="n">
        <v>0.649</v>
      </c>
      <c r="F50" s="52" t="inlineStr">
        <is>
          <t>Positive</t>
        </is>
      </c>
      <c r="G50" s="83" t="inlineStr">
        <is>
          <t>open ↗</t>
        </is>
      </c>
    </row>
    <row r="51">
      <c r="A51" s="52" t="inlineStr">
        <is>
          <t>MARKET</t>
        </is>
      </c>
      <c r="B51" s="52" t="inlineStr">
        <is>
          <t>2026-10-23 04:31</t>
        </is>
      </c>
      <c r="C51" s="52" t="inlineStr">
        <is>
          <t>Bonfiglioli Transmissions shares list flat at IPO price of Rs 586 on BSE, NSE — should you buy, sell or...</t>
        </is>
      </c>
      <c r="D51" s="52" t="inlineStr">
        <is>
          <t>Moneycontrol.com</t>
        </is>
      </c>
      <c r="E51" s="82" t="n">
        <v>-0.052</v>
      </c>
      <c r="F51" s="52" t="inlineStr">
        <is>
          <t>Neutral</t>
        </is>
      </c>
      <c r="G51" s="83" t="inlineStr">
        <is>
          <t>open ↗</t>
        </is>
      </c>
    </row>
    <row r="52">
      <c r="A52" s="52" t="inlineStr">
        <is>
          <t>MARKET</t>
        </is>
      </c>
      <c r="B52" s="52" t="inlineStr">
        <is>
          <t>2026-10-23 04:30</t>
        </is>
      </c>
      <c r="C52" s="52" t="inlineStr">
        <is>
          <t>Tonbo Imaging shares make strong debut, list at 66% premium over IPO price</t>
        </is>
      </c>
      <c r="D52" s="52" t="inlineStr">
        <is>
          <t>Business Standard</t>
        </is>
      </c>
      <c r="E52" s="82" t="n">
        <v>0.382</v>
      </c>
      <c r="F52" s="52" t="inlineStr">
        <is>
          <t>Positive</t>
        </is>
      </c>
      <c r="G52" s="83" t="inlineStr">
        <is>
          <t>open ↗</t>
        </is>
      </c>
    </row>
    <row r="53">
      <c r="A53" s="52" t="inlineStr">
        <is>
          <t>MARKET</t>
        </is>
      </c>
      <c r="B53" s="52" t="inlineStr">
        <is>
          <t>2026-10-23 04:27</t>
        </is>
      </c>
      <c r="C53" s="52" t="inlineStr">
        <is>
          <t>Sensex crashes 1,250 pts from day's high, Nifty below 22,400: Key reasons behind market decline</t>
        </is>
      </c>
      <c r="D53" s="52" t="inlineStr">
        <is>
          <t>Moneycontrol.com</t>
        </is>
      </c>
      <c r="E53" s="82" t="n">
        <v>0.226</v>
      </c>
      <c r="F53" s="52" t="inlineStr">
        <is>
          <t>Positive</t>
        </is>
      </c>
      <c r="G53" s="83" t="inlineStr">
        <is>
          <t>open ↗</t>
        </is>
      </c>
    </row>
    <row r="54">
      <c r="A54" s="52" t="inlineStr">
        <is>
          <t>MARKET</t>
        </is>
      </c>
      <c r="B54" s="52" t="inlineStr">
        <is>
          <t>2026-10-23 04:22</t>
        </is>
      </c>
      <c r="C54" s="52" t="inlineStr">
        <is>
          <t>Sensex jumps 373 points, Nifty rises 0.19 pc at open as IT stocks rally despite global tech sell-off</t>
        </is>
      </c>
      <c r="D54" s="52" t="inlineStr">
        <is>
          <t>ANI News</t>
        </is>
      </c>
      <c r="E54" s="82" t="n">
        <v>0.827</v>
      </c>
      <c r="F54" s="52" t="inlineStr">
        <is>
          <t>Positive</t>
        </is>
      </c>
      <c r="G54" s="83" t="inlineStr">
        <is>
          <t>open ↗</t>
        </is>
      </c>
    </row>
    <row r="55">
      <c r="A55" s="52" t="inlineStr">
        <is>
          <t>MARKET</t>
        </is>
      </c>
      <c r="B55" s="52" t="inlineStr">
        <is>
          <t>2026-10-23 04:20</t>
        </is>
      </c>
      <c r="C55" s="52" t="inlineStr">
        <is>
          <t>Tonbo Imaging shares list at 66% premium on BSE, NSE — should you buy, sell or hold?</t>
        </is>
      </c>
      <c r="D55" s="52" t="inlineStr">
        <is>
          <t>Moneycontrol.com</t>
        </is>
      </c>
      <c r="E55" s="82" t="n">
        <v>-0.052</v>
      </c>
      <c r="F55" s="52" t="inlineStr">
        <is>
          <t>Neutral</t>
        </is>
      </c>
      <c r="G55" s="83" t="inlineStr">
        <is>
          <t>open ↗</t>
        </is>
      </c>
    </row>
    <row r="56">
      <c r="A56" s="52" t="inlineStr">
        <is>
          <t>MARKET</t>
        </is>
      </c>
      <c r="B56" s="52" t="inlineStr">
        <is>
          <t>2026-10-23 04:19</t>
        </is>
      </c>
      <c r="C56" s="52" t="inlineStr">
        <is>
          <t>Sensex rises over 400 points as Nifty IT gains nearly 3 per cent</t>
        </is>
      </c>
      <c r="D56" s="52" t="inlineStr">
        <is>
          <t>Telangana Today</t>
        </is>
      </c>
      <c r="E56" s="82" t="n">
        <v>0.649</v>
      </c>
      <c r="F56" s="52" t="inlineStr">
        <is>
          <t>Positive</t>
        </is>
      </c>
      <c r="G56" s="83" t="inlineStr">
        <is>
          <t>open ↗</t>
        </is>
      </c>
    </row>
    <row r="57">
      <c r="A57" s="52" t="inlineStr">
        <is>
          <t>MARKET</t>
        </is>
      </c>
      <c r="B57" s="52" t="inlineStr">
        <is>
          <t>2026-10-23 04:16</t>
        </is>
      </c>
      <c r="C57" s="52" t="inlineStr">
        <is>
          <t>Sensex Today Trades Higher | Nifty Above 22,750 | L&amp;T, TCS Top Gainer</t>
        </is>
      </c>
      <c r="D57" s="52" t="inlineStr">
        <is>
          <t>Equitymaster</t>
        </is>
      </c>
      <c r="E57" s="82" t="n">
        <v>0.542</v>
      </c>
      <c r="F57" s="52" t="inlineStr">
        <is>
          <t>Positive</t>
        </is>
      </c>
      <c r="G57" s="83" t="inlineStr">
        <is>
          <t>open ↗</t>
        </is>
      </c>
    </row>
    <row r="58">
      <c r="A58" s="52" t="inlineStr">
        <is>
          <t>MARKET</t>
        </is>
      </c>
      <c r="B58" s="52" t="inlineStr">
        <is>
          <t>2026-10-23 03:57</t>
        </is>
      </c>
      <c r="C58" s="52" t="inlineStr">
        <is>
          <t>Market Update: Sensex Crashes Over 1,200 Points, Nifty Near 22,450; Smallcap Stocks Plunge 3.6%</t>
        </is>
      </c>
      <c r="D58" s="52" t="inlineStr">
        <is>
          <t>News18</t>
        </is>
      </c>
      <c r="E58" s="82" t="n">
        <v>-0.202</v>
      </c>
      <c r="F58" s="52" t="inlineStr">
        <is>
          <t>Negative</t>
        </is>
      </c>
      <c r="G58" s="83" t="inlineStr">
        <is>
          <t>open ↗</t>
        </is>
      </c>
    </row>
    <row r="59">
      <c r="A59" s="52" t="inlineStr">
        <is>
          <t>MARKET</t>
        </is>
      </c>
      <c r="B59" s="52" t="inlineStr">
        <is>
          <t>2026-10-23 03:53</t>
        </is>
      </c>
      <c r="C59" s="52" t="inlineStr">
        <is>
          <t>Havells India gains nearly 2% after Q2 results; brokerages split on outlook</t>
        </is>
      </c>
      <c r="D59" s="52" t="inlineStr">
        <is>
          <t>Business Standard</t>
        </is>
      </c>
      <c r="E59" s="82" t="n">
        <v>0.382</v>
      </c>
      <c r="F59" s="52" t="inlineStr">
        <is>
          <t>Positive</t>
        </is>
      </c>
      <c r="G59" s="83" t="inlineStr">
        <is>
          <t>open ↗</t>
        </is>
      </c>
    </row>
    <row r="60">
      <c r="A60" s="52" t="inlineStr">
        <is>
          <t>MARKET</t>
        </is>
      </c>
      <c r="B60" s="52" t="inlineStr">
        <is>
          <t>2026-10-23 03:49</t>
        </is>
      </c>
      <c r="C60" s="52" t="inlineStr">
        <is>
          <t>Sensex 400+ points higher after 3 straight loss sessions; eMudhra among stocks in focus | Business News</t>
        </is>
      </c>
      <c r="D60" s="52" t="inlineStr">
        <is>
          <t>Hindustan Times</t>
        </is>
      </c>
      <c r="E60" s="82" t="n">
        <v>-0.226</v>
      </c>
      <c r="F60" s="52" t="inlineStr">
        <is>
          <t>Negative</t>
        </is>
      </c>
      <c r="G60" s="83" t="inlineStr">
        <is>
          <t>open ↗</t>
        </is>
      </c>
    </row>
    <row r="61">
      <c r="A61" s="52" t="inlineStr">
        <is>
          <t>MARKET</t>
        </is>
      </c>
      <c r="B61" s="52" t="inlineStr">
        <is>
          <t>2026-10-23 03:49</t>
        </is>
      </c>
      <c r="C61" s="52" t="inlineStr">
        <is>
          <t>Stock Market: Sensex rebounds over 300 points, Nifty above 22,700 after three-day losing streak</t>
        </is>
      </c>
      <c r="D61" s="52" t="inlineStr">
        <is>
          <t>Zee Business</t>
        </is>
      </c>
      <c r="E61" s="82" t="n">
        <v>0.026</v>
      </c>
      <c r="F61" s="52" t="inlineStr">
        <is>
          <t>Neutral</t>
        </is>
      </c>
      <c r="G61" s="83" t="inlineStr">
        <is>
          <t>open ↗</t>
        </is>
      </c>
    </row>
    <row r="62">
      <c r="A62" s="52" t="inlineStr">
        <is>
          <t>MARKET</t>
        </is>
      </c>
      <c r="B62" s="52" t="inlineStr">
        <is>
          <t>2026-10-23 03:46</t>
        </is>
      </c>
      <c r="C62" s="52" t="inlineStr">
        <is>
          <t>23 October, 2026 Stock Market Updates: Sensex jumps 416 points, Nifty near 22,750, IT stocks rally</t>
        </is>
      </c>
      <c r="D62" s="52" t="inlineStr">
        <is>
          <t>India TV News</t>
        </is>
      </c>
      <c r="E62" s="82" t="n">
        <v>0.827</v>
      </c>
      <c r="F62" s="52" t="inlineStr">
        <is>
          <t>Positive</t>
        </is>
      </c>
      <c r="G62" s="83" t="inlineStr">
        <is>
          <t>open ↗</t>
        </is>
      </c>
    </row>
    <row r="63">
      <c r="A63" s="52" t="inlineStr">
        <is>
          <t>MARKET</t>
        </is>
      </c>
      <c r="B63" s="52" t="inlineStr">
        <is>
          <t>2026-10-23 02:59</t>
        </is>
      </c>
      <c r="C63" s="52" t="inlineStr">
        <is>
          <t>GIFT Nifty up 133 points; Infosys, Swiggy, BSE, Cyient, Zetwerk, Tonbo among top stocks in focus</t>
        </is>
      </c>
      <c r="D63" s="52" t="inlineStr">
        <is>
          <t>Business Today</t>
        </is>
      </c>
      <c r="E63" s="82" t="n">
        <v>0.798</v>
      </c>
      <c r="F63" s="52" t="inlineStr">
        <is>
          <t>Positive</t>
        </is>
      </c>
      <c r="G63" s="83" t="inlineStr">
        <is>
          <t>open ↗</t>
        </is>
      </c>
    </row>
    <row r="64">
      <c r="A64" s="52" t="inlineStr">
        <is>
          <t>MARKET</t>
        </is>
      </c>
      <c r="B64" s="52" t="inlineStr">
        <is>
          <t>2026-10-23 02:30</t>
        </is>
      </c>
      <c r="C64" s="52" t="inlineStr">
        <is>
          <t>Surging oil prices drag Sensex, Nifty 50 even as Jio Platforms IPO shines</t>
        </is>
      </c>
      <c r="D64" s="52" t="inlineStr">
        <is>
          <t>Livemint</t>
        </is>
      </c>
      <c r="E64" s="82" t="n">
        <v>0.202</v>
      </c>
      <c r="F64" s="52" t="inlineStr">
        <is>
          <t>Positive</t>
        </is>
      </c>
      <c r="G64" s="83" t="inlineStr">
        <is>
          <t>open ↗</t>
        </is>
      </c>
    </row>
    <row r="65">
      <c r="A65" s="52" t="inlineStr">
        <is>
          <t>MARKET</t>
        </is>
      </c>
      <c r="B65" s="52" t="inlineStr">
        <is>
          <t>2026-10-23 02:17</t>
        </is>
      </c>
      <c r="C65" s="52" t="inlineStr">
        <is>
          <t>Surging oil prices drag Indian shares to weekly losses</t>
        </is>
      </c>
      <c r="D65" s="52" t="inlineStr">
        <is>
          <t>Reuters</t>
        </is>
      </c>
      <c r="E65" s="82" t="n">
        <v>-0.572</v>
      </c>
      <c r="F65" s="52" t="inlineStr">
        <is>
          <t>Negative</t>
        </is>
      </c>
      <c r="G65" s="83" t="inlineStr">
        <is>
          <t>open ↗</t>
        </is>
      </c>
    </row>
    <row r="66">
      <c r="A66" s="52" t="inlineStr">
        <is>
          <t>MARKET</t>
        </is>
      </c>
      <c r="B66" s="52" t="inlineStr">
        <is>
          <t>2026-10-23 02:17</t>
        </is>
      </c>
      <c r="C66" s="52" t="inlineStr">
        <is>
          <t>GIFT Nifty Rises 102 Points, Signals Positive Start For Sensex, Nifty; Experts Say Concerns Remain</t>
        </is>
      </c>
      <c r="D66" s="52" t="inlineStr">
        <is>
          <t>News18</t>
        </is>
      </c>
      <c r="E66" s="82" t="n">
        <v>0.912</v>
      </c>
      <c r="F66" s="52" t="inlineStr">
        <is>
          <t>Positive</t>
        </is>
      </c>
      <c r="G66" s="83" t="inlineStr">
        <is>
          <t>open ↗</t>
        </is>
      </c>
    </row>
    <row r="67">
      <c r="A67" s="52" t="inlineStr">
        <is>
          <t>MARKET</t>
        </is>
      </c>
      <c r="B67" s="52" t="inlineStr">
        <is>
          <t>2026-10-23 01:54</t>
        </is>
      </c>
      <c r="C67" s="52" t="inlineStr">
        <is>
          <t>Top stocks to watch today: Infosys, Tata Motors, Swiggy, Cyient shares in focus on Friday, 23 Oct | Full list</t>
        </is>
      </c>
      <c r="D67" s="52" t="inlineStr">
        <is>
          <t>Livemint</t>
        </is>
      </c>
      <c r="E67" s="82" t="n">
        <v>0.202</v>
      </c>
      <c r="F67" s="52" t="inlineStr">
        <is>
          <t>Positive</t>
        </is>
      </c>
      <c r="G67" s="83" t="inlineStr">
        <is>
          <t>open ↗</t>
        </is>
      </c>
    </row>
    <row r="68">
      <c r="A68" s="52" t="inlineStr">
        <is>
          <t>MARKET</t>
        </is>
      </c>
      <c r="B68" s="52" t="inlineStr">
        <is>
          <t>2026-10-23 01:36</t>
        </is>
      </c>
      <c r="C68" s="52" t="inlineStr">
        <is>
          <t>Sensex falls 1,000 points from intraday high, Nifty below 22,500; small and midcaps plunge 3%</t>
        </is>
      </c>
      <c r="D68" s="52" t="inlineStr">
        <is>
          <t>The Financial Express</t>
        </is>
      </c>
      <c r="E68" s="82" t="n">
        <v>-0.382</v>
      </c>
      <c r="F68" s="52" t="inlineStr">
        <is>
          <t>Negative</t>
        </is>
      </c>
      <c r="G68" s="83" t="inlineStr">
        <is>
          <t>open ↗</t>
        </is>
      </c>
    </row>
    <row r="69">
      <c r="A69" s="52" t="inlineStr">
        <is>
          <t>MARKET</t>
        </is>
      </c>
      <c r="B69" s="52" t="inlineStr">
        <is>
          <t>2026-10-23 01:31</t>
        </is>
      </c>
      <c r="C69" s="52" t="inlineStr">
        <is>
          <t>Stock Market Today: Gift Nifty, US Tech Stocks Selloff To Oil Prices; Five Key Factors For Sensex, Nifty 50 On October 23</t>
        </is>
      </c>
      <c r="D69" s="52" t="inlineStr">
        <is>
          <t>NDTV Profit</t>
        </is>
      </c>
      <c r="E69" s="82" t="n">
        <v>0.8070000000000001</v>
      </c>
      <c r="F69" s="52" t="inlineStr">
        <is>
          <t>Positive</t>
        </is>
      </c>
      <c r="G69" s="83" t="inlineStr">
        <is>
          <t>open ↗</t>
        </is>
      </c>
    </row>
    <row r="70">
      <c r="A70" s="52" t="inlineStr">
        <is>
          <t>MARKET</t>
        </is>
      </c>
      <c r="B70" s="52" t="inlineStr">
        <is>
          <t>2026-10-23 01:16</t>
        </is>
      </c>
      <c r="C70" s="52" t="inlineStr">
        <is>
          <t>Stock market outlook today, 23 Oct: Sensex, Nifty prediction - DJIA, S&amp;P, NASDAQ, GIFT Nifty, Kospi, Nikkei, Taiwan cues</t>
        </is>
      </c>
      <c r="D70" s="52" t="inlineStr">
        <is>
          <t>Livemint</t>
        </is>
      </c>
      <c r="E70" s="82" t="n">
        <v>0.842</v>
      </c>
      <c r="F70" s="52" t="inlineStr">
        <is>
          <t>Positive</t>
        </is>
      </c>
      <c r="G70" s="83" t="inlineStr">
        <is>
          <t>open ↗</t>
        </is>
      </c>
    </row>
    <row r="71">
      <c r="A71" s="52" t="inlineStr">
        <is>
          <t>MARKET</t>
        </is>
      </c>
      <c r="B71" s="52" t="inlineStr">
        <is>
          <t>2026-10-22 15:03</t>
        </is>
      </c>
      <c r="C71" s="52" t="inlineStr">
        <is>
          <t>Oil price surge keeps Nifty in red, Sensex sheds 460 points on Thursday</t>
        </is>
      </c>
      <c r="D71" s="52" t="inlineStr">
        <is>
          <t>Business Standard</t>
        </is>
      </c>
      <c r="E71" s="82" t="n">
        <v>0.511</v>
      </c>
      <c r="F71" s="52" t="inlineStr">
        <is>
          <t>Positive</t>
        </is>
      </c>
      <c r="G71" s="83" t="inlineStr">
        <is>
          <t>open ↗</t>
        </is>
      </c>
    </row>
    <row r="72">
      <c r="A72" s="52" t="inlineStr">
        <is>
          <t>MARKET</t>
        </is>
      </c>
      <c r="B72" s="52" t="inlineStr">
        <is>
          <t>2026-10-22 12:56</t>
        </is>
      </c>
      <c r="C72" s="52" t="inlineStr">
        <is>
          <t>FIIs sell ₹3,459 crore of Indian stocks as market falls for third straight session</t>
        </is>
      </c>
      <c r="D72" s="52" t="inlineStr">
        <is>
          <t>CNBC TV18</t>
        </is>
      </c>
      <c r="E72" s="82" t="n">
        <v>-0.477</v>
      </c>
      <c r="F72" s="52" t="inlineStr">
        <is>
          <t>Negative</t>
        </is>
      </c>
      <c r="G72" s="83" t="inlineStr">
        <is>
          <t>open ↗</t>
        </is>
      </c>
    </row>
    <row r="73">
      <c r="A73" s="52" t="inlineStr">
        <is>
          <t>MARKET</t>
        </is>
      </c>
      <c r="B73" s="52" t="inlineStr">
        <is>
          <t>2026-10-22 11:47</t>
        </is>
      </c>
      <c r="C73" s="52" t="inlineStr">
        <is>
          <t>Share Market Today: Nifty 50, Bank Nifty | Oct 22, 2026</t>
        </is>
      </c>
      <c r="D73" s="52" t="inlineStr">
        <is>
          <t>Liquide Blog</t>
        </is>
      </c>
      <c r="E73" s="82" t="n">
        <v>0.66</v>
      </c>
      <c r="F73" s="52" t="inlineStr">
        <is>
          <t>Positive</t>
        </is>
      </c>
      <c r="G73" s="83" t="inlineStr">
        <is>
          <t>open ↗</t>
        </is>
      </c>
    </row>
    <row r="74">
      <c r="A74" s="52" t="inlineStr">
        <is>
          <t>MARKET</t>
        </is>
      </c>
      <c r="B74" s="52" t="inlineStr">
        <is>
          <t>2026-10-22 11:03</t>
        </is>
      </c>
      <c r="C74" s="52" t="inlineStr">
        <is>
          <t>Stock Market Today: Sensex Falls 460 Points, Nifty Closes Below 22,700; Media, FMCG and IT Stocks Drag</t>
        </is>
      </c>
      <c r="D74" s="52" t="inlineStr">
        <is>
          <t>India Infoline</t>
        </is>
      </c>
      <c r="E74" s="82" t="n">
        <v>-0.202</v>
      </c>
      <c r="F74" s="52" t="inlineStr">
        <is>
          <t>Negative</t>
        </is>
      </c>
      <c r="G74" s="83" t="inlineStr">
        <is>
          <t>open ↗</t>
        </is>
      </c>
    </row>
    <row r="75">
      <c r="A75" s="52" t="inlineStr">
        <is>
          <t>MARKET</t>
        </is>
      </c>
      <c r="B75" s="52" t="inlineStr">
        <is>
          <t>2026-10-22 11:03</t>
        </is>
      </c>
      <c r="C75" s="52" t="inlineStr">
        <is>
          <t>Markets Extend Losses: Sensex Tanks 460 Pts Amid Surging Oil</t>
        </is>
      </c>
      <c r="D75" s="52" t="inlineStr">
        <is>
          <t>Rediff MoneyWiz</t>
        </is>
      </c>
      <c r="E75" s="82" t="n">
        <v>-0.649</v>
      </c>
      <c r="F75" s="52" t="inlineStr">
        <is>
          <t>Negative</t>
        </is>
      </c>
      <c r="G75" s="83" t="inlineStr">
        <is>
          <t>open ↗</t>
        </is>
      </c>
    </row>
    <row r="76">
      <c r="A76" s="52" t="inlineStr">
        <is>
          <t>MARKET</t>
        </is>
      </c>
      <c r="B76" s="52" t="inlineStr">
        <is>
          <t>2026-10-22 10:58</t>
        </is>
      </c>
      <c r="C76" s="52" t="inlineStr">
        <is>
          <t>Market Close Report Today: Nifty, Sensex Fall For Third Straight Session As Oil Tops $110</t>
        </is>
      </c>
      <c r="D76" s="52" t="inlineStr">
        <is>
          <t>HDFC Sky</t>
        </is>
      </c>
      <c r="E76" s="82" t="n">
        <v>0.67</v>
      </c>
      <c r="F76" s="52" t="inlineStr">
        <is>
          <t>Positive</t>
        </is>
      </c>
      <c r="G76" s="83" t="inlineStr">
        <is>
          <t>open ↗</t>
        </is>
      </c>
    </row>
    <row r="77">
      <c r="A77" s="52" t="inlineStr">
        <is>
          <t>MARKET</t>
        </is>
      </c>
      <c r="B77" s="52" t="inlineStr">
        <is>
          <t>2026-10-22 10:43</t>
        </is>
      </c>
      <c r="C77" s="52" t="inlineStr">
        <is>
          <t>Sensex Today Ends 460 Points Lower | Nifty Below 22,700 | KEI Industries Down 8%</t>
        </is>
      </c>
      <c r="D77" s="52" t="inlineStr">
        <is>
          <t>Equitymaster</t>
        </is>
      </c>
      <c r="E77" s="82" t="n">
        <v>0.226</v>
      </c>
      <c r="F77" s="52" t="inlineStr">
        <is>
          <t>Positive</t>
        </is>
      </c>
      <c r="G77" s="83" t="inlineStr">
        <is>
          <t>open ↗</t>
        </is>
      </c>
    </row>
    <row r="78">
      <c r="A78" s="52" t="inlineStr">
        <is>
          <t>MARKET</t>
        </is>
      </c>
      <c r="B78" s="52" t="inlineStr">
        <is>
          <t>2026-10-22 10:33</t>
        </is>
      </c>
      <c r="C78" s="52" t="inlineStr">
        <is>
          <t>Sensex, Nifty end lower for third day: Elevated crude, weak market breadth weigh on D-Street</t>
        </is>
      </c>
      <c r="D78" s="52" t="inlineStr">
        <is>
          <t>India IPO</t>
        </is>
      </c>
      <c r="E78" s="82" t="n">
        <v>-0.66</v>
      </c>
      <c r="F78" s="52" t="inlineStr">
        <is>
          <t>Negative</t>
        </is>
      </c>
      <c r="G78" s="83" t="inlineStr">
        <is>
          <t>open ↗</t>
        </is>
      </c>
    </row>
    <row r="79">
      <c r="A79" s="52" t="inlineStr">
        <is>
          <t>MARKET</t>
        </is>
      </c>
      <c r="B79" s="52" t="inlineStr">
        <is>
          <t>2026-10-22 10:30</t>
        </is>
      </c>
      <c r="C79" s="52" t="inlineStr">
        <is>
          <t>Taking Stock: Bear attack continues for 3rd day; Nifty below 22,700, Sensex down 460 points</t>
        </is>
      </c>
      <c r="D79" s="52" t="inlineStr">
        <is>
          <t>Moneycontrol.com</t>
        </is>
      </c>
      <c r="E79" s="82" t="n">
        <v>-0.103</v>
      </c>
      <c r="F79" s="52" t="inlineStr">
        <is>
          <t>Neutral</t>
        </is>
      </c>
      <c r="G79" s="83" t="inlineStr">
        <is>
          <t>open ↗</t>
        </is>
      </c>
    </row>
    <row r="80">
      <c r="A80" s="52" t="inlineStr">
        <is>
          <t>MARKET</t>
        </is>
      </c>
      <c r="B80" s="52" t="inlineStr">
        <is>
          <t>2026-10-22 10:24</t>
        </is>
      </c>
      <c r="C80" s="52" t="inlineStr">
        <is>
          <t>Market Today: Sensex Falls 460 Points, Nifty Ends Below 22,700 As Crude Oil Tops $111</t>
        </is>
      </c>
      <c r="D80" s="52" t="inlineStr">
        <is>
          <t>News18</t>
        </is>
      </c>
      <c r="E80" s="82" t="n">
        <v>-0.077</v>
      </c>
      <c r="F80" s="52" t="inlineStr">
        <is>
          <t>Neutral</t>
        </is>
      </c>
      <c r="G80" s="83" t="inlineStr">
        <is>
          <t>open ↗</t>
        </is>
      </c>
    </row>
    <row r="81">
      <c r="A81" s="52" t="inlineStr">
        <is>
          <t>MARKET</t>
        </is>
      </c>
      <c r="B81" s="52" t="inlineStr">
        <is>
          <t>2026-10-22 10:22</t>
        </is>
      </c>
      <c r="C81" s="52" t="inlineStr">
        <is>
          <t>SENSEX, NIFTY50 fall for third straight session as crude tops $112 per barrel</t>
        </is>
      </c>
      <c r="D81" s="52" t="inlineStr">
        <is>
          <t>Upstox</t>
        </is>
      </c>
      <c r="E81" s="82" t="n">
        <v>-0.226</v>
      </c>
      <c r="F81" s="52" t="inlineStr">
        <is>
          <t>Negative</t>
        </is>
      </c>
      <c r="G81" s="83" t="inlineStr">
        <is>
          <t>open ↗</t>
        </is>
      </c>
    </row>
    <row r="82">
      <c r="A82" s="52" t="inlineStr">
        <is>
          <t>MARKET</t>
        </is>
      </c>
      <c r="B82" s="52" t="inlineStr">
        <is>
          <t>2026-10-22 10:04</t>
        </is>
      </c>
      <c r="C82" s="52" t="inlineStr">
        <is>
          <t>Sensex, Nifty end in red as crude oil tops $111; markets decline for 3rd day</t>
        </is>
      </c>
      <c r="D82" s="52" t="inlineStr">
        <is>
          <t>India Today</t>
        </is>
      </c>
      <c r="E82" s="82" t="n">
        <v>-0.077</v>
      </c>
      <c r="F82" s="52" t="inlineStr">
        <is>
          <t>Neutral</t>
        </is>
      </c>
      <c r="G82" s="83" t="inlineStr">
        <is>
          <t>open ↗</t>
        </is>
      </c>
    </row>
    <row r="83">
      <c r="A83" s="52" t="inlineStr">
        <is>
          <t>RRKABEL</t>
        </is>
      </c>
      <c r="B83" s="52" t="inlineStr">
        <is>
          <t>2026-10-22 09:29</t>
        </is>
      </c>
      <c r="C83" s="52" t="inlineStr">
        <is>
          <t>RR Kabel Share Price Fall: Price Action and Fundamentals</t>
        </is>
      </c>
      <c r="D83" s="52" t="inlineStr">
        <is>
          <t>Univest</t>
        </is>
      </c>
      <c r="E83" s="82" t="n">
        <v>-0.34</v>
      </c>
      <c r="F83" s="52" t="inlineStr">
        <is>
          <t>Negative</t>
        </is>
      </c>
      <c r="G83" s="83" t="inlineStr">
        <is>
          <t>open ↗</t>
        </is>
      </c>
    </row>
    <row r="84">
      <c r="A84" s="52" t="inlineStr">
        <is>
          <t>MARKET</t>
        </is>
      </c>
      <c r="B84" s="52" t="inlineStr">
        <is>
          <t>2026-10-22 08:35</t>
        </is>
      </c>
      <c r="C84" s="52" t="inlineStr">
        <is>
          <t>Crude oil above $100, US election uncertainty: Will global factors keep Sensex, Nifty 50 under pressure? Experts decode</t>
        </is>
      </c>
      <c r="D84" s="52" t="inlineStr">
        <is>
          <t>Livemint</t>
        </is>
      </c>
      <c r="E84" s="82" t="n">
        <v>-0.681</v>
      </c>
      <c r="F84" s="52" t="inlineStr">
        <is>
          <t>Negative</t>
        </is>
      </c>
      <c r="G84" s="83" t="inlineStr">
        <is>
          <t>open ↗</t>
        </is>
      </c>
    </row>
    <row r="85">
      <c r="A85" s="52" t="inlineStr">
        <is>
          <t>MARKET</t>
        </is>
      </c>
      <c r="B85" s="52" t="inlineStr">
        <is>
          <t>2026-10-22 08:20</t>
        </is>
      </c>
      <c r="C85" s="52" t="inlineStr">
        <is>
          <t>SENSEX falls over 500 pts, NIFTY below 22,700 in noon deals; IHCL, Tata Teleservices, Swiggy among buzzing stocks</t>
        </is>
      </c>
      <c r="D85" s="52" t="inlineStr">
        <is>
          <t>Upstox</t>
        </is>
      </c>
      <c r="E85" s="82" t="n">
        <v>0.21</v>
      </c>
      <c r="F85" s="52" t="inlineStr">
        <is>
          <t>Positive</t>
        </is>
      </c>
      <c r="G85" s="83" t="inlineStr">
        <is>
          <t>open ↗</t>
        </is>
      </c>
    </row>
    <row r="86">
      <c r="A86" s="52" t="inlineStr">
        <is>
          <t>MARKET</t>
        </is>
      </c>
      <c r="B86" s="52" t="inlineStr">
        <is>
          <t>2026-10-22 07:33</t>
        </is>
      </c>
      <c r="C86" s="52" t="inlineStr">
        <is>
          <t>Why is stock market down today? Sensex drops over 700 points, Nifty crashes 1% - Top 3 reasons explained</t>
        </is>
      </c>
      <c r="D86" s="52" t="inlineStr">
        <is>
          <t>TradingView</t>
        </is>
      </c>
      <c r="E86" s="82" t="n">
        <v>0.542</v>
      </c>
      <c r="F86" s="52" t="inlineStr">
        <is>
          <t>Positive</t>
        </is>
      </c>
      <c r="G86" s="83" t="inlineStr">
        <is>
          <t>open ↗</t>
        </is>
      </c>
    </row>
    <row r="87">
      <c r="A87" s="52" t="inlineStr">
        <is>
          <t>MARKET</t>
        </is>
      </c>
      <c r="B87" s="52" t="inlineStr">
        <is>
          <t>2026-10-22 07:16</t>
        </is>
      </c>
      <c r="C87" s="52" t="inlineStr">
        <is>
          <t>Why is stock market falling today? 4 factors dragging Nifty, Sensex</t>
        </is>
      </c>
      <c r="D87" s="52" t="inlineStr">
        <is>
          <t>Zee Business</t>
        </is>
      </c>
      <c r="E87" s="82" t="n">
        <v>0.273</v>
      </c>
      <c r="F87" s="52" t="inlineStr">
        <is>
          <t>Positive</t>
        </is>
      </c>
      <c r="G87" s="83" t="inlineStr">
        <is>
          <t>open ↗</t>
        </is>
      </c>
    </row>
    <row r="88">
      <c r="A88" s="52" t="inlineStr">
        <is>
          <t>LAURUSLABS</t>
        </is>
      </c>
      <c r="B88" s="52" t="inlineStr">
        <is>
          <t>2026-10-22 06:20</t>
        </is>
      </c>
      <c r="C88" s="52" t="inlineStr">
        <is>
          <t>Laurus Labs Limited (LAURUSLABS.NS) Stock Price, News, Quote &amp; History</t>
        </is>
      </c>
      <c r="D88" s="52" t="inlineStr">
        <is>
          <t>Yahoo! Finance Canada</t>
        </is>
      </c>
      <c r="E88" s="82" t="n">
        <v>-0.226</v>
      </c>
      <c r="F88" s="52" t="inlineStr">
        <is>
          <t>Negative</t>
        </is>
      </c>
      <c r="G88" s="83" t="inlineStr">
        <is>
          <t>open ↗</t>
        </is>
      </c>
    </row>
    <row r="89">
      <c r="A89" s="52" t="inlineStr">
        <is>
          <t>DIACABS</t>
        </is>
      </c>
      <c r="B89" s="52" t="inlineStr">
        <is>
          <t>2026-10-22 05:45</t>
        </is>
      </c>
      <c r="C89" s="52" t="inlineStr">
        <is>
          <t>Diamond Power Infrastructure (NSE:DIACABS) to Invest Rs 25 Crore in New CCV Line for 132 kV XLPE Power Cables</t>
        </is>
      </c>
      <c r="D89" s="52" t="inlineStr">
        <is>
          <t>Kalkine Media</t>
        </is>
      </c>
      <c r="E89" s="82" t="n">
        <v>0.34</v>
      </c>
      <c r="F89" s="52" t="inlineStr">
        <is>
          <t>Positive</t>
        </is>
      </c>
      <c r="G89" s="83" t="inlineStr">
        <is>
          <t>open ↗</t>
        </is>
      </c>
    </row>
    <row r="90">
      <c r="A90" s="52" t="inlineStr">
        <is>
          <t>MARKET</t>
        </is>
      </c>
      <c r="B90" s="52" t="inlineStr">
        <is>
          <t>2026-10-22 04:57</t>
        </is>
      </c>
      <c r="C90" s="52" t="inlineStr">
        <is>
          <t>Sensex, Nifty decline in early trade as power, metal stocks drag markets lower</t>
        </is>
      </c>
      <c r="D90" s="52" t="inlineStr">
        <is>
          <t>The Hindu</t>
        </is>
      </c>
      <c r="E90" s="82" t="n">
        <v>-0.382</v>
      </c>
      <c r="F90" s="52" t="inlineStr">
        <is>
          <t>Negative</t>
        </is>
      </c>
      <c r="G90" s="83" t="inlineStr">
        <is>
          <t>open ↗</t>
        </is>
      </c>
    </row>
    <row r="91">
      <c r="A91" s="52" t="inlineStr">
        <is>
          <t>MARKET</t>
        </is>
      </c>
      <c r="B91" s="52" t="inlineStr">
        <is>
          <t>2026-10-22 04:47</t>
        </is>
      </c>
      <c r="C91" s="52" t="inlineStr">
        <is>
          <t>Sensex Falls 596 Points, Nifty Slips 250 as Crude Rises</t>
        </is>
      </c>
      <c r="D91" s="52" t="inlineStr">
        <is>
          <t>HDFC Sky</t>
        </is>
      </c>
      <c r="E91" s="82" t="n">
        <v>-0.718</v>
      </c>
      <c r="F91" s="52" t="inlineStr">
        <is>
          <t>Negative</t>
        </is>
      </c>
      <c r="G91" s="83" t="inlineStr">
        <is>
          <t>open ↗</t>
        </is>
      </c>
    </row>
    <row r="92">
      <c r="A92" s="52" t="inlineStr">
        <is>
          <t>MARKET</t>
        </is>
      </c>
      <c r="B92" s="52" t="inlineStr">
        <is>
          <t>2026-10-22 04:22</t>
        </is>
      </c>
      <c r="C92" s="52" t="inlineStr">
        <is>
          <t>Sensex down 500 points today: Why is stock market falling today?</t>
        </is>
      </c>
      <c r="D92" s="52" t="inlineStr">
        <is>
          <t>India Today</t>
        </is>
      </c>
      <c r="E92" s="82" t="n">
        <v>-0.153</v>
      </c>
      <c r="F92" s="52" t="inlineStr">
        <is>
          <t>Neutral</t>
        </is>
      </c>
      <c r="G92" s="83" t="inlineStr">
        <is>
          <t>open ↗</t>
        </is>
      </c>
    </row>
    <row r="93">
      <c r="A93" s="52" t="inlineStr">
        <is>
          <t>MARKET</t>
        </is>
      </c>
      <c r="B93" s="52" t="inlineStr">
        <is>
          <t>2026-10-22 04:02</t>
        </is>
      </c>
      <c r="C93" s="52" t="inlineStr">
        <is>
          <t>Why is stock market down today? Sensex drops 460 points, Nifty ends at 22,688 - Top 3 reasons explained</t>
        </is>
      </c>
      <c r="D93" s="52" t="inlineStr">
        <is>
          <t>Livemint</t>
        </is>
      </c>
      <c r="E93" s="82" t="n">
        <v>0.542</v>
      </c>
      <c r="F93" s="52" t="inlineStr">
        <is>
          <t>Positive</t>
        </is>
      </c>
      <c r="G93" s="83" t="inlineStr">
        <is>
          <t>open ↗</t>
        </is>
      </c>
    </row>
    <row r="94">
      <c r="A94" s="52" t="inlineStr">
        <is>
          <t>MARKET</t>
        </is>
      </c>
      <c r="B94" s="52" t="inlineStr">
        <is>
          <t>2026-10-22 04:02</t>
        </is>
      </c>
      <c r="C94" s="52" t="inlineStr">
        <is>
          <t>Why did market fall today? Sensex drops 460 points, Nifty closes below 22,700. Key factors behind Rs 3 lak</t>
        </is>
      </c>
      <c r="D94" s="52" t="inlineStr">
        <is>
          <t>The Economic Times</t>
        </is>
      </c>
      <c r="E94" s="82" t="n">
        <v>0.077</v>
      </c>
      <c r="F94" s="52" t="inlineStr">
        <is>
          <t>Neutral</t>
        </is>
      </c>
      <c r="G94" s="83" t="inlineStr">
        <is>
          <t>open ↗</t>
        </is>
      </c>
    </row>
    <row r="95">
      <c r="A95" s="52" t="inlineStr">
        <is>
          <t>MARKET</t>
        </is>
      </c>
      <c r="B95" s="52" t="inlineStr">
        <is>
          <t>2026-10-22 04:01</t>
        </is>
      </c>
      <c r="C95" s="52" t="inlineStr">
        <is>
          <t>Sensex settles 450 pts lower, Nifty ends below 22,700: Higher crude prices among key factors behind market...</t>
        </is>
      </c>
      <c r="D95" s="52" t="inlineStr">
        <is>
          <t>Moneycontrol.com</t>
        </is>
      </c>
      <c r="E95" s="82" t="n">
        <v>-0.421</v>
      </c>
      <c r="F95" s="52" t="inlineStr">
        <is>
          <t>Negative</t>
        </is>
      </c>
      <c r="G95" s="83" t="inlineStr">
        <is>
          <t>open ↗</t>
        </is>
      </c>
    </row>
    <row r="96">
      <c r="A96" s="52" t="inlineStr">
        <is>
          <t>MARKET</t>
        </is>
      </c>
      <c r="B96" s="52" t="inlineStr">
        <is>
          <t>2026-10-22 03:56</t>
        </is>
      </c>
      <c r="C96" s="52" t="inlineStr">
        <is>
          <t>22 October, 2026 Stock Market Updates: Sensex down 366 points, Nifty below 22,700, Power Grid drops 2%</t>
        </is>
      </c>
      <c r="D96" s="52" t="inlineStr">
        <is>
          <t>India TV News</t>
        </is>
      </c>
      <c r="E96" s="82" t="n">
        <v>0.402</v>
      </c>
      <c r="F96" s="52" t="inlineStr">
        <is>
          <t>Positive</t>
        </is>
      </c>
      <c r="G96" s="83" t="inlineStr">
        <is>
          <t>open ↗</t>
        </is>
      </c>
    </row>
    <row r="97">
      <c r="A97" s="52" t="inlineStr">
        <is>
          <t>MARKET</t>
        </is>
      </c>
      <c r="B97" s="52" t="inlineStr">
        <is>
          <t>2026-10-22 03:48</t>
        </is>
      </c>
      <c r="C97" s="52" t="inlineStr">
        <is>
          <t>Sensex opens 500 points lower, Nifty tops 22,600; Maruti down 2%</t>
        </is>
      </c>
      <c r="D97" s="52" t="inlineStr">
        <is>
          <t>India Today</t>
        </is>
      </c>
      <c r="E97" s="82" t="n">
        <v>0.637</v>
      </c>
      <c r="F97" s="52" t="inlineStr">
        <is>
          <t>Positive</t>
        </is>
      </c>
      <c r="G97" s="83" t="inlineStr">
        <is>
          <t>open ↗</t>
        </is>
      </c>
    </row>
    <row r="98">
      <c r="A98" s="52" t="inlineStr">
        <is>
          <t>MARKET</t>
        </is>
      </c>
      <c r="B98" s="52" t="inlineStr">
        <is>
          <t>2026-10-22 01:44</t>
        </is>
      </c>
      <c r="C98" s="52" t="inlineStr">
        <is>
          <t>Sensex, Nifty sell off in early trade; power, metals, auto under pressure</t>
        </is>
      </c>
      <c r="D98" s="52" t="inlineStr">
        <is>
          <t>The Financial Express</t>
        </is>
      </c>
      <c r="E98" s="82" t="n">
        <v>-0.226</v>
      </c>
      <c r="F98" s="52" t="inlineStr">
        <is>
          <t>Negative</t>
        </is>
      </c>
      <c r="G98" s="83" t="inlineStr">
        <is>
          <t>open ↗</t>
        </is>
      </c>
    </row>
    <row r="99">
      <c r="A99" s="52" t="inlineStr">
        <is>
          <t>MARKET</t>
        </is>
      </c>
      <c r="B99" s="52" t="inlineStr">
        <is>
          <t>2026-10-22 01:20</t>
        </is>
      </c>
      <c r="C99" s="52" t="inlineStr">
        <is>
          <t>Stock market outlook today, 22 Oct: Sensex, Nifty prediction - DJIA, S&amp;P, NASDAQ, GIFT Nifty, Kospi, Nikkei, Taiwan cues</t>
        </is>
      </c>
      <c r="D99" s="52" t="inlineStr">
        <is>
          <t>Livemint</t>
        </is>
      </c>
      <c r="E99" s="82" t="n">
        <v>0.842</v>
      </c>
      <c r="F99" s="52" t="inlineStr">
        <is>
          <t>Positive</t>
        </is>
      </c>
      <c r="G99" s="83" t="inlineStr">
        <is>
          <t>open ↗</t>
        </is>
      </c>
    </row>
    <row r="100">
      <c r="A100" s="52" t="inlineStr">
        <is>
          <t>ACUTAAS</t>
        </is>
      </c>
      <c r="B100" s="52" t="inlineStr">
        <is>
          <t>2026-10-21 22:41</t>
        </is>
      </c>
      <c r="C100" s="52" t="inlineStr">
        <is>
          <t>Acutaas Chemicals posts 70% profit surge in Q1 FY27 on pharma demand</t>
        </is>
      </c>
      <c r="D100" s="52" t="inlineStr">
        <is>
          <t>scanx.trade</t>
        </is>
      </c>
      <c r="E100" s="82" t="n">
        <v>0.625</v>
      </c>
      <c r="F100" s="52" t="inlineStr">
        <is>
          <t>Positive</t>
        </is>
      </c>
      <c r="G100" s="83" t="inlineStr">
        <is>
          <t>open ↗</t>
        </is>
      </c>
    </row>
    <row r="101">
      <c r="A101" s="52" t="inlineStr">
        <is>
          <t>LAURUSLABS</t>
        </is>
      </c>
      <c r="B101" s="52" t="inlineStr">
        <is>
          <t>2026-10-21 21:32</t>
        </is>
      </c>
      <c r="C101" s="52" t="inlineStr">
        <is>
          <t>Laurus Labs Share Price Today and Sector Valuation View</t>
        </is>
      </c>
      <c r="D101" s="52" t="inlineStr">
        <is>
          <t>Univest</t>
        </is>
      </c>
      <c r="E101" s="82" t="n">
        <v>0</v>
      </c>
      <c r="F101" s="52" t="inlineStr">
        <is>
          <t>Neutral</t>
        </is>
      </c>
      <c r="G101" s="83" t="inlineStr">
        <is>
          <t>open ↗</t>
        </is>
      </c>
    </row>
    <row r="102">
      <c r="A102" s="52" t="inlineStr">
        <is>
          <t>E2E</t>
        </is>
      </c>
      <c r="B102" s="52" t="inlineStr">
        <is>
          <t>2026-10-21 15:18</t>
        </is>
      </c>
      <c r="C102" s="52" t="inlineStr">
        <is>
          <t>1:10 Stock Split Alert! L&amp;T Backed Small Cap Stock Fixes Stock Split Record Date | How To Get Eligible?</t>
        </is>
      </c>
      <c r="D102" s="52" t="inlineStr">
        <is>
          <t>Goodreturns</t>
        </is>
      </c>
      <c r="E102" s="82" t="n">
        <v>0.624</v>
      </c>
      <c r="F102" s="52" t="inlineStr">
        <is>
          <t>Positive</t>
        </is>
      </c>
      <c r="G102" s="83" t="inlineStr">
        <is>
          <t>open ↗</t>
        </is>
      </c>
    </row>
    <row r="103">
      <c r="A103" s="52" t="inlineStr">
        <is>
          <t>TDPOWERSYS</t>
        </is>
      </c>
      <c r="B103" s="52" t="inlineStr">
        <is>
          <t>2026-10-21 14:44</t>
        </is>
      </c>
      <c r="C103" s="52" t="inlineStr">
        <is>
          <t>TD Power Systems Share Price Falls 4.37% on Price Action</t>
        </is>
      </c>
      <c r="D103" s="52" t="inlineStr">
        <is>
          <t>Univest</t>
        </is>
      </c>
      <c r="E103" s="82" t="n">
        <v>-0.382</v>
      </c>
      <c r="F103" s="52" t="inlineStr">
        <is>
          <t>Negative</t>
        </is>
      </c>
      <c r="G103" s="83" t="inlineStr">
        <is>
          <t>open ↗</t>
        </is>
      </c>
    </row>
    <row r="104">
      <c r="A104" s="52" t="inlineStr">
        <is>
          <t>MARKET</t>
        </is>
      </c>
      <c r="B104" s="52" t="inlineStr">
        <is>
          <t>2026-10-21 11:20</t>
        </is>
      </c>
      <c r="C104" s="52" t="inlineStr">
        <is>
          <t>Sensex Slumps Over 900 Points From Day High, Nifty Settles Near 22,800, Know What Triggered The Fall</t>
        </is>
      </c>
      <c r="D104" s="52" t="inlineStr">
        <is>
          <t>Outlook Money</t>
        </is>
      </c>
      <c r="E104" s="82" t="n">
        <v>-0.273</v>
      </c>
      <c r="F104" s="52" t="inlineStr">
        <is>
          <t>Negative</t>
        </is>
      </c>
      <c r="G104" s="83" t="inlineStr">
        <is>
          <t>open ↗</t>
        </is>
      </c>
    </row>
    <row r="105">
      <c r="A105" s="52" t="inlineStr">
        <is>
          <t>MARKET</t>
        </is>
      </c>
      <c r="B105" s="52" t="inlineStr">
        <is>
          <t>2026-10-21 11:12</t>
        </is>
      </c>
      <c r="C105" s="52" t="inlineStr">
        <is>
          <t>Share Market Today: Nifty 50, Bank Nifty | Oct 21, 2026</t>
        </is>
      </c>
      <c r="D105" s="52" t="inlineStr">
        <is>
          <t>Liquide Blog</t>
        </is>
      </c>
      <c r="E105" s="82" t="n">
        <v>0.66</v>
      </c>
      <c r="F105" s="52" t="inlineStr">
        <is>
          <t>Positive</t>
        </is>
      </c>
      <c r="G105" s="83" t="inlineStr">
        <is>
          <t>open ↗</t>
        </is>
      </c>
    </row>
    <row r="106">
      <c r="A106" s="52" t="inlineStr">
        <is>
          <t>MARKET</t>
        </is>
      </c>
      <c r="B106" s="52" t="inlineStr">
        <is>
          <t>2026-10-21 10:43</t>
        </is>
      </c>
      <c r="C106" s="52" t="inlineStr">
        <is>
          <t>Indian stock market today: Sensex and Nifty fall for second straight session</t>
        </is>
      </c>
      <c r="D106" s="52" t="inlineStr">
        <is>
          <t>Telangana Today</t>
        </is>
      </c>
      <c r="E106" s="82" t="n">
        <v>0.296</v>
      </c>
      <c r="F106" s="52" t="inlineStr">
        <is>
          <t>Positive</t>
        </is>
      </c>
      <c r="G106" s="83" t="inlineStr">
        <is>
          <t>open ↗</t>
        </is>
      </c>
    </row>
    <row r="107">
      <c r="A107" s="52" t="inlineStr">
        <is>
          <t>MARKET</t>
        </is>
      </c>
      <c r="B107" s="52" t="inlineStr">
        <is>
          <t>2026-10-21 10:37</t>
        </is>
      </c>
      <c r="C107" s="52" t="inlineStr">
        <is>
          <t>Sensex, Nifty gives up gains to close lower; IT stocks shine</t>
        </is>
      </c>
      <c r="D107" s="52" t="inlineStr">
        <is>
          <t>India Today</t>
        </is>
      </c>
      <c r="E107" s="82" t="n">
        <v>0.542</v>
      </c>
      <c r="F107" s="52" t="inlineStr">
        <is>
          <t>Positive</t>
        </is>
      </c>
      <c r="G107" s="83" t="inlineStr">
        <is>
          <t>open ↗</t>
        </is>
      </c>
    </row>
    <row r="108">
      <c r="A108" s="52" t="inlineStr">
        <is>
          <t>MARKET</t>
        </is>
      </c>
      <c r="B108" s="52" t="inlineStr">
        <is>
          <t>2026-10-21 08:45</t>
        </is>
      </c>
      <c r="C108" s="52" t="inlineStr">
        <is>
          <t>Indian Market Rally Fizzles: Banking Stocks Drag Sensex, Nifty</t>
        </is>
      </c>
      <c r="D108" s="52" t="inlineStr">
        <is>
          <t>Rediff MoneyWiz</t>
        </is>
      </c>
      <c r="E108" s="82" t="n">
        <v>0.586</v>
      </c>
      <c r="F108" s="52" t="inlineStr">
        <is>
          <t>Positive</t>
        </is>
      </c>
      <c r="G108" s="83" t="inlineStr">
        <is>
          <t>open ↗</t>
        </is>
      </c>
    </row>
    <row r="109">
      <c r="A109" s="52" t="inlineStr">
        <is>
          <t>MARKET</t>
        </is>
      </c>
      <c r="B109" s="52" t="inlineStr">
        <is>
          <t>2026-10-21 08:27</t>
        </is>
      </c>
      <c r="C109" s="52" t="inlineStr">
        <is>
          <t>SENSEX, NIFTY erase early gains, tumble nearly 1% in noon deals: RIL, LLTS, HFCL among buzzing stocks</t>
        </is>
      </c>
      <c r="D109" s="52" t="inlineStr">
        <is>
          <t>Upstox</t>
        </is>
      </c>
      <c r="E109" s="82" t="n">
        <v>0.721</v>
      </c>
      <c r="F109" s="52" t="inlineStr">
        <is>
          <t>Positive</t>
        </is>
      </c>
      <c r="G109" s="83" t="inlineStr">
        <is>
          <t>open ↗</t>
        </is>
      </c>
    </row>
    <row r="110">
      <c r="A110" s="52" t="inlineStr">
        <is>
          <t>E2E</t>
        </is>
      </c>
      <c r="B110" s="52" t="inlineStr">
        <is>
          <t>2026-10-21 07:23</t>
        </is>
      </c>
      <c r="C110" s="52" t="inlineStr">
        <is>
          <t>E2E Networks shares extend decline for 4th day; Black Box, Netweb Tech, other AI stocks see rub-off effect</t>
        </is>
      </c>
      <c r="D110" s="52" t="inlineStr">
        <is>
          <t>Moneycontrol.com</t>
        </is>
      </c>
      <c r="E110" s="82" t="n">
        <v>-0.226</v>
      </c>
      <c r="F110" s="52" t="inlineStr">
        <is>
          <t>Negative</t>
        </is>
      </c>
      <c r="G110" s="83" t="inlineStr">
        <is>
          <t>open ↗</t>
        </is>
      </c>
    </row>
    <row r="111">
      <c r="A111" s="52" t="inlineStr">
        <is>
          <t>MARKET</t>
        </is>
      </c>
      <c r="B111" s="52" t="inlineStr">
        <is>
          <t>2026-10-21 07:00</t>
        </is>
      </c>
      <c r="C111" s="52" t="inlineStr">
        <is>
          <t>NSE - National Stock Exchange of India Ltd: Live Share/Stock Market News &amp; Updates, Quotes- Nseindia.com</t>
        </is>
      </c>
      <c r="D111" s="52" t="inlineStr">
        <is>
          <t>NSE India</t>
        </is>
      </c>
      <c r="E111" s="82" t="n">
        <v>0</v>
      </c>
      <c r="F111" s="52" t="inlineStr">
        <is>
          <t>Neutral</t>
        </is>
      </c>
      <c r="G111" s="83" t="inlineStr">
        <is>
          <t>open ↗</t>
        </is>
      </c>
    </row>
    <row r="112">
      <c r="A112" s="52" t="inlineStr">
        <is>
          <t>MARKET</t>
        </is>
      </c>
      <c r="B112" s="52" t="inlineStr">
        <is>
          <t>2026-10-21 06:26</t>
        </is>
      </c>
      <c r="C112" s="52" t="inlineStr">
        <is>
          <t>Sensex, Nifty rally up to 1% in early trade on IT stocks, firm global cues</t>
        </is>
      </c>
      <c r="D112" s="52" t="inlineStr">
        <is>
          <t>The Hindu</t>
        </is>
      </c>
      <c r="E112" s="82" t="n">
        <v>0.6909999999999999</v>
      </c>
      <c r="F112" s="52" t="inlineStr">
        <is>
          <t>Positive</t>
        </is>
      </c>
      <c r="G112" s="83" t="inlineStr">
        <is>
          <t>open ↗</t>
        </is>
      </c>
    </row>
    <row r="113">
      <c r="A113" s="52" t="inlineStr">
        <is>
          <t>MARKET</t>
        </is>
      </c>
      <c r="B113" s="52" t="inlineStr">
        <is>
          <t>2026-10-21 04:43</t>
        </is>
      </c>
      <c r="C113" s="52" t="inlineStr">
        <is>
          <t>Sensex, Nifty Jump at Open as Asia Gains; Jio IPO in Focus</t>
        </is>
      </c>
      <c r="D113" s="52" t="inlineStr">
        <is>
          <t>HDFC Sky</t>
        </is>
      </c>
      <c r="E113" s="82" t="n">
        <v>0.796</v>
      </c>
      <c r="F113" s="52" t="inlineStr">
        <is>
          <t>Positive</t>
        </is>
      </c>
      <c r="G113" s="83" t="inlineStr">
        <is>
          <t>open ↗</t>
        </is>
      </c>
    </row>
    <row r="114">
      <c r="A114" s="52" t="inlineStr">
        <is>
          <t>MARKET</t>
        </is>
      </c>
      <c r="B114" s="52" t="inlineStr">
        <is>
          <t>2026-10-21 03:47</t>
        </is>
      </c>
      <c r="C114" s="52" t="inlineStr">
        <is>
          <t>Sensex, Nifty jump as IT stocks rally; Jio IPO in focus</t>
        </is>
      </c>
      <c r="D114" s="52" t="inlineStr">
        <is>
          <t>India Today</t>
        </is>
      </c>
      <c r="E114" s="82" t="n">
        <v>0.8179999999999999</v>
      </c>
      <c r="F114" s="52" t="inlineStr">
        <is>
          <t>Positive</t>
        </is>
      </c>
      <c r="G114" s="83" t="inlineStr">
        <is>
          <t>open ↗</t>
        </is>
      </c>
    </row>
    <row r="115">
      <c r="A115" s="52" t="inlineStr">
        <is>
          <t>LAURUSLABS</t>
        </is>
      </c>
      <c r="B115" s="52" t="inlineStr">
        <is>
          <t>2026-10-21 02:34</t>
        </is>
      </c>
      <c r="C115" s="52" t="inlineStr">
        <is>
          <t>Chartist Talk: Will Nifty 50’s technical rebound sustain? Milan Vaishnav advises holding Laurus Labs,...</t>
        </is>
      </c>
      <c r="D115" s="52" t="inlineStr">
        <is>
          <t>Moneycontrol.com</t>
        </is>
      </c>
      <c r="E115" s="82" t="n">
        <v>0.402</v>
      </c>
      <c r="F115" s="52" t="inlineStr">
        <is>
          <t>Positive</t>
        </is>
      </c>
      <c r="G115" s="83" t="inlineStr">
        <is>
          <t>open ↗</t>
        </is>
      </c>
    </row>
    <row r="116">
      <c r="A116" s="52" t="inlineStr">
        <is>
          <t>DIACABS</t>
        </is>
      </c>
      <c r="B116" s="52" t="inlineStr">
        <is>
          <t>2026-10-21 00:00</t>
        </is>
      </c>
      <c r="C116" s="52" t="inlineStr">
        <is>
          <t>DIACABS.NS (DIACABS) Share Price Today, Live Chart &amp; News</t>
        </is>
      </c>
      <c r="D116" s="52" t="inlineStr">
        <is>
          <t>TechGraph</t>
        </is>
      </c>
      <c r="E116" s="82" t="n">
        <v>0</v>
      </c>
      <c r="F116" s="52" t="inlineStr">
        <is>
          <t>Neutral</t>
        </is>
      </c>
      <c r="G116" s="83" t="inlineStr">
        <is>
          <t>open ↗</t>
        </is>
      </c>
    </row>
    <row r="117">
      <c r="A117" s="52" t="inlineStr">
        <is>
          <t>LAURUSLABS</t>
        </is>
      </c>
      <c r="B117" s="52" t="inlineStr">
        <is>
          <t>2026-10-20 11:24</t>
        </is>
      </c>
      <c r="C117" s="52" t="inlineStr">
        <is>
          <t>8 Stocks Hit 52-Week Highs: PC Jeweller (NSE: PCJEWELLER), Sky Gold and More</t>
        </is>
      </c>
      <c r="D117" s="52" t="inlineStr">
        <is>
          <t>Kalkine India</t>
        </is>
      </c>
      <c r="E117" s="82" t="n">
        <v>-0.153</v>
      </c>
      <c r="F117" s="52" t="inlineStr">
        <is>
          <t>Neutral</t>
        </is>
      </c>
      <c r="G117" s="83" t="inlineStr">
        <is>
          <t>open ↗</t>
        </is>
      </c>
    </row>
    <row r="118">
      <c r="A118" s="52" t="inlineStr">
        <is>
          <t>E2E</t>
        </is>
      </c>
      <c r="B118" s="52" t="inlineStr">
        <is>
          <t>2026-10-20 00:35</t>
        </is>
      </c>
      <c r="C118" s="52" t="inlineStr">
        <is>
          <t>We Ran A Stock Scan For Earnings Growth And E2E Networks (NSE:E2E) Passed With Ease</t>
        </is>
      </c>
      <c r="D118" s="52" t="inlineStr">
        <is>
          <t>Simply Wall Street</t>
        </is>
      </c>
      <c r="E118" s="82" t="n">
        <v>0.612</v>
      </c>
      <c r="F118" s="52" t="inlineStr">
        <is>
          <t>Positive</t>
        </is>
      </c>
      <c r="G118" s="83" t="inlineStr">
        <is>
          <t>open ↗</t>
        </is>
      </c>
    </row>
    <row r="119">
      <c r="A119" s="52" t="inlineStr">
        <is>
          <t>LAURUSLABS</t>
        </is>
      </c>
      <c r="B119" s="52" t="inlineStr">
        <is>
          <t>2026-10-19 14:13</t>
        </is>
      </c>
      <c r="C119" s="52" t="inlineStr">
        <is>
          <t>Laurus Labs - PC Jeweller among 8 stocks that hit 52-week high and rallied up to 42% in a month</t>
        </is>
      </c>
      <c r="D119" s="52" t="inlineStr">
        <is>
          <t>The Economic Times</t>
        </is>
      </c>
      <c r="E119" s="82" t="n">
        <v>0.052</v>
      </c>
      <c r="F119" s="52" t="inlineStr">
        <is>
          <t>Neutral</t>
        </is>
      </c>
      <c r="G119" s="83" t="inlineStr">
        <is>
          <t>open ↗</t>
        </is>
      </c>
    </row>
    <row r="120">
      <c r="A120" s="52" t="inlineStr">
        <is>
          <t>MARKET</t>
        </is>
      </c>
      <c r="B120" s="52" t="inlineStr">
        <is>
          <t>2026-10-19 13:06</t>
        </is>
      </c>
      <c r="C120" s="52" t="inlineStr">
        <is>
          <t>Nifty Sensex Today: Stock Market Crashes as Sensex Falls 876 Points, Nifty Drops 1.11%; Banking and IT Stocks Lead the Losses</t>
        </is>
      </c>
      <c r="D120" s="52" t="inlineStr">
        <is>
          <t>India Infoline</t>
        </is>
      </c>
      <c r="E120" s="82" t="n">
        <v>-0</v>
      </c>
      <c r="F120" s="52" t="inlineStr">
        <is>
          <t>Neutral</t>
        </is>
      </c>
      <c r="G120" s="83" t="inlineStr">
        <is>
          <t>open ↗</t>
        </is>
      </c>
    </row>
    <row r="121">
      <c r="A121" s="52" t="inlineStr">
        <is>
          <t>DIACABS</t>
        </is>
      </c>
      <c r="B121" s="52" t="inlineStr">
        <is>
          <t>2026-10-19 12:29</t>
        </is>
      </c>
      <c r="C121" s="52" t="inlineStr">
        <is>
          <t>Diamond Power Infrastructure (NSE:DIACABS): Who Is the New CFO Appointed on 19 October 2026?</t>
        </is>
      </c>
      <c r="D121" s="52" t="inlineStr">
        <is>
          <t>Kalkine India</t>
        </is>
      </c>
      <c r="E121" s="82" t="n">
        <v>0.34</v>
      </c>
      <c r="F121" s="52" t="inlineStr">
        <is>
          <t>Positive</t>
        </is>
      </c>
      <c r="G121" s="83" t="inlineStr">
        <is>
          <t>open ↗</t>
        </is>
      </c>
    </row>
    <row r="122">
      <c r="A122" s="52" t="inlineStr">
        <is>
          <t>MARKET</t>
        </is>
      </c>
      <c r="B122" s="52" t="inlineStr">
        <is>
          <t>2026-10-19 11:35</t>
        </is>
      </c>
      <c r="C122" s="52" t="inlineStr">
        <is>
          <t>Manic Monday at Indian stock market: Sensex, Nifty bleed - ₹3.6 lakh cr gone in 6 hours | What went wrong? Big reasons</t>
        </is>
      </c>
      <c r="D122" s="52" t="inlineStr">
        <is>
          <t>Livemint</t>
        </is>
      </c>
      <c r="E122" s="82" t="n">
        <v>-0.103</v>
      </c>
      <c r="F122" s="52" t="inlineStr">
        <is>
          <t>Neutral</t>
        </is>
      </c>
      <c r="G122" s="83" t="inlineStr">
        <is>
          <t>open ↗</t>
        </is>
      </c>
    </row>
    <row r="123">
      <c r="A123" s="52" t="inlineStr">
        <is>
          <t>AEROFLEX</t>
        </is>
      </c>
      <c r="B123" s="52" t="inlineStr">
        <is>
          <t>2026-10-19 11:05</t>
        </is>
      </c>
      <c r="C123" s="52" t="inlineStr">
        <is>
          <t>Aeroflex Industries Braided Hose Design Patent and CAD Technology Explained</t>
        </is>
      </c>
      <c r="D123" s="52" t="inlineStr">
        <is>
          <t>Kalkine India</t>
        </is>
      </c>
      <c r="E123" s="82" t="n">
        <v>0</v>
      </c>
      <c r="F123" s="52" t="inlineStr">
        <is>
          <t>Neutral</t>
        </is>
      </c>
      <c r="G123" s="83" t="inlineStr">
        <is>
          <t>open ↗</t>
        </is>
      </c>
    </row>
    <row r="124">
      <c r="A124" s="52" t="inlineStr">
        <is>
          <t>AEROFLEX</t>
        </is>
      </c>
      <c r="B124" s="52" t="inlineStr">
        <is>
          <t>2026-10-19 09:06</t>
        </is>
      </c>
      <c r="C124" s="52" t="inlineStr">
        <is>
          <t>Aeroflex Industries Ltd granted a patent for its innovative technology</t>
        </is>
      </c>
      <c r="D124" s="52" t="inlineStr">
        <is>
          <t>EquityBulls</t>
        </is>
      </c>
      <c r="E124" s="82" t="n">
        <v>0.599</v>
      </c>
      <c r="F124" s="52" t="inlineStr">
        <is>
          <t>Positive</t>
        </is>
      </c>
      <c r="G124" s="83" t="inlineStr">
        <is>
          <t>open ↗</t>
        </is>
      </c>
    </row>
    <row r="125">
      <c r="A125" s="52" t="inlineStr">
        <is>
          <t>AEROFLEX</t>
        </is>
      </c>
      <c r="B125" s="52" t="inlineStr">
        <is>
          <t>2026-10-19 08:10</t>
        </is>
      </c>
      <c r="C125" s="52" t="inlineStr">
        <is>
          <t>Aeroflex Industries Patent: 3D Braided Hose Tech Granted</t>
        </is>
      </c>
      <c r="D125" s="52" t="inlineStr">
        <is>
          <t>Kalkine India</t>
        </is>
      </c>
      <c r="E125" s="82" t="n">
        <v>0.25</v>
      </c>
      <c r="F125" s="52" t="inlineStr">
        <is>
          <t>Positive</t>
        </is>
      </c>
      <c r="G125" s="83" t="inlineStr">
        <is>
          <t>open ↗</t>
        </is>
      </c>
    </row>
    <row r="126">
      <c r="A126" s="52" t="inlineStr">
        <is>
          <t>E2E</t>
        </is>
      </c>
      <c r="B126" s="52" t="inlineStr">
        <is>
          <t>2026-10-19 07:40</t>
        </is>
      </c>
      <c r="C126" s="52" t="inlineStr">
        <is>
          <t>E2E Networks AI Cloud Infrastructure and GPU Services Explained</t>
        </is>
      </c>
      <c r="D126" s="52" t="inlineStr">
        <is>
          <t>Kalkine India</t>
        </is>
      </c>
      <c r="E126" s="82" t="n">
        <v>0</v>
      </c>
      <c r="F126" s="52" t="inlineStr">
        <is>
          <t>Neutral</t>
        </is>
      </c>
      <c r="G126" s="83" t="inlineStr">
        <is>
          <t>open ↗</t>
        </is>
      </c>
    </row>
    <row r="127">
      <c r="A127" s="52" t="inlineStr">
        <is>
          <t>LAURUSLABS</t>
        </is>
      </c>
      <c r="B127" s="52" t="inlineStr">
        <is>
          <t>2026-10-19 07:20</t>
        </is>
      </c>
      <c r="C127" s="52" t="inlineStr">
        <is>
          <t>Laurus Labs zooms 128% from March low; hits new high in weak market</t>
        </is>
      </c>
      <c r="D127" s="52" t="inlineStr">
        <is>
          <t>Business Standard</t>
        </is>
      </c>
      <c r="E127" s="82" t="n">
        <v>-0.542</v>
      </c>
      <c r="F127" s="52" t="inlineStr">
        <is>
          <t>Negative</t>
        </is>
      </c>
      <c r="G127" s="83" t="inlineStr">
        <is>
          <t>open ↗</t>
        </is>
      </c>
    </row>
    <row r="128">
      <c r="A128" s="52" t="inlineStr">
        <is>
          <t>KIRLOSENG</t>
        </is>
      </c>
      <c r="B128" s="52" t="inlineStr">
        <is>
          <t>2026-10-19 07:00</t>
        </is>
      </c>
      <c r="C128" s="52" t="inlineStr">
        <is>
          <t>Kirloskar Oil Engines Share Price: price fall and valuation</t>
        </is>
      </c>
      <c r="D128" s="52" t="inlineStr">
        <is>
          <t>Univest</t>
        </is>
      </c>
      <c r="E128" s="82" t="n">
        <v>-0.34</v>
      </c>
      <c r="F128" s="52" t="inlineStr">
        <is>
          <t>Negative</t>
        </is>
      </c>
      <c r="G128" s="83" t="inlineStr">
        <is>
          <t>open ↗</t>
        </is>
      </c>
    </row>
    <row r="129">
      <c r="A129" s="52" t="inlineStr">
        <is>
          <t>LAURUSLABS</t>
        </is>
      </c>
      <c r="B129" s="52" t="inlineStr">
        <is>
          <t>2026-10-19 07:00</t>
        </is>
      </c>
      <c r="C129" s="52" t="inlineStr">
        <is>
          <t>Laurus Labs Share Price: fresh 52-week high and valuation</t>
        </is>
      </c>
      <c r="D129" s="52" t="inlineStr">
        <is>
          <t>Univest</t>
        </is>
      </c>
      <c r="E129" s="82" t="n">
        <v>0.477</v>
      </c>
      <c r="F129" s="52" t="inlineStr">
        <is>
          <t>Positive</t>
        </is>
      </c>
      <c r="G129" s="83" t="inlineStr">
        <is>
          <t>open ↗</t>
        </is>
      </c>
    </row>
    <row r="130">
      <c r="A130" s="52" t="inlineStr">
        <is>
          <t>LAURUSLABS</t>
        </is>
      </c>
      <c r="B130" s="52" t="inlineStr">
        <is>
          <t>2026-10-19 04:51</t>
        </is>
      </c>
      <c r="C130" s="52" t="inlineStr">
        <is>
          <t>3 Top Hyderabad-based Stocks to Watch for Future Multibagger Potential: Divi's Labs, Laurus Labs and NMDC</t>
        </is>
      </c>
      <c r="D130" s="52" t="inlineStr">
        <is>
          <t>Univest</t>
        </is>
      </c>
      <c r="E130" s="82" t="n">
        <v>0.586</v>
      </c>
      <c r="F130" s="52" t="inlineStr">
        <is>
          <t>Positive</t>
        </is>
      </c>
      <c r="G130" s="83" t="inlineStr">
        <is>
          <t>open ↗</t>
        </is>
      </c>
    </row>
    <row r="131">
      <c r="A131" s="52" t="inlineStr">
        <is>
          <t>DIACABS</t>
        </is>
      </c>
      <c r="B131" s="52" t="inlineStr">
        <is>
          <t>2026-10-19 02:34</t>
        </is>
      </c>
      <c r="C131" s="52" t="inlineStr">
        <is>
          <t>Diamond Power Infrastructure (DIACABS.NS) Slips 3.28% to ₹361.5 as Traders Watch ₹343.43 Support - McClellan Summation</t>
        </is>
      </c>
      <c r="D131" s="52" t="inlineStr">
        <is>
          <t>www.siam.in</t>
        </is>
      </c>
      <c r="E131" s="82" t="n">
        <v>0.402</v>
      </c>
      <c r="F131" s="52" t="inlineStr">
        <is>
          <t>Positive</t>
        </is>
      </c>
      <c r="G131" s="83" t="inlineStr">
        <is>
          <t>open ↗</t>
        </is>
      </c>
    </row>
    <row r="132">
      <c r="A132" s="52" t="inlineStr">
        <is>
          <t>E2E</t>
        </is>
      </c>
      <c r="B132" s="52" t="inlineStr">
        <is>
          <t>2026-10-18 09:01</t>
        </is>
      </c>
      <c r="C132" s="52" t="inlineStr">
        <is>
          <t>E2E Networks Publishes Q2 FY26 Unaudited Financial Results</t>
        </is>
      </c>
      <c r="D132" s="52" t="inlineStr">
        <is>
          <t>The Globe and Mail</t>
        </is>
      </c>
      <c r="E132" s="82" t="n">
        <v>0</v>
      </c>
      <c r="F132" s="52" t="inlineStr">
        <is>
          <t>Neutral</t>
        </is>
      </c>
      <c r="G132" s="83" t="inlineStr">
        <is>
          <t>open ↗</t>
        </is>
      </c>
    </row>
    <row r="133">
      <c r="A133" s="52" t="inlineStr">
        <is>
          <t>ACUTAAS</t>
        </is>
      </c>
      <c r="B133" s="52" t="inlineStr">
        <is>
          <t>2026-10-17 09:58</t>
        </is>
      </c>
      <c r="C133" s="52" t="inlineStr">
        <is>
          <t>Acutaas Chemicals completes acquisition of Enchem Ami Organics</t>
        </is>
      </c>
      <c r="D133" s="52" t="inlineStr">
        <is>
          <t>scanx.trade</t>
        </is>
      </c>
      <c r="E133" s="82" t="n">
        <v>0</v>
      </c>
      <c r="F133" s="52" t="inlineStr">
        <is>
          <t>Neutral</t>
        </is>
      </c>
      <c r="G133" s="83" t="inlineStr">
        <is>
          <t>open ↗</t>
        </is>
      </c>
    </row>
    <row r="134">
      <c r="A134" s="52" t="inlineStr">
        <is>
          <t>E2E</t>
        </is>
      </c>
      <c r="B134" s="52" t="inlineStr">
        <is>
          <t>2026-10-17 09:32</t>
        </is>
      </c>
      <c r="C134" s="52" t="inlineStr">
        <is>
          <t>E2E Networks pays ₹10,000 fine to exchanges for compliance delay</t>
        </is>
      </c>
      <c r="D134" s="52" t="inlineStr">
        <is>
          <t>scanx.trade</t>
        </is>
      </c>
      <c r="E134" s="82" t="n">
        <v>-0.128</v>
      </c>
      <c r="F134" s="52" t="inlineStr">
        <is>
          <t>Neutral</t>
        </is>
      </c>
      <c r="G134" s="83" t="inlineStr">
        <is>
          <t>open ↗</t>
        </is>
      </c>
    </row>
    <row r="135">
      <c r="A135" s="52" t="inlineStr">
        <is>
          <t>E2E</t>
        </is>
      </c>
      <c r="B135" s="52" t="inlineStr">
        <is>
          <t>2026-10-16 21:00</t>
        </is>
      </c>
      <c r="C135" s="52" t="inlineStr">
        <is>
          <t>E2E Networks Ltd (NSE:E2E) Q2 2027 Earnings Call Highlights: Revenue Surges 411% YoY on ...</t>
        </is>
      </c>
      <c r="D135" s="52" t="inlineStr">
        <is>
          <t>Yahoo Finance</t>
        </is>
      </c>
      <c r="E135" s="82" t="n">
        <v>0.494</v>
      </c>
      <c r="F135" s="52" t="inlineStr">
        <is>
          <t>Positive</t>
        </is>
      </c>
      <c r="G135" s="83" t="inlineStr">
        <is>
          <t>open ↗</t>
        </is>
      </c>
    </row>
  </sheetData>
  <mergeCells count="2">
    <mergeCell ref="A2:G2"/>
    <mergeCell ref="A1:G1"/>
  </mergeCells>
  <conditionalFormatting sqref="E5:E135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</hyperlink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{"batch": {"batch_id": "2026-09-28", "title": "SwingScope batch 2026-09-28", "signal_date": "2026-09-28", "exit_date_est": "2026-10-27", "hold_sessions": 21, "universe": "liquidity top 400 of all NSE stocks", "capital": 139903.0, "est_costs": 859.0, "cost_pct": 0.6, "regime": "Down", "regime_note": "the signal's weakest regime historically", "warnings": "0 of 10", "evidence": ["Backtest, 2017\u20132026 | Replayed point in time on your survivorship-free archive. Not live results. | Signal strength | IC +0.041 | rank IC over 113 monthly dates, 2017-2026 (t 2.52); validated benchmark 0.026 | Top vs bottom decile | +1.89% | per 21-session hold, before costs (t 2.94) | Top-10 picks | +1.45% | per hold after 0.60% costs; Nifty 50 earned +1.02% before costs | Entry timing | Open wins | buying at the open beat all 30 support-entry rules (best -0.12% per hold) | Down markets | IC +0.009 | over 27 down-regime dates, against +0.050 over 86 up-regime dates", "Live record | No results yet | The first live result arrives when this system finishes its first batch. Live results are kept apart from the backtest and never mixed in."], "stocks": [{"rank": 1, "symbol": "TDPOWERSYS", "isin": "INE419M01035", "qty": 20, "last_close": 722.0, "amount": 14440.0, "spark_12m": "2.0,31.7 2.4,32.0 2.9,31.7 3.3,31.1 3.7,31.1 4.2,31.1 4.6,31.0 5.0,30.6 5.4,30.4 5.9,29.2 6.3,29.3 6.7,29.5 7.2,29.8 7.6,30.1 8.0,30.4 8.5,30.5 8.9,30.3 9.3,29.4 9.7,29.3 10.2,28.8 10.6,29.1 11.0,28.9 11.5,29.1 11.9,29.2 12.3,29.1 12.8,29.0 13.2,28.4 13.6,28.0 14.0,25.5 14.5,24.3 14.9,24.2 15.3,24.8 15.8,25.3 16.2,25.2 16.6,25.4 17.1,24.2 17.5,25.4 17.9,25.2 18.4,25.2 18.8,25.7 19.2,25.8 19.6,25.9 20.1,26.9 20.5,25.8 20.9,25.9 21.4,24.9 21.8,24.9 22.2,25.4 22.7,25.0 23.1,25.0 23.5,25.8 23.9,26.8 24.4,27.7 24.8,28.3 25.2,27.7 25.7,28.1 26.1,28.2 26.5,27.9 27.0,27.6 27.4,27.9 27.8,27.1 28.2,27.6 28.7,27.1 29.1,26.4 29.5,26.7 30.0,27.0 30.4,27.3 30.8,27.7 31.3,27.5 31.7,27.5 32.1,28.3 32.5,28.0 33.0,27.7 33.4,27.9 33.8,27.5 34.3,27.9 34.7,28.3 35.1,28.8 35.6,27.9 36.0,28.2 36.4,28.5 36.9,28.7 37.3,29.2 37.7,29.4 38.1,29.5 38.6,29.7 39.0,29.6 39.4,28.8 39.9,28.2 40.3,26.7 40.7,26.2 41.2,24.3 41.6,24.1 42.0,24.5 42.4,25.2 42.9,24.8 43.3,23.3 43.7,22.8 44.2,23.4 44.6,23.8 45.0,23.1 45.5,22.8 45.9,22.8 46.3,22.4 46.7,22.4 47.2,21.8 47.6,22.3 48.0,22.5 48.5,22.5 48.9,21.8 49.3,22.2 49.8,22.6 50.2,22.4 50.6,22.5 51.1,23.5 51.5,24.3 51.9,24.7 52.3,24.4 52.8,25.3 53.2,24.9 53.6,24.3 54.1,23.7 54.5,23.8 54.9,23.0 55.4,24.2 55.8,23.1 56.2,22.3 56.6,23.4 57.1,23.3 57.5,23.0 57.9,23.0 58.4,22.5 58.8,22.5 59.2,22.4 59.7,22.6 60.1,21.2 60.5,21.5 60.9,20.8 61.4,20.0 61.8,19.2 62.2,18.3 62.7,18.6 63.1,17.4 63.5,17.2 64.0,16.0 64.4,16.6 64.8,15.0 65.3,15.0 65.7,14.8 66.1,14.6 66.5,14.2 67.0,14.5 67.4,12.2 67.8,13.0 68.3,14.1 68.7,14.4 69.1,14.2 69.6,14.0 70.0,10.4 70.4,9.9 70.8,11.9 71.3,12.6 71.7,10.6 72.1,10.8 72.6,10.7 73.0,8.8 73.4,9.8 73.9,10.2 74.3,12.7 74.7,12.5 75.1,11.1 75.6,10.0 76.0,10.3 76.4,12.8 76.9,12.6 77.3,14.8 77.7,15.6 78.2,13.7 78.6,13.6 79.0,14.4 79.5,12.7 79.9,11.6 80.3,11.5 80.7,10.0 81.2,9.2 81.6,11.7 82.0,12.0 82.5,12.6 82.9,12.4 83.3,13.7 83.8,13.8 84.2,16.6 84.6,14.2 85.0,15.7 85.5,16.9 85.9,16.6 86.3,14.9 86.8,14.9 87.2,15.6 87.6,14.2 88.1,15.6 88.5,15.5 88.9,15.2 89.3,15.5 89.8,14.6 90.2,15.2 90.6,15.9 91.1,15.2 91.5,15.9 91.9,18.1 92.4,17.5 92.8,15.5 93.2,16.0 93.6,15.5 94.1,13.5 94.5,12.7 94.9,11.8 95.4,12.5 95.8,11.4 96.2,5.6 96.7,5.6 97.1,5.5 97.5,3.7 98.0,2.7 98.4,3.8 98.8,4.9 99.2,4.1 99.7,3.4 100.1,6.2 100.5,6.3 101.0,5.6 101.4,4.9 101.8,3.6 102.3,4.6 102.7,5.9 103.1,6.6 103.5,5.6 104.0,6.0 104.4,4.0 104.8,4.8 105.3,4.4 105.7,2.0 106.1,6.5 106.6,8.1 107.0,6.7 107.4,4.3 107.8,5.2 108.3,4.7 108.7,4.2 109.1,5.5 109.6,5.0 110.0,6.7", "ret_12_1": 177.0, "ret_6_1": 72.2, "ret_3_1": 19.6, "volatility": 60.1, "traded_daily_cr": 128.0, "watch": "Nothing flagged", "from_12m_high": -10.3, "signal_rank": 6, "data_quality": "Green"}, {"rank": 2, "symbol": "AEROFLEX", "isin": "INE024001021", "qty": 29, "last_close": 513.4, "amount": 14889.0, "spark_12m": "2.0,29.8 2.4,29.6 2.9,29.5 3.3,30.0 3.7,30.1 4.2,30.5 4.6,30.8 5.0,30.9 5.4,30.9 5.9,30.5 6.3,30.7 6.7,30.8 7.2,30.9 7.6,31.0 8.0,31.0 8.5,31.1 8.9,31.2 9.3,31.2 9.7,31.2 10.2,31.2 10.6,31.4 11.0,31.1 11.5,31.0 11.9,31.0 12.3,31.0 12.8,30.1 13.2,30.1 13.6,30.5 14.0,30.0 14.5,29.8 14.9,30.3 15.3,30.5 15.8,30.0 16.2,30.0 16.6,30.2 17.1,30.2 17.5,30.1 17.9,29.9 18.4,30.1 18.8,30.3 19.2,30.2 19.6,30.2 20.1,30.5 20.5,30.9 20.9,30.2 21.4,30.2 21.8,30.4 22.2,30.0 22.7,30.2 23.1,30.3 23.5,30.6 23.9,30.6 24.4,30.7 24.8,31.3 25.2,31.0 25.7,30.7 26.1,30.9 26.5,30.7 27.0,30.3 27.4,30.5 27.8,30.3 28.2,30.7 28.7,29.5 29.1,29.2 29.5,28.8 30.0,28.6 30.4,28.9 30.8,29.1 31.3,29.3 31.7,29.5 32.1,29.6 32.5,29.2 33.0,29.0 33.4,29.3 33.8,29.1 34.3,29.9 34.7,30.2 35.1,30.2 35.6,30.5 36.0,30.7 36.4,30.8 36.9,30.9 37.3,31.3 37.7,31.8 38.1,31.5 38.6,32.0 39.0,31.7 39.4,31.4 39.9,30.4 40.3,30.6 40.7,31.0 41.2,30.1 41.6,29.9 42.0,29.9 42.4,30.1 42.9,29.3 43.3,29.4 43.7,29.6 44.2,29.5 44.6,30.0 45.0,29.6 45.5,28.5 45.9,27.1 46.3,27.0 46.7,27.3 47.2,27.6 47.6,27.7 48.0,27.0 48.5,26.9 48.9,26.5 49.3,27.2 49.8,27.7 50.2,27.3 50.6,27.6 51.1,27.9 51.5,27.5 51.9,26.5 52.3,26.3 52.8,26.5 53.2,25.6 53.6,25.3 54.1,25.6 54.5,26.8 54.9,26.6 55.4,27.3 55.8,25.3 56.2,25.3 56.6,26.1 57.1,26.2 57.5,25.4 57.9,25.2 58.4,25.0 58.8,25.7 59.2,24.6 59.7,23.6 60.1,22.6 60.5,22.6 60.9,22.3 61.4,22.1 61.8,21.0 62.2,21.7 62.7,22.6 63.1,21.5 63.5,22.1 64.0,23.4 64.4,22.2 64.8,22.3 65.3,21.4 65.7,21.4 66.1,21.6 66.5,20.5 67.0,18.6 67.4,13.6 67.8,11.7 68.3,14.7 68.7,17.1 69.1,17.1 69.6,17.4 70.0,16.7 70.4,16.8 70.8,15.9 71.3,15.2 71.7,16.0 72.1,14.3 72.6,13.5 73.0,14.3 73.4,14.0 73.9,14.4 74.3,15.4 74.7,13.1 75.1,12.1 75.6,11.7 76.0,13.1 76.4,14.6 76.9,12.7 77.3,13.5 77.7,13.9 78.2,11.1 78.6,8.9 79.0,9.4 79.5,6.5 79.9,8.1 80.3,6.8 80.7,6.6 81.2,7.1 81.6,8.8 82.0,9.7 82.5,9.6 82.9,9.4 83.3,8.1 83.8,8.9 84.2,10.5 84.6,10.3 85.0,13.6 85.5,14.5 85.9,14.2 86.3,13.6 86.8,13.0 87.2,13.8 87.6,13.0 88.1,13.8 88.5,13.8 88.9,14.1 89.3,13.6 89.8,14.0 90.2,13.1 90.6,13.0 91.1,13.2 91.5,11.2 91.9,10.9 92.4,12.6 92.8,12.0 93.2,12.3 93.6,9.9 94.1,10.5 94.5,11.8 94.9,12.7 95.4,13.1 95.8,12.9 96.2,11.2 96.7,11.1 97.1,10.2 97.5,10.5 98.0,8.3 98.4,9.2 98.8,9.1 99.2,7.1 99.7,7.0 100.1,7.6 100.5,4.7 101.0,5.7 101.4,4.3 101.8,5.5 102.3,3.6 102.7,4.4 103.1,4.3 103.5,4.6 104.0,3.1 104.4,2.0 104.8,2.9 105.3,2.7 105.7,2.7 106.1,6.8 106.6,8.7 107.0,7.5 107.4,6.5 107.8,6.2 108.3,6.1 108.7,5.8 109.1,5.3 109.6,5.5 110.0,6.3", "ret_12_1": 175.0, "ret_6_1": 107.0, "ret_3_1": 10.7, "volatility": 67.3, "traded_daily_cr": 53.0, "watch": "Nothing flagged", "from_12m_high": -10.5, "signal_rank": 7, "data_quality": "Green"}, {"rank": 3, "symbol": "ATHERENERG", "isin": "INE0LEZ01016", "qty": 10, "last_close": 1454.9, "amount": 14549.0, "spark_12m": "2.0,30.9 2.4,30.7 2.9,31.2 3.3,30.9 3.7,31.6 4.2,32.0 4.6,31.0 5.0,31.4 5.4,30.8 5.9,30.7 6.3,30.0 6.7,29.7 7.2,29.5 7.6,29.9 8.0,30.6 8.5,30.2 8.9,30.1 9.3,29.6 9.7,28.2 10.2,28.1 10.6,27.4 11.0,26.3 11.5,27.1 11.9,27.8 12.3,27.1 12.8,27.0 13.2,27.8 13.6,27.8 14.0,28.2 14.5,28.2 14.9,28.8 15.3,29.6 15.8,29.1 16.2,29.8 16.6,29.0 17.1,29.8 17.5,29.5 17.9,29.2 18.4,29.3 18.8,28.7 19.2,28.3 19.6,28.0 20.1,28.1 20.5,28.6 20.9,28.3 21.4,28.1 21.8,27.7 22.2,27.5 22.7,27.7 23.1,28.3 23.5,28.4 23.9,28.7 24.4,28.6 24.8,28.5 25.2,29.2 25.7,29.3 26.1,29.3 26.5,29.3 27.0,28.3 27.4,28.6 27.8,28.9 28.2,28.9 28.7,27.9 29.1,28.0 29.5,27.8 30.0,27.4 30.4,27.7 30.8,27.5 31.3,27.1 31.7,26.6 32.1,27.0 32.5,26.9 33.0,28.3 33.4,28.1 33.8,28.1 34.3,28.6 34.7,29.6 35.1,29.5 35.6,29.1 36.0,29.3 36.4,30.0 36.9,29.8 37.3,30.3 37.7,30.1 38.1,29.7 38.6,29.9 39.0,30.0 39.4,30.3 39.9,30.4 40.3,29.9 40.7,30.3 41.2,28.6 41.6,28.0 42.0,27.6 42.4,27.8 42.9,27.3 43.3,27.3 43.7,27.5 44.2,27.3 44.6,27.7 45.0,27.7 45.5,27.3 45.9,27.2 46.3,27.1 46.7,27.7 47.2,27.5 47.6,28.0 48.0,27.8 48.5,27.9 48.9,27.7 49.3,27.8 49.8,27.9 50.2,28.3 50.6,28.6 51.1,28.4 51.5,28.1 51.9,27.9 52.3,27.7 52.8,27.8 53.2,27.6 53.6,27.3 54.1,26.7 54.5,26.6 54.9,25.9 55.4,26.7 55.8,26.5 56.2,26.0 56.6,25.5 57.1,26.6 57.5,26.2 57.9,26.4 58.4,25.8 58.8,26.4 59.2,26.2 59.7,24.9 60.1,23.8 60.5,22.7 60.9,23.6 61.4,23.7 61.8,24.1 62.2,23.2 62.7,23.0 63.1,22.7 63.5,22.9 64.0,23.3 64.4,21.8 64.8,22.1 65.3,21.9 65.7,22.0 66.1,22.0 66.5,21.9 67.0,23.0 67.4,22.7 67.8,22.5 68.3,21.1 68.7,22.3 69.1,21.6 69.6,21.9 70.0,21.9 70.4,22.6 70.8,22.6 71.3,22.7 71.7,23.2 72.1,23.3 72.6,22.3 73.0,21.6 73.4,21.5 73.9,21.3 74.3,21.9 74.7,21.4 75.1,19.8 75.6,20.7 76.0,19.5 76.4,20.3 76.9,19.5 77.3,19.3 77.7,19.7 78.2,19.6 78.6,19.7 79.0,20.4 79.5,20.6 79.9,21.1 80.3,21.1 80.7,21.4 81.2,20.2 81.6,20.6 82.0,20.4 82.5,18.2 82.9,16.8 83.3,17.1 83.8,16.7 84.2,17.1 84.6,17.2 85.0,16.8 85.5,15.3 85.9,14.8 86.3,14.6 86.8,15.7 87.2,15.3 87.6,12.9 88.1,13.6 88.5,13.2 88.9,12.9 89.3,13.1 89.8,13.6 90.2,14.5 90.6,15.1 91.1,14.9 91.5,15.2 91.9,14.1 92.4,14.3 92.8,13.8 93.2,13.5 93.6,9.0 94.1,8.4 94.5,8.9 94.9,8.2 95.4,8.6 95.8,7.1 96.2,6.0 96.7,7.0 97.1,7.4 97.5,8.1 98.0,8.6 98.4,9.3 98.8,9.0 99.2,8.7 99.7,8.9 100.1,9.2 100.5,7.8 101.0,7.8 101.4,4.8 101.8,2.2 102.3,2.0 102.7,3.0 103.1,4.2 103.5,5.6 104.0,5.2 104.4,5.7 104.8,5.7 105.3,3.7 105.7,3.8 106.1,6.0 106.6,6.0 107.0,6.4 107.4,4.2 107.8,5.4 108.3,6.6 108.7,7.7 109.1,7.7 109.6,7.8 110.0,8.8", "ret_12_1": 166.0, "ret_6_1": 97.5, "ret_3_1": 31.1, "volatility": 49.4, "traded_daily_cr": 493.0, "watch": "Nothing flagged", "from_12m_high": -15.7, "signal_rank": 9, "data_quality": "Green"}, {"rank": 4, "symbol": "THANGAMAYL", "isin": "INE085J01014", "qty": 2, "last_close": 5011.5, "amount": 10023.0, "spark_12m": "2.0,30.9 2.4,31.1 2.9,31.4 3.3,31.4 3.7,31.4 4.2,31.6 4.6,31.7 5.0,31.6 5.4,31.6 5.9,31.2 6.3,31.3 6.7,31.6 7.2,31.2 7.6,31.5 8.0,31.6 8.5,31.5 8.9,31.8 9.3,31.9 9.7,31.9 10.2,31.9 10.6,31.9 11.0,31.9 11.5,32.0 11.9,31.5 12.3,31.6 12.8,31.3 13.2,31.4 13.6,31.3 14.0,30.8 14.5,28.3 14.9,25.9 15.3,25.7 15.8,23.9 16.2,25.3 16.6,24.8 17.1,24.1 17.5,24.4 17.9,24.5 18.4,24.7 18.8,24.9 19.2,25.1 19.6,25.2 20.1,26.0 20.5,24.8 20.9,24.8 21.4,24.7 21.8,24.8 22.2,24.7 22.7,24.1 23.1,25.2 23.5,24.6 23.9,24.8 24.4,24.9 24.8,25.2 25.2,24.7 25.7,24.9 26.1,24.9 26.5,25.0 27.0,25.0 27.4,24.9 27.8,24.4 28.2,24.6 28.7,24.2 29.1,23.8 29.5,23.7 30.0,24.5 30.4,25.0 30.8,25.0 31.3,25.0 31.7,24.9 32.1,24.7 32.5,24.8 33.0,24.2 33.4,23.4 33.8,21.4 34.3,21.2 34.7,22.7 35.1,22.3 35.6,21.9 36.0,21.5 36.4,21.8 36.9,22.1 37.3,22.1 37.7,21.2 38.1,22.6 38.6,22.9 39.0,23.8 39.4,22.8 39.9,23.4 40.3,24.3 40.7,24.9 41.2,25.1 41.6,24.5 42.0,25.1 42.4,23.9 42.9,22.1 43.3,22.2 43.7,22.3 44.2,22.5 44.6,22.9 45.0,22.1 45.5,22.3 45.9,22.6 46.3,23.4 46.7,23.0 47.2,22.8 47.6,22.0 48.0,21.5 48.5,21.0 48.9,20.8 49.3,21.4 49.8,22.7 50.2,22.6 50.6,22.2 51.1,22.9 51.5,22.1 51.9,23.1 52.3,23.0 52.8,23.3 53.2,23.6 53.6,23.4 54.1,23.3 54.5,24.1 54.9,24.3 55.4,25.2 55.8,24.4 56.2,22.8 56.6,23.7 57.1,23.7 57.5,23.0 57.9,23.1 58.4,21.9 58.8,21.3 59.2,20.3 59.7,20.0 60.1,19.8 60.5,19.5 60.9,19.1 61.4,19.0 61.8,19.3 62.2,19.8 62.7,19.8 63.1,20.4 63.5,21.7 64.0,21.7 64.4,20.8 64.8,20.7 65.3,20.6 65.7,20.8 66.1,20.6 66.5,20.7 67.0,20.1 67.4,19.9 67.8,19.1 68.3,20.5 68.7,22.4 69.1,22.5 69.6,22.7 70.0,22.8 70.4,23.1 70.8,22.5 71.3,21.8 71.7,21.3 72.1,21.6 72.6,21.5 73.0,21.6 73.4,21.0 73.9,19.4 74.3,18.9 74.7,17.2 75.1,16.1 75.6,12.0 76.0,13.0 76.4,12.2 76.9,12.3 77.3,12.4 77.7,12.6 78.2,12.2 78.6,12.1 79.0,12.4 79.5,11.4 79.9,12.5 80.3,12.4 80.7,11.8 81.2,12.8 81.6,12.4 82.0,11.6 82.5,10.0 82.9,7.1 83.3,9.6 83.8,7.6 84.2,8.4 84.6,7.7 85.0,7.2 85.5,4.8 85.9,6.0 86.3,6.3 86.8,8.0 87.2,6.8 87.6,5.9 88.1,7.2 88.5,6.9 88.9,7.2 89.3,6.8 89.8,6.7 90.2,4.5 90.6,4.3 91.1,2.0 91.5,2.8 91.9,6.8 92.4,10.4 92.8,13.7 93.2,15.1 93.6,16.5 94.1,15.2 94.5,14.1 94.9,13.4 95.4,13.0 95.8,13.7 96.2,13.1 96.7,13.4 97.1,12.5 97.5,13.0 98.0,12.2 98.4,12.0 98.8,12.4 99.2,12.2 99.7,12.2 100.1,12.7 100.5,12.2 101.0,12.1 101.4,12.5 101.8,12.6 102.3,13.2 102.7,13.6 103.1,13.3 103.5,13.1 104.0,12.3 104.4,12.9 104.8,14.3 105.3,14.5 105.7,14.2 106.1,15.4 106.6,15.3 107.0,16.0 107.4,14.7 107.8,15.3 108.3,14.3 108.7,13.2 109.1,14.4 109.6,14.2 110.0,14.9", "ret_12_1": 154.0, "ret_6_1": 66.3, "ret_3_1": -14.0, "volatility": 59.8, "traded_daily_cr": 71.0, "watch": "Nothing flagged", "from_12m_high": -31.4, "signal_rank": 11, "data_quality": "Green"}, {"rank": 5, "symbol": "RRKABEL", "isin": "INE777K01022", "qty": 6, "last_close": 2459.8, "amount": 14759.0, "spark_12m": "2.0,31.3 2.4,31.1 2.9,30.7 3.3,31.2 3.7,31.2 4.2,32.0 4.6,31.8 5.0,31.2 5.4,31.1 5.9,31.4 6.3,31.1 6.7,31.1 7.2,31.3 7.6,31.4 8.0,31.0 8.5,31.2 8.9,31.3 9.3,31.3 9.7,31.0 10.2,31.2 10.6,31.4 11.0,31.2 11.5,31.4 11.9,31.5 12.3,30.1 12.8,28.7 13.2,28.4 13.6,28.6 14.0,28.6 14.5,29.0 14.9,28.4 15.3,28.8 15.8,29.2 16.2,29.8 16.6,29.6 17.1,28.8 17.5,29.3 17.9,29.3 18.4,29.1 18.8,29.7 19.2,29.5 19.6,29.4 20.1,29.7 20.5,29.7 20.9,29.5 21.4,29.0 21.8,29.1 22.2,28.8 22.7,28.8 23.1,28.8 23.5,29.0 23.9,28.9 24.4,29.4 24.8,29.5 25.2,29.1 25.7,28.6 26.1,28.7 26.5,28.4 27.0,27.8 27.4,28.1 27.8,28.3 28.2,28.3 28.7,27.3 29.1,26.5 29.5,26.6 30.0,27.1 30.4,27.5 30.8,28.1 31.3,28.2 31.7,27.9 32.1,27.6 32.5,26.9 33.0,26.4 33.4,26.3 33.8,26.4 34.3,26.7 34.7,26.9 35.1,27.3 35.6,27.0 36.0,27.1 36.4,27.5 36.9,28.0 37.3,28.6 37.7,28.6 38.1,28.4 38.6,29.7 39.0,30.0 39.4,29.7 39.9,30.3 40.3,29.3 40.7,29.6 41.2,28.4 41.6,27.8 42.0,27.5 42.4,27.7 42.9,27.6 43.3,28.5 43.7,28.2 44.2,28.3 44.6,28.7 45.0,28.7 45.5,28.4 45.9,28.5 46.3,28.4 46.7,28.1 47.2,27.9 47.6,27.0 48.0,26.9 48.5,26.7 48.9,26.0 49.3,26.5 49.8,27.3 50.2,27.1 50.6,26.6 51.1,27.2 51.5,27.8 51.9,28.4 52.3,28.2 52.8,29.8 53.2,29.3 53.6,28.9 54.1,28.1 54.5,28.9 54.9,29.0 55.4,30.3 55.8,29.7 56.2,29.7 56.6,30.3 57.1,30.7 57.5,30.0 57.9,30.0 58.4,30.0 58.8,30.2 59.2,28.8 59.7,29.1 60.1,28.9 60.5,29.3 60.9,29.0 61.4,27.8 61.8,27.5 62.2,27.6 62.7,27.8 63.1,27.7 63.5,28.3 64.0,28.1 64.4,26.9 64.8,25.1 65.3,24.8 65.7,25.8 66.1,22.2 66.5,22.1 67.0,21.8 67.4,19.6 67.8,19.3 68.3,19.7 68.7,19.4 69.1,19.0 69.6,17.6 70.0,19.1 70.4,19.2 70.8,19.7 71.3,18.9 71.7,19.2 72.1,19.2 72.6,18.5 73.0,18.7 73.4,19.1 73.9,17.3 74.3,17.8 74.7,17.9 75.1,15.6 75.6,14.4 76.0,14.4 76.4,15.6 76.9,15.2 77.3,15.3 77.7,16.0 78.2,15.3 78.6,15.0 79.0,14.8 79.5,14.6 79.9,13.1 80.3,12.7 80.7,12.1 81.2,11.8 81.6,10.6 82.0,9.7 82.5,9.5 82.9,11.4 83.3,11.6 83.8,11.4 84.2,12.3 84.6,13.1 85.0,14.9 85.5,15.0 85.9,14.7 86.3,14.3 86.8,11.7 87.2,12.2 87.6,13.2 88.1,11.2 88.5,13.1 88.9,12.4 89.3,12.2 89.8,10.7 90.2,11.7 90.6,9.6 91.1,9.1 91.5,8.2 91.9,8.5 92.4,8.4 92.8,7.7 93.2,7.2 93.6,7.0 94.1,4.4 94.5,4.9 94.9,5.0 95.4,5.0 95.8,4.0 96.2,4.4 96.7,3.7 97.1,4.5 97.5,5.2 98.0,4.5 98.4,2.5 98.8,2.6 99.2,2.2 99.7,3.0 100.1,4.2 100.5,4.1 101.0,3.7 101.4,2.4 101.8,2.0 102.3,3.0 102.7,7.2 103.1,7.5 103.5,10.3 104.0,11.5 104.4,10.4 104.8,10.9 105.3,10.6 105.7,10.8 106.1,11.6 106.6,11.3 107.0,11.4 107.4,10.4 107.8,11.1 108.3,10.0 108.7,9.9 109.1,9.0 109.6,9.0 110.0,10.2", "ret_12_1": 126.0, "ret_6_1": 110.0, "ret_3_1": 18.2, "volatility": 44.0, "traded_daily_cr": 93.0, "watch": "Nothing flagged", "from_12m_high": -16.0, "signal_rank": 15, "data_quality": "Green"}, {"rank": 6, "symbol": "ACUTAAS", "isin": "INE00FF01025", "qty": 4, "last_close": 3214.4, "amount": 12858.0, "spark_12m": "2.0,30.2 2.4,30.2 2.9,30.3 3.3,30.3 3.7,30.8 4.2,31.5 4.6,31.6 5.0,32.0 5.4,31.2 5.9,31.1 6.3,30.9 6.7,30.9 7.2,30.9 7.6,30.7 8.0,30.1 8.5,29.7 8.9,29.7 9.3,29.1 9.7,29.0 10.2,27.8 10.6,26.4 11.0,26.1 11.5,26.7 11.9,27.4 12.3,26.8 12.8,27.0 13.2,27.3 13.6,27.1 14.0,26.8 14.5,25.8 14.9,25.5 15.3,26.3 15.8,26.4 16.2,26.4 16.6,26.5 17.1,27.1 17.5,27.4 17.9,27.0 18.4,27.1 18.8,27.0 19.2,26.9 19.6,26.8 20.1,27.2 20.5,25.0 20.9,26.1 21.4,26.0 21.8,26.1 22.2,25.4 22.7,26.2 23.1,26.6 23.5,26.7 23.9,27.1 24.4,27.1 24.8,27.8 25.2,27.6 25.7,27.4 26.1,27.7 26.5,27.6 27.0,28.1 27.4,27.2 27.8,27.7 28.2,28.0 28.7,27.8 29.1,27.4 29.5,27.2 30.0,27.8 30.4,27.8 30.8,27.8 31.3,27.7 31.7,27.1 32.1,26.5 32.5,26.6 33.0,26.3 33.4,26.4 33.8,26.4 34.3,26.7 34.7,27.4 35.1,27.5 35.6,27.4 36.0,27.1 36.4,27.2 36.9,27.4 37.3,28.1 37.7,28.4 38.1,27.9 38.6,27.8 39.0,26.8 39.4,25.1 39.9,24.2 40.3,24.5 40.7,24.2 41.2,23.8 41.6,23.5 42.0,23.6 42.4,23.6 42.9,23.4 43.3,22.8 43.7,23.0 44.2,22.2 44.6,23.2 45.0,22.9 45.5,22.4 45.9,21.6 46.3,22.1 46.7,22.0 47.2,21.5 47.6,21.5 48.0,21.3 48.5,21.1 48.9,21.4 49.3,21.0 49.8,22.1 50.2,20.4 50.6,20.2 51.1,21.4 51.5,20.5 51.9,21.0 52.3,21.0 52.8,22.3 53.2,21.3 53.6,19.6 54.1,20.1 54.5,20.3 54.9,18.3 55.4,20.0 55.8,17.9 56.2,16.7 56.6,16.5 57.1,16.3 57.5,19.2 57.9,22.0 58.4,20.7 58.8,20.7 59.2,19.2 59.7,19.3 60.1,18.8 60.5,18.4 60.9,19.7 61.4,19.1 61.8,18.8 62.2,18.2 62.7,18.7 63.1,18.0 63.5,18.5 64.0,18.4 64.4,17.1 64.8,17.5 65.3,17.0 65.7,15.9 66.1,14.9 66.5,15.1 67.0,14.7 67.4,14.2 67.8,14.1 68.3,13.2 68.7,14.0 69.1,12.9 69.6,14.2 70.0,14.2 70.4,13.3 70.8,12.2 71.3,12.3 71.7,10.8 72.1,11.4 72.6,11.7 73.0,10.3 73.4,10.8 73.9,9.1 74.3,10.5 74.7,10.3 75.1,9.1 75.6,8.7 76.0,6.6 76.4,6.8 76.9,8.3 77.3,8.2 77.7,9.2 78.2,8.9 78.6,9.5 79.0,10.8 79.5,10.8 79.9,9.0 80.3,7.7 80.7,7.6 81.2,7.3 81.6,7.4 82.0,7.0 82.5,3.6 82.9,4.1 83.3,3.6 83.8,2.0 84.2,2.0 84.6,4.3 85.0,5.8 85.5,5.0 85.9,5.0 86.3,5.7 86.8,4.5 87.2,5.0 87.6,3.9 88.1,3.4 88.5,3.0 88.9,2.5 89.3,2.2 89.8,2.4 90.2,5.0 90.6,7.5 91.1,6.1 91.5,7.0 91.9,6.9 92.4,7.8 92.8,9.4 93.2,9.3 93.6,7.9 94.1,7.2 94.5,7.5 94.9,7.0 95.4,7.2 95.8,7.7 96.2,8.8 96.7,9.4 97.1,7.8 97.5,8.3 98.0,5.8 98.4,7.9 98.8,8.1 99.2,8.6 99.7,8.6 100.1,6.8 100.5,7.5 101.0,6.6 101.4,7.2 101.8,8.7 102.3,8.6 102.7,9.1 103.1,8.2 103.5,8.6 104.0,8.5 104.4,8.5 104.8,7.7 105.3,5.1 105.7,5.9 106.1,7.4 106.6,6.4 107.0,6.8 107.4,5.2 107.8,5.4 108.3,8.1 108.7,7.4 109.1,7.2 109.6,7.3 110.0,8.1", "ret_12_1": 126.0, "ret_6_1": 36.7, "ret_3_1": -5.6, "volatility": 46.7, "traded_daily_cr": 101.0, "watch": "Nothing flagged", "from_12m_high": -13.0, "signal_rank": 16, "data_quality": "Green"}, {"rank": 7, "symbol": "DIACABS", "isin": "INE989C01038", "qty": 44, "last_close": 339.25, "amount": 14927.0, "spark_12m": "2.0,27.2 2.4,27.3 2.9,27.2 3.3,27.4 3.7,28.0 4.2,28.4 4.6,28.2 5.0,28.6 5.4,28.5 5.9,28.3 6.3,28.7 6.7,29.2 7.2,29.3 7.6,29.4 8.0,29.4 8.5,29.6 8.9,29.5 9.3,29.2 9.7,29.3 10.2,29.4 10.6,29.2 11.0,29.1 11.5,29.1 11.9,29.3 12.3,28.1 12.8,28.5 13.2,28.1 13.6,28.2 14.0,28.2 14.5,28.1 14.9,27.9 15.3,28.6 15.8,28.3 16.2,28.8 16.6,28.9 17.1,28.8 17.5,28.4 17.9,28.4 18.4,28.4 18.8,28.7 19.2,28.3 19.6,28.7 20.1,29.1 20.5,29.5 20.9,29.6 21.4,29.4 21.8,29.4 22.2,28.5 22.7,28.6 23.1,28.9 23.5,29.2 23.9,29.3 24.4,29.1 24.8,29.4 25.2,29.4 25.7,29.7 26.1,29.7 26.5,29.5 27.0,29.4 27.4,29.6 27.8,29.6 28.2,29.5 28.7,29.5 29.1,29.2 29.5,29.3 30.0,29.5 30.4,29.6 30.8,29.8 31.3,29.8 31.7,29.8 32.1,29.8 32.5,29.9 33.0,29.3 33.4,29.3 33.8,29.1 34.3,29.7 34.7,30.2 35.1,30.1 35.6,30.5 36.0,30.7 36.4,30.6 36.9,30.4 37.3,31.0 37.7,30.9 38.1,30.8 38.6,31.4 39.0,31.4 39.4,31.1 39.9,31.4 40.3,31.5 40.7,31.7 41.2,31.2 41.6,30.8 42.0,31.3 42.4,31.3 42.9,30.9 43.3,30.4 43.7,30.2 44.2,30.3 44.6,30.5 45.0,29.5 45.5,29.8 45.9,29.8 46.3,30.2 46.7,30.1 47.2,30.2 47.6,30.4 48.0,30.0 48.5,29.6 48.9,29.9 49.3,29.9 49.8,30.4 50.2,29.9 50.6,30.1 51.1,30.2 51.5,29.7 51.9,29.9 52.3,30.0 52.8,30.8 53.2,31.0 53.6,31.2 54.1,30.7 54.5,31.4 54.9,31.0 55.4,32.0 55.8,31.7 56.2,30.9 56.6,31.5 57.1,31.9 57.5,31.2 57.9,31.2 58.4,30.8 58.8,30.9 59.2,30.3 59.7,30.4 60.1,29.9 60.5,29.8 60.9,29.5 61.4,28.7 61.8,28.6 62.2,27.4 62.7,27.2 63.1,27.5 63.5,27.5 64.0,27.3 64.4,26.8 64.8,27.1 65.3,27.3 65.7,27.7 66.1,26.8 66.5,26.6 67.0,25.6 67.4,26.4 67.8,26.0 68.3,25.8 68.7,26.4 69.1,25.9 69.6,24.0 70.0,23.5 70.4,24.0 70.8,24.2 71.3,23.6 71.7,23.8 72.1,23.8 72.6,23.5 73.0,22.4 73.4,23.3 73.9,23.7 74.3,25.0 74.7,23.7 75.1,24.3 75.6,23.9 76.0,22.7 76.4,23.3 76.9,22.8 77.3,23.4 77.7,23.8 78.2,22.9 78.6,21.4 79.0,22.4 79.5,22.6 79.9,22.9 80.3,22.1 80.7,22.3 81.2,22.9 81.6,22.6 82.0,22.4 82.5,22.2 82.9,22.1 83.3,22.2 83.8,22.0 84.2,23.2 84.6,21.1 85.0,20.4 85.5,19.7 85.9,18.9 86.3,20.0 86.8,20.1 87.2,20.4 87.6,20.2 88.1,20.4 88.5,20.7 88.9,18.3 89.3,15.6 89.8,15.6 90.2,15.1 90.6,12.8 91.1,11.5 91.5,10.0 91.9,8.2 92.4,9.2 92.8,9.7 93.2,9.8 93.6,10.5 94.1,8.8 94.5,7.0 94.9,5.3 95.4,5.7 95.8,5.5 96.2,4.9 96.7,5.0 97.1,4.8 97.5,5.8 98.0,4.9 98.4,5.8 98.8,6.4 99.2,6.2 99.7,6.5 100.1,8.0 100.5,8.1 101.0,8.1 101.4,6.9 101.8,7.1 102.3,7.9 102.7,8.9 103.1,9.8 103.5,8.8 104.0,8.7 104.4,8.3 104.8,8.5 105.3,6.7 105.7,4.8 106.1,2.8 106.6,2.0 107.0,4.0 107.4,5.0 107.8,4.0 108.3,4.6 108.7,3.8 109.1,5.7 109.6,6.4 110.0,8.0", "ret_12_1": 124.0, "ret_6_1": 180.0, "ret_3_1": 61.7, "volatility": 53.6, "traded_daily_cr": 51.0, "watch": "Nothing flagged", "from_12m_high": -14.1, "signal_rank": 17, "data_quality": "Green"}, {"rank": 8, "symbol": "KIRLOSENG", "isin": "INE146L01010", "qty": 7, "last_close": 2141.2, "amount": 14988.0, "spark_12m": "2.0,30.3 2.4,30.3 2.9,30.5 3.3,30.2 3.7,30.7 4.2,31.2 4.6,31.1 5.0,31.1 5.4,31.0 5.9,31.4 6.3,31.6 6.7,31.8 7.2,31.8 7.6,31.8 8.0,31.6 8.5,31.7 8.9,32.0 9.3,31.9 9.7,31.8 10.2,31.6 10.6,31.8 11.0,31.6 11.5,31.5 11.9,31.5 12.3,30.7 12.8,29.6 13.2,29.4 13.6,29.4 14.0,29.7 14.5,29.4 14.9,29.4 15.3,29.9 15.8,30.3 16.2,30.5 16.6,30.7 17.1,28.7 17.5,28.2 17.9,28.1 18.4,27.7 18.8,27.2 19.2,26.6 19.6,26.5 20.1,26.8 20.5,27.4 20.9,26.9 21.4,27.1 21.8,27.2 22.2,27.5 22.7,27.6 23.1,27.7 23.5,28.2 23.9,26.8 24.4,27.4 24.8,28.0 25.2,27.5 25.7,27.7 26.1,27.6 26.5,27.1 27.0,27.3 27.4,25.7 27.8,24.7 28.2,24.6 28.7,25.4 29.1,24.2 29.5,24.4 30.0,25.0 30.4,24.9 30.8,25.8 31.3,25.7 31.7,25.8 32.1,25.6 32.5,25.1 33.0,25.2 33.4,25.3 33.8,25.8 34.3,26.5 34.7,26.9 35.1,27.5 35.6,27.0 36.0,26.7 36.4,26.7 36.9,27.4 37.3,27.9 37.7,27.9 38.1,27.7 38.6,28.0 39.0,28.0 39.4,27.7 39.9,27.6 40.3,26.6 40.7,27.0 41.2,26.5 41.6,25.6 42.0,26.2 42.4,26.7 42.9,25.8 43.3,25.0 43.7,23.9 44.2,23.7 44.6,23.0 45.0,22.4 45.5,22.1 45.9,22.3 46.3,22.2 46.7,22.3 47.2,22.6 47.6,22.7 48.0,22.5 48.5,22.7 48.9,22.7 49.3,22.5 49.8,22.3 50.2,21.4 50.6,20.6 51.1,21.6 51.5,21.9 51.9,21.7 52.3,21.4 52.8,21.7 53.2,21.4 53.6,21.9 54.1,22.0 54.5,22.2 54.9,23.0 55.4,24.6 55.8,23.9 56.2,22.7 56.6,23.5 57.1,23.9 57.5,23.2 57.9,22.9 58.4,22.3 58.8,22.6 59.2,21.4 59.7,21.6 60.1,21.3 60.5,21.1 60.9,19.1 61.4,18.8 61.8,18.7 62.2,18.4 62.7,17.9 63.1,18.4 63.5,18.9 64.0,19.2 64.4,17.6 64.8,16.9 65.3,17.3 65.7,17.3 66.1,16.9 66.5,16.6 67.0,17.1 67.4,16.8 67.8,16.8 68.3,18.0 68.7,19.8 69.1,19.1 69.6,19.1 70.0,16.6 70.4,17.3 70.8,18.0 71.3,17.9 71.7,17.7 72.1,17.8 72.6,17.2 73.0,16.4 73.4,15.0 73.9,13.3 74.3,13.4 74.7,14.5 75.1,13.9 75.6,12.9 76.0,13.5 76.4,14.6 76.9,14.6 77.3,15.2 77.7,15.6 78.2,13.9 78.6,13.2 79.0,13.4 79.5,12.2 79.9,12.3 80.3,12.1 80.7,5.1 81.2,3.0 81.6,2.0 82.0,3.4 82.5,4.2 82.9,5.5 83.3,5.9 83.8,6.3 84.2,7.9 84.6,7.3 85.0,7.2 85.5,7.1 85.9,4.5 86.3,3.3 86.8,4.3 87.2,5.6 87.6,4.6 88.1,5.0 88.5,7.5 88.9,8.1 89.3,8.1 89.8,8.7 90.2,8.8 90.6,8.7 91.1,7.0 91.5,8.6 91.9,8.8 92.4,9.6 92.8,8.6 93.2,8.0 93.6,7.1 94.1,7.7 94.5,7.6 94.9,9.1 95.4,9.7 95.8,10.2 96.2,11.0 96.7,10.9 97.1,10.2 97.5,10.2 98.0,9.8 98.4,10.6 98.8,9.3 99.2,10.2 99.7,10.8 100.1,11.5 100.5,11.3 101.0,10.2 101.4,9.8 101.8,10.2 102.3,9.5 102.7,9.1 103.1,7.2 103.5,8.4 104.0,8.9 104.4,7.1 104.8,8.1 105.3,8.3 105.7,9.0 106.1,11.2 106.6,11.3 107.0,9.8 107.4,9.1 107.8,9.6 108.3,9.1 108.7,8.1 109.1,9.1 109.6,9.6 110.0,9.5", "ret_12_1": 123.0, "ret_6_1": 58.2, "ret_3_1": -11.2, "volatility": 49.9, "traded_daily_cr": 87.0, "watch": "Nothing flagged", "from_12m_high": -16.5, "signal_rank": 18, "data_quality": "Green"}, {"rank": 9, "symbol": "E2E", "isin": "INE255Z01027", "qty": 23, "last_close": 625.9, "amount": 14396.0, "spark_12m": "2.0,25.4 2.4,24.4 2.9,23.5 3.3,24.3 3.7,23.7 4.2,22.9 4.6,23.7 5.0,24.4 5.4,23.4 5.9,22.4 6.3,21.3 6.7,21.1 7.2,21.2 7.6,22.8 8.0,23.1 8.5,23.8 8.9,24.4 9.3,24.4 9.7,24.3 10.2,24.1 10.6,24.5 11.0,24.4 11.5,24.3 11.9,25.2 12.3,24.5 12.8,24.9 13.2,25.1 13.6,24.9 14.0,25.0 14.5,25.3 14.9,24.9 15.3,25.3 15.8,25.1 16.2,25.3 16.6,26.1 17.1,26.1 17.5,26.8 17.9,27.8 18.4,28.0 18.8,28.1 19.2,28.0 19.6,28.1 20.1,28.8 20.5,29.7 20.9,29.7 21.4,29.6 21.8,29.8 22.2,30.1 22.7,30.0 23.1,30.5 23.5,30.9 23.9,30.5 24.4,31.0 24.8,31.6 25.2,30.8 25.7,31.2 26.1,31.1 26.5,31.1 27.0,31.1 27.4,31.5 27.8,31.6 28.2,31.7 28.7,31.3 29.1,31.2 29.5,31.1 30.0,31.2 30.4,31.4 30.8,32.0 31.3,31.9 31.7,31.8 32.1,31.7 32.5,31.6 33.0,31.2 33.4,31.5 33.8,31.6 34.3,31.5 34.7,31.5 35.1,31.6 35.6,31.8 36.0,31.6 36.4,30.3 36.9,30.2 37.3,30.8 37.7,31.3 38.1,31.2 38.6,31.5 39.0,31.5 39.4,31.3 39.9,31.5 40.3,31.0 40.7,29.0 41.2,28.0 41.6,29.0 42.0,29.5 42.4,28.7 42.9,27.8 43.3,28.2 43.7,27.9 44.2,28.4 44.6,28.8 45.0,28.2 45.5,28.3 45.9,26.5 46.3,25.8 46.7,26.4 47.2,28.2 47.6,29.0 48.0,28.3 48.5,28.0 48.9,28.2 49.3,28.9 49.8,29.7 50.2,29.7 50.6,29.8 51.1,29.9 51.5,29.1 51.9,29.4 52.3,29.6 52.8,29.9 53.2,30.4 53.6,30.5 54.1,30.1 54.5,30.0 54.9,30.1 55.4,30.7 55.8,30.7 56.2,30.2 56.6,30.9 57.1,31.4 57.5,30.8 57.9,30.2 58.4,29.9 58.8,29.6 59.2,28.9 59.7,29.1 60.1,29.0 60.5,28.9 60.9,28.1 61.4,27.4 61.8,26.8 62.2,27.4 62.7,26.6 63.1,26.0 63.5,26.2 64.0,26.2 64.4,25.3 64.8,25.7 65.3,26.0 65.7,26.3 66.1,26.6 66.5,25.8 67.0,24.9 67.4,23.9 67.8,23.0 68.3,21.9 68.7,23.0 69.1,24.1 69.6,24.0 70.0,24.9 70.4,25.5 70.8,24.5 71.3,23.6 71.7,23.1 72.1,22.1 72.6,21.3 73.0,20.2 73.4,19.8 73.9,20.0 74.3,18.8 74.7,17.5 75.1,18.8 75.6,17.6 76.0,16.3 76.4,17.6 76.9,19.0 77.3,20.2 77.7,21.4 78.2,20.3 78.6,21.1 79.0,20.6 79.5,20.3 79.9,19.1 80.3,17.9 80.7,16.6 81.2,17.5 81.6,18.4 82.0,18.7 82.5,19.8 82.9,19.7 83.3,19.3 83.8,20.2 84.2,20.6 84.6,20.6 85.0,21.3 85.5,20.8 85.9,19.6 86.3,19.6 86.8,20.3 87.2,19.8 87.6,18.8 88.1,18.1 88.5,19.2 88.9,18.0 89.3,16.7 89.8,15.3 90.2,13.9 90.6,12.4 91.1,10.8 91.5,12.4 91.9,13.9 92.4,13.8 92.8,12.3 93.2,10.8 93.6,9.1 94.1,7.4 94.5,6.9 94.9,8.8 95.4,7.1 95.8,5.6 96.2,5.3 96.7,5.1 97.1,3.2 97.5,2.0 98.0,3.3 98.4,5.4 98.8,5.8 99.2,5.9 99.7,6.5 100.1,7.5 100.5,6.5 101.0,6.2 101.4,6.3 101.8,6.1 102.3,6.0 102.7,6.8 103.1,7.7 103.5,7.2 104.0,5.4 104.4,6.2 104.8,7.0 105.3,6.9 105.7,6.6 106.1,8.5 106.6,7.3 107.0,7.0 107.4,6.8 107.8,7.7 108.3,7.0 108.7,5.1 109.1,4.4 109.6,4.1 110.0,5.7", "ret_12_1": 109.0, "ret_6_1": 186.0, "ret_3_1": 56.0, "volatility": 56.2, "traded_daily_cr": 49.0, "watch": "Nothing flagged", "from_12m_high": -8.8, "signal_rank": 20, "data_quality": "Green"}, {"rank": 10, "symbol": "LAURUSLABS", "isin": "INE947Q01028", "qty": 7, "last_close": 2010.7, "amount": 14075.0, "spark_12m": "2.0,29.5 2.4,30.2 2.9,30.1 3.3,30.1 3.7,30.4 4.2,32.0 4.6,31.8 5.0,31.8 5.4,31.0 5.9,31.2 6.3,31.2 6.7,31.2 7.2,31.5 7.6,31.2 8.0,30.9 8.5,31.0 8.9,30.9 9.3,30.9 9.7,31.0 10.2,30.3 10.6,29.8 11.0,29.7 11.5,29.5 11.9,29.7 12.3,29.3 12.8,28.8 13.2,28.8 13.6,28.6 14.0,29.0 14.5,28.4 14.9,28.2 15.3,28.3 15.8,28.3 16.2,27.8 16.6,28.2 17.1,28.1 17.5,27.9 17.9,27.8 18.4,27.3 18.8,27.6 19.2,28.1 19.6,28.1 20.1,28.4 20.5,28.3 20.9,28.4 21.4,28.1 21.8,27.7 22.2,27.0 22.7,27.1 23.1,27.3 23.5,27.4 23.9,27.5 24.4,27.2 24.8,27.7 25.2,27.3 25.7,27.4 26.1,27.3 26.5,27.5 27.0,27.7 27.4,27.8 27.8,27.6 28.2,27.4 28.7,26.7 29.1,26.2 29.5,26.1 30.0,25.7 30.4,25.7 30.8,25.8 31.3,25.5 31.7,25.1 32.1,25.1 32.5,25.2 33.0,25.2 33.4,24.9 33.8,24.6 34.3,25.3 34.7,25.7 35.1,26.7 35.6,26.4 36.0,25.6 36.4,25.9 36.9,26.2 37.3,26.9 37.7,28.1 38.1,27.7 38.6,27.4 39.0,27.8 39.4,27.8 39.9,28.5 40.3,28.7 40.7,29.0 41.2,28.4 41.6,28.3 42.0,28.7 42.4,29.0 42.9,28.2 43.3,28.7 43.7,27.5 44.2,27.3 44.6,27.5 45.0,27.5 45.5,27.5 45.9,26.9 46.3,27.3 46.7,27.3 47.2,27.4 47.6,27.1 48.0,25.9 48.5,25.5 48.9,25.9 49.3,26.2 49.8,27.0 50.2,26.7 50.6,27.2 51.1,27.3 51.5,26.9 51.9,26.8 52.3,26.6 52.8,27.7 53.2,28.8 53.6,28.6 54.1,28.2 54.5,29.2 54.9,28.1 55.4,28.8 55.8,28.0 56.2,27.2 56.6,27.6 57.1,28.0 57.5,26.8 57.9,26.7 58.4,26.4 58.8,26.4 59.2,25.8 59.7,25.7 60.1,25.4 60.5,25.6 60.9,24.9 61.4,24.6 61.8,24.4 62.2,24.6 62.7,25.0 63.1,25.4 63.5,24.6 64.0,25.0 64.4,24.7 64.8,25.6 65.3,25.2 65.7,25.3 66.1,23.7 66.5,23.7 67.0,23.4 67.4,22.7 67.8,22.1 68.3,21.2 68.7,21.1 69.1,20.8 69.6,19.9 70.0,19.7 70.4,19.6 70.8,19.2 71.3,18.8 71.7,19.1 72.1,19.2 72.6,18.9 73.0,18.5 73.4,18.3 73.9,18.8 74.3,18.1 74.7,18.3 75.1,18.0 75.6,17.1 76.0,16.7 76.4,17.7 76.9,17.2 77.3,18.2 77.7,18.1 78.2,18.0 78.6,18.1 79.0,18.4 79.5,18.6 79.9,18.6 80.3,17.5 80.7,16.9 81.2,15.8 81.6,16.5 82.0,16.6 82.5,15.3 82.9,14.9 83.3,15.5 83.8,14.6 84.2,14.3 84.6,14.6 85.0,15.9 85.5,16.1 85.9,15.1 86.3,14.4 86.8,13.9 87.2,13.8 87.6,14.0 88.1,13.9 88.5,14.6 88.9,13.9 89.3,13.0 89.8,13.4 90.2,13.6 90.6,12.8 91.1,10.0 91.5,8.9 91.9,8.3 92.4,8.3 92.8,7.4 93.2,7.6 93.6,6.6 94.1,7.0 94.5,7.1 94.9,6.7 95.4,6.5 95.8,6.4 96.2,6.6 96.7,6.6 97.1,8.2 97.5,7.6 98.0,7.5 98.4,7.8 98.8,7.2 99.2,7.8 99.7,7.8 100.1,6.2 100.5,5.7 101.0,4.6 101.4,4.4 101.8,5.0 102.3,6.3 102.7,6.2 103.1,6.1 103.5,6.8 104.0,5.9 104.4,4.2 104.8,4.4 105.3,4.2 105.7,3.6 106.1,4.7 106.6,5.2 107.0,4.1 107.4,4.0 107.8,2.4 108.3,2.7 108.7,2.0 109.1,2.2 109.6,2.7 110.0,2.6", "ret_12_1": 109.0, "ret_6_1": 94.4, "ret_3_1": 27.2, "volatility": 28.1, "traded_daily_cr": 300.0, "watch": "Nothing flagged", "from_12m_high": -1.1, "signal_rank": 21, "data_quality": "Green"}]}, "prices": {"TDPOWERSYS": {"2026-09-28": {"open": 730.05, "close": 722.0, "src": "yahoo"}, "2026-09-29": {"open": 719.0, "close": 777.35, "src": "bhavcopy"}, "2026-09-30": {"open": 783.0, "close": 786.05, "src": "bhavcopy"}, "2026-10-01": {"open": 779.9, "close": 792.15, "src": "bhavcopy"}, "2026-10-05": {"open": 801.0, "close": 812.9, "src": "bhavcopy"}, "2026-10-02": {"open": 792.15, "close": 792.15, "src": "yahoo"}, "2026-10-06": {"open": 810.0, "close": 816.0, "src": "bhavcopy"}, "2026-10-07": {"open": 818.0, "close": 821.1, "src": "bhavcopy"}, "2026-10-08": {"open": 835.0, "close": 793.5, "src": "bhavcopy"}, "2026-10-09": {"open": 795.0, "close": 793.75, "src": "bhavcopy"}, "2026-10-12": {"open": 800.0, "close": 825.65, "src": "bhavcopy"}, "2026-10-13": {"open": 830.0, "close": 797.85, "src": "bhavcopy"}, "2026-10-</t>
        </is>
      </c>
    </row>
    <row r="2">
      <c r="A2" t="inlineStr">
        <is>
          <t>14": {"open": 796.0, "close": 783.7, "src": "bhavcopy"}, "2026-10-15": {"open": 769.7, "close": 734.75, "src": "bhavcopy"}, "2026-10-16": {"open": 737.8, "close": 735.15, "src": "bhavcopy"}, "2026-10-19": {"open": 735.15, "close": 737.0, "src": "bhavcopy"}, "2026-10-21": {"open": 737.0, "close": 689.35, "src": "bhavcopy"}, "2026-10-22": {"open": 688.0, "close": 673.4, "src": "bhavcopy"}, "2026-10-23": {"open": 659.9, "close": 639.55, "src": "bhavcopy"}}, "AEROFLEX": {"2026-09-28": {"open": 524.25, "close": 513.4, "src": "yahoo"}, "2026-09-29": {"open": 511.3, "close": 539.6, "src": "bhavcopy"}, "2026-09-30": {"open": 539.6, "close": 536.6, "src": "bhavcopy"}, "2026-10-01": {"open": 540.0, "close": 521.35, "src": "bhavcopy"}, "2026-10-05": {"open": 524.0, "close": 544.35, "src": "bhavcopy"}, "2026-10-02": {"open": 521.35, "close": 521.35, "src": "yahoo"}, "2026-10-06": {"open": 549.7, "close": 560.75, "src": "bhavcopy"}, "2026-10-07": {"open": 566.4, "close": 563.85, "src": "bhavcopy"}, "2026-10-08": {"open": 572.05, "close": 529.0, "src": "bhavcopy"}, "2026-10-09": {"open": 535.0, "close": 520.5, "src": "bhavcopy"}, "2026-10-12": {"open": 530.0, "close": 567.9, "src": "bhavcopy"}, "2026-10-13": {"open": 571.0, "close": 557.6, "src": "bhavcopy"}, "2026-10-14": {"open": 559.0, "close": 568.7, "src": "bhavcopy"}, "2026-10-15": {"open": 560.1, "close": 510.95, "src": "bhavcopy"}, "2026-10-16": {"open": 516.4, "close": 525.8, "src": "bhavcopy"}, "2026-10-19": {"open": 526.05, "close": 505.2, "src": "bhavcopy"}, "2026-10-21": {"open": 509.95, "close": 488.95, "src": "bhavcopy"}, "2026-10-22": {"open": 487.0, "close": 479.45, "src": "bhavcopy"}, "2026-10-23": {"open": 470.0, "close": 451.3, "src": "bhavcopy"}}, "E2E": {"2026-09-28": {"open": 650.0, "close": 625.9, "src": "yahoo"}, "2026-09-29": {"open": 619.55, "close": 651.8, "src": "bhavcopy"}, "2026-09-30": {"open": 655.05, "close": 650.5, "src": "bhavcopy"}, "2026-10-01": {"open": 647.0, "close": 648.0, "src": "bhavcopy"}, "2026-10-05": {"open": 659.9, "close": 656.1, "src": "bhavcopy"}, "2026-10-06": {"open": 665.0, "close": 688.9, "src": "bhavcopy"}, "2026-10-07": {"open": 678.9, "close": 723.3, "src": "bhavcopy"}, "2026-10-08": {"open": 744.0, "close": 714.15, "src": "bhavcopy"}, "2026-10-09": {"open": 705.0, "close": 704.6, "src": "bhavcopy"}, "2026-10-12": {"open": 700.0, "close": 735.55, "src": "bhavcopy"}, "2026-10-13": {"open": 735.0, "close": 735.75, "src": "bhavcopy"}, "2026-10-14": {"open": 732.0, "close": 748.3, "src": "bhavcopy"}, "2026-10-15": {"open": 710.9, "close": 710.9, "src": "bhavcopy"}, "2026-10-16": {"open": 699.95, "close": 694.85, "src": "bhavcopy"}, "2026-10-19": {"open": 668.0, "close": 660.15, "src": "bhavcopy"}, "2026-10-21": {"open": 627.15, "close": 627.15, "src": "bhavcopy"}, "2026-10-22": {"open": 595.8, "close": 595.8, "src": "bhavcopy"}, "2026-10-23": {"open": 566.05, "close": 566.05, "src": "bhavcopy"}}, "LAURUSLABS": {"2026-09-28": {"open": 2000.0, "close": 2010.7, "src": "yahoo"}, "2026-09-29": {"open": 2020.7, "close": 1979.0, "src": "bhavcopy"}, "2026-09-30": {"open": 1993.0, "close": 1980.0, "src": "bhavcopy"}, "2026-10-01": {"open": 1973.6, "close": 1984.0, "src": "bhavcopy"}, "2026-10-05": {"open": 1994.0, "close": 1971.4, "src": "bhavcopy"}, "2026-10-02": {"open": 1984.0, "close": 1984.0, "src": "yahoo"}, "2026-10-06": {"open": 1968.9, "close": 2050.0, "src": "bhavcopy"}, "2026-10-07": {"open": 2052.0, "close": 2052.8, "src": "bhavcopy"}, "2026-10-08": {"open": 2055.0, "close": 1997.9, "src": "bhavcopy"}, "2026-10-09": {"open": 1997.9, "close": 2036.6, "src": "bhavcopy"}, "2026-10-12": {"open": 2044.1, "close": 2069.2, "src": "bhavcopy"}, "2026-10-13": {"open": 2047.1, "close": 2059.4, "src": "bhavcopy"}, "2026-10-14": {"open": 2049.0, "close": 2036.9, "src": "bhavcopy"}, "2026-10-15": {"open": 2025.0, "close": 2018.5, "src": "bhavcopy"}, "2026-10-16": {"open": 2030.4, "close": 2060.1, "src": "bhavcopy"}, "2026-10-19": {"open": 2060.1, "close": 2069.0, "src": "bhavcopy"}, "2026-10-21": {"open": 2052.9, "close": 2012.5, "src": "bhavcopy"}, "2026-10-22": {"open": 1993.5, "close": 2002.5, "src": "bhavcopy"}, "2026-10-23": {"open": 1987.5, "close": 1970.0, "src": "bhavcopy"}}, "NIFTY50": {"2026-09-28": {"open": 23064.9, "close": 22780.25, "src": "yahoo"}, "2026-09-29": {"open": 22732.45, "close": 22716.2, "src": "bhavcopy"}, "2026-09-30": {"open": 22665.0, "close": 22620.45, "src": "bhavcopy"}, "2026-10-01": {"open": 22543.7, "close": 22421.95, "src": "bhavcopy"}, "2026-10-05": {"open": 22532.4, "close": 22555.75, "src": "bhavcopy"}, "2026-10-06": {"open": 22603.25, "close": 22776.1, "src": "bhavcopy"}, "2026-10-07": {"open": 22690.45, "close": 22603.05, "src": "bhavcopy"}, "2026-10-08": {"open": 22599.05, "close": 22231.8, "src": "bhavcopy"}, "2026-10-09": {"open": 22314.95, "close": 22520.45, "src": "bhavcopy"}, "2026-10-12": {"open": 22593.2, "close": 22363.35, "src": "yahoo"}, "2026-10-13": {"open": 22364.15, "close": 22721.95, "src": "bhavcopy"}, "2026-10-14": {"open": 22715.75, "close": 22622.7, "src": "yahoo"}, "2026-10-15": {"open": 22671.3, "close": 22997.35, "src": "bhavcopy"}, "2026-10-16": {"open": 23065.1, "close": 23146.15, "src": "bhavcopy"}, "2026-10-19": {"open": 23150.85, "close": 22888.95, "src": "bhavcopy"}, "2026-10-21": {"open": 23016.0, "close": 22811.35, "src": "bhavcopy"}, "2026-10-22": {"open": 22687.75, "close": 22687.65, "src": "bhavcopy"}, "2026-10-23": {"open": 22742.2, "close": 22600.0, "src": "bhavcopy"}}, "ATHERENERG": {"2026-09-28": {"open": 1495.0, "close": 1454.9, "src": "yahoo"}, "2026-09-29": {"open": 1460.2, "close": 1407.0, "src": "bhavcopy"}, "2026-09-30": {"open": 1416.5, "close": 1425.0, "src": "bhavcopy"}, "2026-10-01": {"open": 1422.0, "close": 1406.1, "src": "bhavcopy"}, "2026-10-05": {"open": 1411.1, "close": 1409.9, "src": "bhavcopy"}, "2026-10-02": {"open": 1406.1, "close": 1406.1, "src": "yahoo"}, "2026-10-06": {"open": 1408.7, "close": 1446.0, "src": "bhavcopy"}, "2026-10-07": {"open": 1436.0, "close": 1455.0, "src": "bhavcopy"}, "2026-10-08": {"open": 1454.5, "close": 1406.0, "src": "bhavcopy"}, "2026-10-09": {"open": 1406.0, "close": 1434.4, "src": "bhavcopy"}, "2026-10-12": {"open": 1435.0, "close": 1511.0, "src": "bhavcopy"}, "2026-10-13": {"open": 1480.0, "close": 1494.9, "src": "bhavcopy"}, "2026-10-14": {"open": 1491.0, "close": 1467.0, "src": "bhavcopy"}, "2026-10-15": {"open": 1470.7, "close": 1470.0, "src": "bhavcopy"}, "2026-10-16": {"open": 1474.4, "close": 1470.0, "src": "bhavcopy"}, "2026-10-19": {"open": 1470.0, "close": 1459.0, "src": "bhavcopy"}, "2026-10-21": {"open": 1467.2, "close": 1447.2, "src": "bhavcopy"}, "2026-10-22": {"open": 1438.0, "close": 1425.3, "src": "bhavcopy"}, "2026-10-23": {"open": 1431.0, "close": 1380.0, "src": "bhavcopy"}}, "THANGAMAYL": {"2026-09-28": {"open": 5100.0, "close": 5011.5, "src": "yahoo"}, "2026-09-29": {"open": 5010.0, "close": 5204.5, "src": "bhavcopy"}, "2026-09-30": {"open": 5210.5, "close": 5062.0, "src": "bhavcopy"}, "2026-10-01": {"open": 5087.5, "close": 4861.0, "src": "bhavcopy"}, "2026-10-05": {"open": 4870.0, "close": 4747.0, "src": "bhavcopy"}, "2026-10-06": {"open": 4794.0, "close": 4758.5, "src": "bhavcopy"}, "2026-10-07": {"open": 4758.5, "close": 4803.0, "src": "bhavcopy"}, "2026-10-08": {"open": 4840.0, "close": 4810.5, "src": "bhavcopy"}, "2026-10-09": {"open": 4800.5, "close": 4889.5, "src": "bhavcopy"}, "2026-10-12": {"open": 4949.5, "close": 4890.5, "src": "bhavcopy"}, "2026-10-13": {"open": 4860.0, "close": 4900.5, "src": "bhavcopy"}, "2026-10-14": {"open": 4940.0, "close": 4849.5, "src": "bhavcopy"}, "2026-10-15": {"open": 4849.5, "close": 4791.0, "src": "bhavcopy"}, "2026-10-16": {"open": 4775.0, "close": 5098.0, "src": "bhavcopy"}, "2026-10-19": {"open": 5122.5, "close": 5017.5, "src": "bhavcopy"}, "2026-10-21": {"open": 5017.5, "close": 4860.5, "src": "bhavcopy"}, "2026-10-22": {"open": 4844.0, "close": 4782.5, "src": "bhavcopy"}, "2026-10-23": {"open": 4755.0, "close": 4690.5, "src": "bhavcopy"}}, "RRKABEL": {"2026-09-28": {"open": 2530.4, "close": 2459.8, "src": "yahoo"}, "2026-09-29": {"open": 2459.8, "close": 2523.2, "src": "bhavcopy"}, "2026-09-30": {"open": 2530.0, "close": 2518.6, "src": "bhavcopy"}, "2026-10-01": {"open": 2524.0, "close": 2518.2, "src": "bhavcopy"}, "2026-10-05": {"open": 2541.5, "close": 2648.0, "src": "bhavcopy"}, "2026-10-06": {"open": 2667.0, "close": 2789.7, "src": "bhavcopy"}, "2026-10-02": {"open": 2518.2, "close": 2518.2, "src": "yahoo"}, "2026-10-07": {"open": 2785.0, "close": 2722.5, "src": "bhavcopy"}, "2026-10-08": {"open": 2701.0, "close": 2696.4, "src": "bhavcopy"}, "2026-10-09": {"open": 2700.0, "close": 2705.6, "src": "bhavcopy"}, "2026-10-12": {"open": 2731.8, "close": 2721.5, "src": "bhavcopy"}, "2026-10-13": {"open": 2720.0, "close": 2614.2, "src": "bhavcopy"}, "2026-10-14": {"open": 2634.0, "close": 2664.1, "src": "bhavcopy"}, "2026-10-15": {"open": 2640.0, "close": 2603.9, "src": "bhavcopy"}, "2026-10-16": {"open": 2607.0, "close": 2388.0, "src": "bhavcopy"}, "2026-10-19": {"open": 2377.5, "close": 2387.8, "src": "bhavcopy"}, "2026-10-21": {"open": 2356.0, "close": 2327.8, "src": "bhavcopy"}, "2026-10-22": {"open": 2302.0, "close": 2263.1, "src": "bhavcopy"}, "2026-10-23": {"open": 2260.0, "close": 2140.0, "src": "bhavcopy"}}, "ACUTAAS": {"2026-09-28": {"open": 3272.5, "close": 3214.4, "src": "yahoo"}, "2026-09-29": {"open": 3290.0, "close": 3304.1, "src": "bhavcopy"}, "2026-09-30": {"open": 3334.1, "close": 3279.4, "src": "bhavcopy"}, "2026-10-01": {"open": 3249.0, "close": 3196.5, "src": "bhavcopy"}, "2026-10-05": {"open": 3204.1, "close": 3122.2, "src": "bhavcopy"}, "2026-10-02": {"open": 3196.5, "close": 3196.5, "src": "yahoo"}, "2026-10-06": {"open": 3140.0, "close": 3156.7, "src": "bhavcopy"}, "2026-10-07": {"open": 3160.0, "close": 3174.2, "src": "bhavcopy"}, "2026-10-08": {"open": 3174.6, "close": 3056.7, "src": "bhavcopy"}, "2026-10-09": {"open": 3059.0, "close": 3160.6, "src": "bhavcopy"}, "2026-10-12": {"open": 3160.0, "close": 3144.1, "src": "bhavcopy"}, "2026-10-13": {"open": 3160.0, "close": 3176.7, "src": "bhavcopy"}, "2026-10-14": {"open": 3176.9, "close": 3160.5, "src": "bhavcopy"}, "2026-10-15": {"open": 3179.0, "close": 3132.5, "src": "bhavcopy"}, "2026-10-16": {"open": 3132.5, "close": 3206.0, "src": "bhavcopy"}, "2026-10-19": {"open": 3275.0, "close": 3253.4, "src": "bhavcopy"}, "2026-10-21": {"open": 3262.9, "close": 3152.4, "src": "bhavcopy"}, "2026-10-22": {"open": 3152.1, "close": 3215.3, "src": "bhavcopy"}, "2026-10-23": {"open": 3219.4, "close": 3137.7, "src": "bhavcopy"}}, "DIACABS": {"2026-09-28": {"open": 353.0, "close": 339.25, "src": "yahoo"}, "2026-09-29": {"open": 336.9, "close": 352.05, "src": "bhavcopy"}, "2026-09-30": {"open": 349.5, "close": 354.2, "src": "bhavcopy"}, "2026-10-01": {"open": 355.0, "close": 345.0, "src": "bhavcopy"}, "2026-10-05": {"open": 350.0, "close": 350.8, "src": "bhavcopy"}, "2026-10-06": {"open": 350.0, "close": 368.3, "src": "bhavcopy"}, "2026-10-02": {"open": 345.0, "close": 345.0, "src": "yahoo"}, "2026-10-07": {"open": 367.0, "close": 369.15, "src": "bhavcopy"}, "2026-10-08": {"open": 374.9, "close": 371.9, "src": "bhavcopy"}, "2026-10-09": {"open": 370.0, "close": 380.95, "src": "bhavcopy"}, "2026-10-12": {"open": 380.95, "close": 379.7, "src": "bhavcopy"}, "2026-10-13": {"open": 376.7, "close": 377.55, "src": "bhavcopy"}, "2026-10-14": {"open": 377.55, "close": 378.75, "src": "bhavcopy"}, "2026-10-15": {"open": 377.75, "close": 373.75, "src": "bhavcopy"}, "2026-10-16": {"open": 367.3, "close": 362.4, "src": "bhavcopy"}, "2026-10-19": {"open": 359.0, "close": 345.85, "src": "bhavcopy"}, "2026-10-21": {"open": 345.85, "close": 337.85, "src": "bhavcopy"}, "2026-10-22": {"open": 337.0, "close": 326.65, "src": "bhavcopy"}, "2026-10-23": {"open": 320.0, "close": 315.05, "src": "bhavcopy"}}, "KIRLOSENG": {"2026-09-28": {"open": 2138.1, "close": 2141.2, "src": "yahoo"}, "2026-09-29": {"open": 2141.2, "close": 2402.0, "src": "bhavcopy"}, "2026-09-30": {"open": 2358.0, "close": 2304.2, "src": "bhavcopy"}, "2026-10-01": {"open": 2310.7, "close": 2242.7, "src": "bhavcopy"}, "2026-10-05": {"open": 2265.0, "close": 2243.7, "src": "bhavcopy"}, "2026-10-06": {"open": 2258.8, "close": 2266.1, "src": "bhavcopy"}, "2026-10-02": {"open": 2242.7, "close": 2242.7, "src": "yahoo"}, "2026-10-07": {"open": 2270.0, "close": 2230.8, "src": "bhavcopy"}, "2026-10-08": {"open": 2230.0, "close": 2163.0, "src": "bhavcopy"}, "2026-10-09": {"open": 2171.4, "close": 2210.4, "src": "bhavcopy"}, "2026-10-12": {"open": 2235.0, "close": 2193.0, "src": "bhavcopy"}, "2026-10-13": {"open": 2195.0, "close": 2180.8, "src": "bhavcopy"}, "2026-10-14": {"open": 2214.5, "close": 2148.3, "src": "bhavcopy"}, "2026-10-15": {"open": 2158.0, "close": 2066.3, "src": "bhavcopy"}, "2026-10-16": {"open": 2075.0, "close": 2025.6, "src": "bhavcopy"}, "2026-10-19": {"open": 2019.0, "close": 1973.2, "src": "bhavcopy"}, "2026-10-21": {"open": 1970.0, "close": 1908.7, "src": "bhavcopy"}, "2026-10-22": {"open": 1908.7, "close": 1869.0, "src": "bhavcopy"}, "2026-10-23": {"open": 1859.4, "close": 1784.7, "src": "bhavcopy"}}}, "entry_override": {}, "news": {"fetched": "2026-10-23 17:22", "days": 7, "items": [{"symbol": "MARKET", "title": "Sensex, Nifty Extend Losing Streak to Fourth Session as Crude Surges above $114", "link": "https://news.google.com/rss/articles/CBMiqAFBVV95cUxOYzMybHpFSFdNMElLU0ZZZDd6cFlGbk5INDhsaUFRYkZta2gyYnNLYVRRV18zcTBHSXlyczRYd2VEcjliQXZoN3Y1Yk9GVkFGbDJwV1VZU1VHRFFaS0t3aUdvd3NZZElDMkdaV2xJcGhMQ1Y2anRvTW0zbG0ya0E1RWd3UlJBUHFKY19yYWoxR25sdDR0NjFhaTUxUm8zaGNZMzZya2VaZ24?oc=5", "source": "The Indian Awaaz", "published": "2026-10-23 16:48", "score": 0.077, "label": "Neutral"}, {"symbol": "MARKET", "title": "Sensex, Nifty Fall for Fourth Consecutive Session as Geopolitical Tensions Rattle Indian Markets", "link": "https://news.google.com/rss/articles/CBMiwgFBVV95cUxPQnIwOFFjZ0FXd3hPQzNZZjRGalJkb1BNUmF6QkszZG9KeC1pN2N6VTBmeW0wOWtPYW94STFRZEtGbk4xbHpwNjYtNnREaGtlcjg3blBQQmNPcGdQX1ZmMWRuR0VGZ0puRVNfanc0R3J4UFA3aFlxcUFOc3ZjRnNuaW9fZWU0MnY3NmdYdWdxcjF5eVpZN2pROUdKRHFCaGRkbkswVVU4SFFRN2sxaEF0NVNzeHZuQmpXZGxDUjFUMkl6UQ?oc=5", "source": "INDIA New England News", "published": "2026-10-23 15:07", "score": -0.34, "label": "Negative"}, {"symbol": "AEROFLEX", "title": "Aeroflex Enterprises NSE:AEROENTER Stilonn Acquisition", "link": "https://news.google.com/rss/articles/CBMiwgFBVV95cUxNVVVFQzlqUVNaMm8xRml0Mnc4NHlkQjFrbFVwZ1FtanZPa21CSldPNi1IRUUyc18zQ1FIQUJ5M3prMEVab0hlLXBXSmtFU3EyZ1ZKbzZyNms4S1JnS0Z2cV9hNEp3X0ZCWDZXaVg1RFY4U0xRVWljQ1hpYTJpSTFFTFdpdnlLM1RzcUlyMFpJYlpHYzg5VG5QTW9raUVGTlFiQmttcGo0REJUQ3pKbURVYmlSSDluRTczQk81dnFUMWlXZw?oc=5", "source": "Kalkine India", "published": "2026-10-23 14:26", "score": 0.0, "label": "Neutral"}, {"symbol": "MARKET", "title": "Stock Market Weekly Wrap: Rs 16 lakh crore mcap wiped out as Sensex sheds 1,605 points \u2014 what lies ahead?", "link": "https://news.google.com/rss/articles/CBMi4AFBVV95cUxNQjZyWl9nQ19wVmduaW02NS1MVFBCM1dyeExicTVkRVRTYVAwejlXTERkQkRYRm1HWW50YjJkVWxmR0NlNmo4V0NpbXo2eVFmcEJjWVgtM2tiQXZDQUo3NG9oRlBsbG8tcHZIU2ZLMnhTQ05ocGNqc0RWcmtsVVpjRFBOcnUwNGZMQUwzWXdRUUtNSThobWdLakdCclhjcDRIQ1p1ei03bzRFZGx4ZmRybVhtTHZha0F4c0xJWnZKcm9oRVpQQWlCdER2QzkydlRzczR5ZWVpbGRkb2xzQ2dnMA?oc=5", "source": "Zee Business", "published": "2026-10-23 13:04", "score": -0.66, "label": "Negative"}, {"symbol": "MARKET", "title": "Indian Renewable Energy Stocks Decline as Inox Wind Falls 5.45% on October 23", "link": "https://news.google.com/rss/articles/CBMiswFBVV95cUxNUUEyRkU5Tmk2WllPUDNDVGp6b3dkVTI4SGVfd3B0ZS1lMXF1OEVNNG1jckgtVE9yUTg5VTFVM2xCQmFjeXRkd0pSY2lOSW9NR3psZzJGeXNjbkpYdFFHUGZ0VjU0VGhHMUp4dW85d1MyMHJrSzlHOXhRbUltWXQ3NVB0czhweHBLdWEyRFZMcDg3Qm5XN0RVOWd5M2lVZnJRS1ZEcFBPN0hDQTdUczdzcWdSZw?oc=5", "source": "SolarQuarter", "published": "2026-10-23 12:56", "score": -0.477, "label": "Negative"}, {"symbol": "MARKET", "title": "Market wrap: Eternal, Apollo Hospital, Shriram Finance, Adani Enterprises among top gainers and losers on", "link": "https://news.google.com/rss/articles/CBMiqgJBVV95cUxPMFNuVzhBMFJfY3VMdW5SSFhEcndpR3Z2M2lGd1A0ckgtNWhIcThFa3VrNV8xSnpic3B5bEVLaG5vZExHcnFickJ3Y05sV1czbXFvWUdxeFRXandBdWZkS0s0N1V6aXo3UXIxbURBZXZ0T3MzMmxOYm1UTkxrVWFSZmVxRkZIMndwdmVmcl96enNkdXZHNVNhS0JraXFqM3JlRjBWOS1XOGh5R0M4X1dSTmVjQTJVOEFIY0hueFRDU1ZveHQzTHcwS2JwaVB5YUZQRTZ6bUFha1p1TzZ2MG45Q1RZYXNyeGtZM0owRWNYNEhWZE1ELUI3VVN6Rll2UHQzLWFwelNVNUhsSkVkblN1T0VyVlZManpBam04NlRrbHZGRkc3VmpuMXVR0gGvAkFVX3lxTE9VUkk4NHNwdHA0V1hSMWdtWkJfdEhvLWt6YUdRRTJDTzd5Ym9wRFdJX0hnbWxURzNTVWlnckNqWnhmMWxVUnFRa2lpNG5Td3J6dEJDQlFDUktJNkJQNGozSmM1SzZiVnl6eUotczhYYU1zYW55MU5RMWRJU2sxdjNqUTZqcFFMSE0yS20wX1RDeHVFSGNQNFZ2LXlYX2dvRTh0Tl9Pb3lDbmp0M2FhR1hleWZJWENBbVZ1Mk9CN1JhdGhpZU5LM002MG85M0RocVg5Y0JMa2RyNEN4UGdKNFlfc0tSdWx4Zk5rNGhaTTRBVEp1c3dacnU1dEY0T2V4WFJ2ZWFFUjZzTFdlQnNDMU9DZE42N0RlVURjcUlrczZPemI0V19meVc5WTNoMDVrQQ?oc=5", "source": "The Economic Times", "published": "2026-10-23 12:00", "score": -0.382, "label": "Negative"}, {"symbol": "MARKET", "title": "Sensex Fall Today: Sensex Drops 1,279 Points, Nifty Near 22,400", "link": "https://news.google.com/rss/articles/CBMifEFVX3lxTE5Gd3lWUVc4RURIc3hYYkFVeVNDa3BOcHMydVBxX3Z1TUJEUmRrYk9zMDEzX1Y2RDJHN2NCQ0JPSGd2MmVBWDRSRzR1ZU5BRzN5UVA3R204elgtTGRNLTlTWlhXQ2dSLVNVMmFXR2NKQ2hzYXh3akVmSWZuRDA?oc=5", "source": "Business Outreach Magazine", "published": "2026-10-23 11:34", "score": 0.077, "label": "Neutral"}, {"symbol": "MARKET", "title": "Share Market Today: Nifty 50, Bank Nifty | Oct 23, 2026", "link": "https://news.google.com/rss/articles/CBMi4AFBVV95cUxOdC1raFlJNDlHakZlX3RsbnlzalQ2Sy1qQmJYVXpISmVRUjJWTXIxcVVCLU52enFtdWM5bVdQenczZ2FuVVZTbGNFYW1FVk9OMFVwTFY5QV9zNjVYbWFkVlhrMGJwQXJBMUp2TVBwMXVmQ0NCUmdrMjZ5LURaYnZhYnJxdXVWV2NpOWdoVmVmdlp6YmI1ekhCOGI5TVhheDJfNzgybmpyTWhscS14Q1YzeUpvcU1zVUlfMF92VWIxN0pOMlZTYlZHNlFrcGlHbENDOTExLVJjUjlTY2lHbDZpTA?oc=5", "source": "Liquide Blog", "published": "2026-10-23 11:22", "score": 0.66, "label": "Positive"}, {"symbol": "MARKET", "title": "Indian Equities Fall for Fourth Day as West Asia Tensions Drive Oil Prices Higher", "link": "https://news.google.com/rss/articles/CBMi4wFBVV95cUxQaXBZQnNaMjB2VC1wWDJkeG1PZHlVSjRhVkM3bTNpSmhxZWhmOWcyV0VTTVgyWUpaQ1p5c1ZObU51QmllYkM5TkZsVDlRWlItMS01c3hHblVTZ2VzeUJTNjBVdzZVTUZKbUNFLUZjSDA3eE42ZEFZdTJuQUlfYVFVcE94VjZ3WklqdnZ4VUZCSmNtZ0hfSU0tVzk3aDlaaHJIRUt0Ulg4SEs0ejFXR3lCSmZwZ2lOWUEwVndUb3Y3TjItOTFXanoyZUdLcEZjeGU3M1NoX1RfS0liNFFRVEU1Z0dYa9IB5gFBVV95cUxQWllvblBMU0tiYzRlZ3F6ekNTeGZhYXVvd29XRDl0QVRmaEltMm1PZ3FOYXg2bUI2VzRxWnlwN0VpdVdjYi05T1Z0REZjVGM2cTdLT2ZGODZQZzA5MURmOU9YSGF2ZUZoX3hVZ2FoYWNvdnB5cFBNWjRjdDRXUENsa0hUdVdvd2JqVFBTQmdXQmREaWttNlk4TlZvY19BYkdBbS0wQnpXWGttdlh2dHIzS1lmWWQtaTVVQ0xpeGplelFaZE9QYWdCek80UFBvM0tZSnd1QlJjb251cXVJSGpTQmluOFVsZw?oc=5", "source": "Rediff", "published": "2026-10-23 11:20", "score": -0.625, "label": "Negative"}, {"symbol": "MARKET", "title": "Markets extend losses for 4th day amid selling pressure, oil price surge", "link": "https://news.google.com/rss/articles/CBMiqwFBVV95cUxORmEzQjFiR2tJQmJBSXFpR2kyVFJMeEZWUnBZYVhhR2dlUEg1Y2xfRWZDekFuNVN3UWxiMmtQQ25xRUdVd2M0aUI2ZUx1MnYzajFGdlFrLXJlRk9jSFRNZ1Y2MnV5RXI2cm84X1NmUlFfdlFBWWlWcVVnRF9fbkk5WUk3R0JPZ2M4bnRQbmVndGVFYXVlRnNQQllWWGt3V3A2M1RCVTc5MjZ3aUk?oc=5", "source": "DT Next", "published": "2026-10-23 11:19", "score": -0.026, "label": "Neutral"}, {"symbol": "MARKET", "title": "Markets Fall for 4th Day as Crude Nears $114; Nifty Ends at 22,600", "link": "https://news.google.com/rss/articles/CBMirgFBVV95cUxOcW5MSjcwWkJSamFDMl9hNUpSdG9Bd0lwWkJyQ2RrVy1ReVJJNzlVa0Q4TklPRUdKNFBqV1pQSHgxbVo4aVhBSUlZa3I2VUJWMlRSQ2gxUXV5QjNISl83LXFlVklqc2dOdXJVV2M1YzlGV3JidjFYQkVfaU01djVpdS1pLThxZ2pNTlRua2VjT1l3MkF6U3VxcW96S1NmQ3JPa0pyYkEycTlzS1ZBZVE?oc=5", "source": "HDFC Sky", "published": "2026-10-23 10:54", "score": -0.527, "label": "Negative"}, {"symbol": "MARKET", "title": "Sensex Today Ends 126 Points lower | Nifty Below 22,650 | Tata Steel Drown 3%", "link": "https://news.google.com/rss/articles/CBMizAJBVV95cUxPbWlwSjh6U0oxZ2hNUG5ZblRyNGlDZzQ4RWpPcTQzWUdTVGVyc0FxNW9Vdm9CV09WSUdMejBwdGpPbUlvMjZBcVc5SndQVEV2TVFjcnU3NmdCdUpzUjl2Rk1lRVZvMUdlS1B0RUFMbEptbE8wQjZQZmpNeHdEVzRrR2prMDlmc1F6UXJka1JQRDZZZHRrMDJ0V2dwM2JxT0FwQmVnNDFIT0FxaGJOZG1ZOEJKV0hhX0paQVNad2oyX0VCLW5EV0JqX21XNmVlMl9fUnBMLWZBSGxMWlV2Mll2QmxPY1RJUlJjc09NSEdOQ2pYc2tNWFVKaTN4d1NxZHF3dWxiY2d4U18zbkYtZ3VjQkt0aFR4aWlnSms1VTlxZjJicXFlNHhYWFRMc2Zab0g5SHpjTHo5bXQ5YUVwbTFuaEthVkhvT3N5N1kwUg?oc=5", "source": "Equitymaster", "published": "2026-10-23 10:46", "score": -0.421, "label": "Negative"}, {"symbol": "MARKET", "title": "Taking Stock: Markets recover from day's lows, but sell-off extends to 4th day; Nifty at 22,600", "link": "https://news.google.com/rss/articles/CBMi7gFBVV95cUxNYW5sZ3RaSVR2VDdOejhPbVFQLWpkaWQxWG94Qk9MNVhoelNIWjJtSm8xazh2NUtTSHhPX0hkNlZXcU1nRVRqdDF6T1J2cFpOd3JjTm15TEdUSkNCb0ZGNUR0eHBLN2JsaURxN3FPdDVreG1sdUtzUjlGRTVXeUo5V202Rlo2SkJKT2U2Mnhkc2JHak83TG5YenNKVnNFdnJHc1hpRmZ2TUsxSjBpOGVIc0ZGMnhWYWw5ZmZ3R0pxRXIweUZmcjF2VE9HdlhzRU9iWV9LRTlwWFJsZ1FWMFFlTGpzUWs5TUY0eU80OVdR0gHzAUFVX3lxTE5CaEdTMDBTbEFBa0tRaF9kbllVem9uUklwZXNqUGZGWFBaQTdKcndrSk1UR0Raak5NV091MlFFYkdoNjhibkNocERJMWctSzg4M0xrdFp6U1lEb0RuM2FfN0hDckh0bzg5aEVZXzdvR1dnNFBBb2ZleXMyOGxVODl0NGdfUV9na1M0WTF5ZEY2S3BlUWtVcEJkVUF6S0ZNYlVLUGxhUUJVOExELXIxRHg0d1FpaTZDNUJMZFZKcllhSEVLR1Rsb3ZLemVlZzlQMWI1Rl9Da25ZY0l6R2xBSmdGcUZfTUtoYjdGN3dPa2lYTm5Zcw?oc=5", "source": "Moneycontrol.com", "published": "2026-10-23 10:39", "score": 0.599, "label": "Positive"}, {"symbol": "MARKET", "title": "Sensex, Nifty extend losses as crude surges to USD 114, all sectors close in red", "link": "https://news.google.com/rss/articles/CBMiyAFBVV95cUxQc1JaVTd3SURLaTBsd1BBOE5VLXdMV2dzMEtzcy1TLXlpN0Fzclg3Y21KTVdxejFRcVZvQUlUOHB1em1Oa2k4VEN1VDJ1VGZ2STZfRVNGUmwwWUxzQkJRdGRyZnROOW5Ob0NleDk5R0tVVXJPSE1COU9IaEJjS3JLZU5IWXV2X25TMG1QRjZBREhraGI0dTIwSU5yUVdIRFNWLUJiTXdFdGpxWWREaHBlMUpSRzdpaHY3QXZWNWFSWkpHYzZvNXNGQw?oc=5", "source": "ANI News", "published": "2026-10-23 10:30", "score": 0.026, "label": "Neutral"}, {"symbol": "MARKET", "title": "Closing Bell: Sensex, Nifty Fall for 4th Session as Brent Crude Nears $114; Smallcap Stocks Tumble", "link": "https://news.google.com/rss/articles/CBMi2wFBVV95cUxNZWRLUVZCZWZCTzhPRmRIOFZmWGFWajR1ZmRSOXc5VlpydTdOQTM1S0dvRWV5Q0tsdUh0RkJmWmxldFRkejNPbllGdi1jUEw2ZE8wdzExbHNJa2FSbHoxRl9vSDV2VmtlVWZXTEZ3QThVT3VnNzhycWRVdEFzYVB3NlRZcklUMGhCWnNZMnVwX285RFpacnlCeDE2b1E5Q3UyRHFhZkRIYWFhRWR0cTc1a1lYUE1tRXdCM2txQXRVWEIyVEdEeEcwTXY5c1NJR09KLXdSZjQ5anR4Wk0?oc=5", "source": "Dalal Street Investment Journal", "published": "2026-10-23 10:30", "score": -0.527, "label": "Negative"}, {"symbol": "MARKET", "title": "Market Today: Sensex Falls 126 Points, Nifty Ends Below 22,650; Smallcap Stocks Crash Nearly 3%", "link": "https://news.google.com/rss/articles/CBMi3AFBVV95cUxQVjBkcXFZQng1RGg4cTRCVzZ3cDNpdlNpZmNwY3hBT2lRcEdQTDhzZzNSMzVnU21BYTJYek1INGMzTzFwZV82dzZsbEpwWThNbHZYbU1ZdHJQT19qVWVndEdrZjJDVFZkM1VWOThtalpEUWFvYUljdWRNbXZ5UW10TWNhRDZCTXo1UndTRkxtODdGeDdCTFNRZ0JxV200VWRQWnRiQ0NaaUVsUlZIWkkwazZKS1huemJGTGZXNVNVTzdBRzNyQWRQTl9nNUFGRWVsaVMxZ0ZTeUVEeU5H0gHiAUFVX3lxTFBram12dlViVDhYS1U4a0ZxaDQ0empDUGR2R2EyYWtiQ25rbEtkNHJBMXNlNEYzZlZGRnZfa3VoOTVQcUxLUl9uRmF6QlVScndHeUNEMGlBbGhQYzRXYXR4ZGEwczE1c3l6cTNXbXFzenE2WElVZFhKa2wya282V19SUFY0eDRCSE5fUHZKWXJwcTV4dWo2S0FKT280akp0YW41bTR4MjdPMzlTUmVHaHNPUFhmMVh5VkVjUWZPdk13S256eDE0bXNQclRvSHNLektuZUtmUDVuQXl5dXhJLXAxdnc?oc=5", "source": "News18", "published": "2026-10-23 10:22", "score": -0.572, "label": "Negative"}, {"symbol": "MARKET", "title": "Sensex, Nifty end lower as Midcaps tumble; Swiggy suffers biggest single-day fall", "link": "https://news.google.com/rss/articles/CBMiwgFBVV95cUxNWU9YZDFKQmpIeVlVTndmSHZISmdIOTZ1X3c2elpYaWlIWTNQTE1OVUxZaWhLR0dISllmeW93dVFzdzk2STFFNFdtaF91VU9qdFlaSUJMTjdNaldFRkVUQlczTFZXWmtQU3VjaDBrTmM0TGxTS3BtazFOSXBUWXUzeWp6RENIRmpzeGY4RGJ5YzFSZEx4SUppVm41U3p1SmVMVzItSDA3OWRSX3V6VTRTSjNPamYyNVlBaW1IWERpSWlrd9IBxwFBVV95cUxPdDhWcVBjWDkxenRBTjVZSVVqX25ncUxqdl9jZzRpRWo4VzBNN1lvX0JRb1laWHRQRUxsVkpLZWludldnMGNJN3VYSlFOQVI5ck5tVjB1dFk2cmpNWkZtcVlvT05SY3FFSzJnOHA0YWp5VnhyU2lORHYzN0ZwTWtMcHFOOXkxYXNrXzM1M3B4cGxwRnQyOW00TTZ6Y29NMmNmV2ZJOG9Td1RZWEM2OXFydFQ1SVpSQUYxcEtLc0VrWnE3c0JwSVAw?oc=5", "source": "CNBC TV18", "published": "2026-10-23 10:12", "score": -0.557, "label": "Negative"}, {"symbol": "MARKET", "title": "Closing Bell: Sensex falls 126 points, Nifty below 22,600 as oil prices spike; Metal, Realty stocks lead losses", "link": "https://news.google.com/rss/articles/CBMi6AFBVV95cUxObWFadjlUem5OeW1WM0ZnWmF3NlpnSkQyd053NHNvanJ6VzFOZUNIdzhleVNJLTc1V3VWWnFrVWowMXlQd2U4YkxSSmRVVERjRFVTc1g2M1hGWGI0OE1tYW84S3VUWWlPdGsxWFFWa1dqUVB3dlFZUkl1ajlyYU9iY210YzBncHoyUENrY0F2ek8zSUtfYkZMd1Jra0RBUm5ybEtBdm1lZTFja3NiYVVsYndIMk9GNWR2eU9hVlB4R1pxUU5Oc0FqRzhZQ3hGa29MVVU4RXNQaF81TkFnempwTGxtWUJRekNF?oc=5", "source": "Zee Business", "published": "2026-10-23 10:05", "score": -0.402, "label": "Negative"}, {"symbol": "MARKET", "title": "Global Market: Eurozone bond markets stabilise after volatile week", "link": "https://news.google.com/rss/articles/CBMiV0FVX3lxTFBvU1A3YXdwdkdEeEhvQ1lLLVhhUk9sWUdXUFdDb1F4NjUxRDlnVDFkOUNjdFVjbTBBc09kNmNkRl9UbzkyOFVvbjIxYjFoMVQ3MUNJNGFmOA?oc=5", "source": "The Economic Times", "published": "2026-10-23 09:59", "score": 0.0, "label": "Neutral"}, {"symbol": "E2E", "title": "E2E Networks shares hit lower circuit for 4th straight session; Netweb, Black Box fall up to 9% amid...", "link": "https://news.google.com/rss/articles/CBMiiAJBVV95cUxQcFBFTjQtVDNpM255Z3czRXdHbno4UThYdVNRdnUzNlNOMnQyYmZ1eWRwSkhIb1FrT1Y0OTB5QlBsNTdaa2t2Q2Ribm12SDJ4ckEyYmZZamZQbEhFWktPeFQ3TmcwV2lrLTlSQmtRYjZsZU1nbjZqYkNRRHFpcVFtR1BIU0dZTUhoTjNDWHpMdmYwdmZPVC1POURWb1U0SXAyOTFtaFhkVFJpaHpfam01UFQ2X1VoYUF0RzV6MVQyNC1MUDdmQnFSV2M5SHBsb1ZZRldzWUdDT2tmV2szVkVJWWg1VjJWTDJ6cy1KdUs0WEVveGhqWE1YTTN0N1Y2RGFaUVhCVk0xcG3SAY4CQVVfeXFMTklrZEZlazREcHF4Zmw0X3dsSUFvWFFEektRZ1oxN082dWdWYmxyN21XVlNyLVd4UlVnTWs3dnQ5OERsQk45UG9JLVJ4NzQxQ3U0ZmVXSFR2M2FYOTM1STV5VzkyN1h0RzJPQ19GS3E0aExLTmFNSWZSMWg0S0NQQ1IxSENyUWQ0ejB3a05kbE1HdGlzRC1XZ0puS0ZyM1ZxMHAtT25zdTQyUXVUQ2tqUFhvNWVyVnNHbzNFMGkxVTRfN0VmWDVBbVZBWlRYcGtDQ3M2U0pVTFc4SUgtM3dCZEplUVZQdWlqVjRRNVlObVVoZmZxVFBsOG1vT3YzdktNbjEzazAxeEZMTnVZbzNR?oc=5", "source": "Moneycontrol.com", "published": "2026-10-23 09:50", "score": -0.44, "label": "Negative"}, {"symbol": "MARKET", "title": "Westlife Foodworld soars 20%; rebounds 24% from days' low post Q2 results", "link": "https://news.google.com/rss/articles/CBMi0gFBVV95cUxPWmx2T3pmclloM0dPOE1zRmlMU3d1STU5aTNVRVJ2Qy1INzRoU1drUW45eUE4dUpXNlZGRXllYUdhUEZxT0hFcmRneTBwU21KSHdDUHhOYl9tZWNqbFFBVDhZX1RfSzQwa1lfQ1NtZ0hINERWaGdIazBXV1FnX0hsLW9iUXkwUEYyaUM4OWl6X1l4MXpHOXZlRC1ReWJpRUNLQmM2Wmw2cEtkaWYzZWV4bG50Qkl6Q0FfLUNNSzRidk5hV1dpZk9UTFduSkVfVklMWXfSAdcBQVVfeXFMUDJxX2htblVLczJOY25aS3dpZGxqd193OE5EX042R2ZaX0M2bVg2VDdrYkZEbV90SWFzMDBmU2p4MlUzQWg3UjBqSjBIZHdXRGtUWDNVRll0V0JLYzJJRF9lMmhudUtmNlRkSnNxbF9LRXhxcUNCNnRNc01fRTZoOWxjQ1Z0cTNUanRKRlVNLWg5T0M4ZnRhLU1UOG1yYkxYODRTNmcxb242NzAzS1k5b1Z1SlFQaVAxUzdBVmk4cnVEbnpjd3RFdHVJY3hjSU1zTlJmX2l4RW8?oc=5", "source": "Business Standard", "published": "2026-10-23 09:30", "score": 0.318, "label": "Positive"}, {"symbol": "ATHERENERG", "title": "Ather Energy Share Price Today, Ather Energy Stock Price Live NSE/BSE Updates", "link": "https://news.google.com/rss/articles/CBMiigFBVV95cUxNMmpPVXcxeVFIRHF1aHV6dFRLVnhXV3djOWRQN2tuMmxVTnhDeVNJSnFoV2ZscmFoaEtaWXhCT0tabGNHdVhlOV8zcG45eTJrYS04ek9hSlNlMEZPYlpyeS1pbXNqbjlVVklKeEFrX1R6OUEzXzhRdjNneFZzbEFFMjc4MmZ4T3dSMnc?oc=5", "source": "The Economic Times", "published": "2026-10-23 09:00", "score": 0.494, "label": "Positive"}, {"symbol": "MARKET", "title": "Sensex Recovers 408 Points from Intraday Levels as IT Stocks Advance; Nifty 50 Trades at 22,500", "link": "https://news.google.com/rss/articles/CBMi2gFBVV95cUxPYm1hVGg0RlZqTG5DbXRHX2syNGJsc29fajJzQWh5N1lVb1dCOFVMOVlRczhQeV9MTFJCOG55S0MwMGw1RGk4dFBpNWQ0MDYtS2hxdnJWMTRkTHBldzgzUGNIQ3hvQXFaNTlKWnVGRWFNc3dJVml6Y05wNTZSVjRMREY2M1kyZUZITkM5Vi1hWkRRZ1V3aWFlU3lmUG5hRmJ4RG1KTUdMbkZoMUwxeEdOTG13eXNLQlFXb1VZUDJRdUxmcE91QmhSSmwtejlROXhBU3pJOWZDTzVZUQ?oc=5", "source": "Dalal Street Investment Journal", "published": "2026-10-23 08:53", "score": 0.402, "label": "Positive"}, {"symbol": "MARKET", "title": "D-Street bleeds! Market value of all BSE-listed firms falls below Rs 450 lakh crore for first time since A", "link": "https://news.google.com/rss/articles/CBMipgJBVV95cUxNZXh6eXI2Q3Z3dV92VDJ3NjBuZ3hvMUlrZzBnTlNaNUZyOWFTV25zbDBKdGEzMnJhMlNqQzBhZ3UyR2U5Tjc4ZXdCcFAyVjZTZ2hrTzB0UXFyRUtJQXU5QWVKTDA0bjU0dVU2VWo1UkMtZlRjM1Y1dnphNmMySWRBS1lhc0Z3OWl3OFdabDREaVV5TklGdFRaYnE2eGpCRjlxWENuS3hWbklCNG1pRWhlLTBzYk9Oai1XcDBMYkt4RkVLRF9uZGI2ODYwV1FyZzg2ZW91bFNPTWw3TGRFeTg4NTdva1pEWHczZzBHMUhPeE9nY0swdVNudzd6MmdZbjkwYThsY3hYQjhrQ0FFV0cyUUxaQVNtRXdFb0ZUZFNEUHhNSDAxV2fSAasCQVVfeXFMTjZLRFV5cWhFaldYazl1ZmItVTg3WmtJWFdQZzVmeV9kOXNncElIOTZWLUVTcVU2T2loVUxSRVF5d3BhcGNJaXJOcjdyN1lCQ3lnQlhuLWVsRU1vVGVoZzlGY1R6bDBVX1J4THRDM0JvNXdNVzd2VnBOYkVmR2o3cjFfVFdiWk5wbUxYTUhjSFhXQ0syNGdQWGx6eGxDZmI3dmc1OS1jb1VXQ2ZGeDJLR3kyZ3hHdllUYXFCQ1hWTWl5dWdkbkdtdFBoWWFncFBpSXVienJzaFhpUE5oY2dCVUV5RFMzTUp3Ynp4cnJYdWZxUXB5RXBKUkw4cEFhQ1otLXY2WkNkQ1R4OXZ1YmF5NlpTX0lLZFJYTXN4bEtIR3hJcW1Zc24yNWxkNjQ?oc=5", "source": "The Economic Times", "published": "2026-10-23 08:29", "score": -0.126, "label": "Neutral"}, {"symbol": "MARKET", "title": "Sensex and Nifty Slip Amid Broad Market Weakness; Utilities Sector Leads Declines", "link": "https://news.google.com/rss/articles/CBMi1gFBVV95cUxNSW9vYTRDMkNRLS04emdkd0E0WFBkbWJkNFpZbm1OV1F1ZFI5MGFPT3FkZzhlSGZucHFJOU5oTWtJcS1vZ2xHT1l0VmFuLTV1R19kc1pEVlFvRmRyNV91NTZUZ2pYSmhiOXVJNFprNDV3OUdTSkdVenRuXzZXWlJ5X1BoSTJlY0dsZnQ2Q3J1b3lGazA1R0tuRzYtV0hvX0VqZ0pGMDRJdi1icmFfdWNzSEZmZ0JiTVY1Nk5aUHN6NnRCOTJ6bUhrSmE1MXRQM08xVXViTHBn?oc=5", "source": "MarketsMojo", "published": "2026-10-23 08:17", "score": -0.625, "label": "Negative"}, {"symbol": "MARKET", "title"</t>
        </is>
      </c>
    </row>
    <row r="3">
      <c r="A3" t="inlineStr">
        <is>
          <t>: "Steel Strips zooms 19%, hits record high on heavy volume post Q2 results", "link": "https://news.google.com/rss/articles/CBMi0wFBVV95cUxPel9aNDh6UXVaS2pWWUlzNlNWa0RERDZRWlpncG5pcDRqbk14ZzdfTDllSEVJVGhlVC1FcXVZbjNKMDBIbTRZVnpWb2dZbk9SUzEzaHlrZ1VTVDVMeFZEcW5xYmp3RWhJX0R0RGFwclQ4LUxwelRPazF3N3BTcElQdE9OZjMxWThIM0paNWFUWDIyNTVleFVqS0JNV0kzX05MMlFSdFg0a2VMM09uTG9uY3dab0c0c3I3aFJ3cWVjM1lmUXByRENVOTJiYjlrbDVZUF800gHYAUFVX3lxTE1rdk92bmZRSzdQcUlRdEdNSzNQeEFZbjJsdk5tbHpsM29xa1J3Z0EwbVJnbXU3dlVvV1lYbVp6NlN6dGo3NkJxRHFxa08ta2tmY29kNVB5M3J6SXcxZ3ZGV2l3eU1QUHM5cllNcW1NUTM5UHZOSDlQd2Z2ekZqNi1MTGZPcU1UOUVRYnF1eDItRXZKUzVTaDhrQTAwdVlzMlhhY1Z2d2pjeElNaWhtSll5a09lVENaZ1RFOWEwdkhfd1pOaTRGYU8wYllVZWRjX3hDMXdPQVhuaw?oc=5", "source": "Business Standard", "published": "2026-10-23 08:12", "score": 0.402, "label": "Positive"}, {"symbol": "MARKET", "title": "Stock Market Crash: Rs 24.8 lakh crore wiped off this week; Sensex sheds 1,000 pts from day's high, Nifty nears 24,400", "link": "https://news.google.com/rss/articles/CBMi4wFBVV95cUxPQ2MyTEhfRW1jclh3d1E0dmNmcUg5a0ZvbkRLVE5ROUM0RWVLeGxObWRiQXFsbFF1bVRCWDQ2WVFKbzkzWjZGZk1UdDV2UTBIRGhpLWUxWUFUZWlyNlprUnp5bDJLTU1BUWpLMHJzaDR0dHE5QTNKbVRXVy1KbE1IanNFTTI1bDFvckg2T2F2TUhRTFlraE1CSklVTlNtZlJ2b0RGTmQ3dExFSjJURkdJWXJ2WVNESmZNMU9kLXJESmpEMDdnWlZDa0huOHJ6VW4yREFGWmFFeU1qVkUtR3QyTzl3TQ?oc=5", "source": "Zee Business", "published": "2026-10-23 07:59", "score": -0.44, "label": "Negative"}, {"symbol": "MARKET", "title": "Market crash: Sensex sinks 1,279 pts from day's high; Nifty tests 22,400", "link": "https://news.google.com/rss/articles/CBMipgFBVV95cUxQN2pCLThGUk9vOU44QzRrMGloVTF1TzlUSkpROWxZOFgwdm1sRGVlWFR5WFM5a3NBd1hGMkFpUjkyQW01bFZLSEpBTFR5aGplR3hPRkFUbU0wM0NBaXpJLUJ3NTZDQjhJUnhpeVlJUGp4bjhNMU9jTlRVcEI5RzYxLWswaVhJN1JSV3VyZG1UUVlLVWoyYXVIM2tsYloxQWpmZ0o5OFdn?oc=5", "source": "India IPO", "published": "2026-10-23 07:23", "score": -0.511, "label": "Negative"}, {"symbol": "RRKABEL", "title": "Buy R R Kabel; target of Rs 2960: Motilal Oswal", "link": "https://news.google.com/rss/articles/CBMiswFBVV95cUxOTGQtcjc2NUVXTW5pUXpzOTlyQnVxSEotM0JoS1hzUm5mb1Y4UUI1NjljMllhVy1CeTVkdVZHdUZkbHFaWjk4ajc2WVdCQldabWxLQk03T2NTYW0yWmFxSzlMQTktZ0l4Z3lodVRuS0Rjc3RHM3FlWDlOU2FTVE9VZWZWR253bkFnVHZqdDlQMzk2c1U4UThlZWdBbUNXbEphMlVDa05yTVdhNTUxZ0RORGw0RdIBuAFBVV95cUxOaGlIdTF2eHp3dTRjdG9pTDBkdUYxTDd4bDBhYlF6a21QYUVBMmo4ZklLdk9JVEFDLU84TnF2a2FBVkE4QjVCd2tyRmhoWWJiV1JWUnZraWRtVUhDd1NtbUNvZjF3S3YtSjZfRHZEdjBCckhQZDB4Smducm5mQjlIbVdNMDlXZWt1NTNYNG9Ja3h6Z1ZxeUJiQzg5eUo5UHFhMHh1N2hYc0ZZemR2Qm5WMGl1V0EyRElp?oc=5", "source": "Moneycontrol.com", "published": "2026-10-23 07:22", "score": 0.421, "label": "Positive"}, {"symbol": "MARKET", "title": "Why Stock Market Is Falling Today? Sensex Drops Over 700 Points, Nifty 50 Slips Below 22,400; Key Reasons", "link": "https://news.google.com/rss/articles/CBMi3wFBVV95cUxPY2czY09uX1B3ZTlpQTN6VTJPNTJ6Uk15eDhNYWNwNHpfdnFHbFJiaWxmZDJOSmc5VTM1N2ZKWHhVYnVyeTNxbzMtMVdzYUFCSVV4NEJ5MDJiWUVUTDBOU3VHNVd0OUpmajh5WEV3S0JTWVdiUEx5bVlCalN4dWxEcFVoYjNRSl9mUmxqZnNINkhIQnlPd0QxUUI0d0tydjI1NXZNR050cDFsYU1oTkptSWpHTFVSR1hSYklmVFZtN2pxM3VFWTVJU21fMTJEd3g4WXFjWmdQamJKU3Vrd2dR0gHnAUFVX3lxTE5aal8xOTYxeTF5cWZ2VE9vWmpBTHlNUEZZZFdJTGgtZEpPS25DTEFPZEFGWEstdlh4SUZ1MVZkemk0WDVBOTNQeGVRR2dvSVNMdV95Sy1LT296bERheUozbFN4dEpsV09WTVVHbjl1dWVZOEZmZ1dLREtaaFZGZTVCWFJTUU5zdjNJcW1ESzNhc0FoVDBkOXkwcXRDMW82YnNldHVYQlJjT3hHbGNFWGt4anZNSDMzcFhIRGNHN1RhU3M2N21feG54OVJleE83M1haR2hUN1UxX0NfUEg0SC0zRGZWYlNvcw?oc=5", "source": "NDTV Profit", "published": "2026-10-23 07:16", "score": -0.077, "label": "Neutral"}, {"symbol": "MARKET", "title": "TCS share price surges 28% in October, hits over 7-month high; here's why", "link": "https://news.google.com/rss/articles/CBMi0wFBVV95cUxQRHJkNU5lNUtYWnBHY1lnQ25VMjJCUEhfZ2NRLXNEdERZTFRpaFFURGZLYWw2NTduZEtGYnNRRmJxc3RUYklWVFRkdmhobndHNTlGb09Bd0lOMURPTnB3VUNXVXVlWGpWaWE2WjNfZFZzWlY5TWlsRnBJWXdKQ2tCdFhZbWZrXzJFZ0V2cXM4ZG5pZHYwVzdTOFBnUUNBeVlENjVZSW4tR1lEX1JIMzFNZFg1TGdPVlJCOVpmcmhfRkhheWltVGdHRUJXSlVSZnpUUGU00gHYAUFVX3lxTE1IcEJrS2MxQkpDandGS2FvQ3RaZVE3ZVE3X3lmVVpYeDVSd0FzWHVycmhBbGg2VHQza3E1VmZjMldJRXNqMFdYc1ZPRFhlWERCeVZpS0FGckNSTW9XbWMwekhQYVM2NmdJWVZHMXFmNXU3Y2xtQzUwZ1ZNeXRFZEZrMEMyN1E1NzIyNGpya2pRRjNpR3NSX3NxTURwbmdYRzk2WldQVFlGQnhYZ2lnNzdVZTNoQXBKMElQSGU1amU2a1BmcUN2R2txR2g1RUNDM2NpdXRxSUFDVw?oc=5", "source": "Business Standard", "published": "2026-10-23 07:05", "score": 0.527, "label": "Positive"}, {"symbol": "MARKET", "title": "Sensex falls 600 points: Why is stock market down today?", "link": "https://news.google.com/rss/articles/CBMi3wFBVV95cUxQTlVFTFhuM0lRR3lNS2I4OHBtWWxBZU1iNm9EaFNHT2M4Mk94LWI4ajBDWlcwbS1GODhQRWxSY3NQMEhWV3QtZzB0YW1HaVJNZGF2aWJmSVdNTmRXdUhpTXZrSWxfM3VJVWNQU1M1R05wcnI0ZFNBSzNlVzVzWjhrYi1ycWM1all5VzUtVUQ1bzNtWUI4QmoySTFZSkxWVmJmX1k1aEtZR01rd2dubUg0M01tS3lVQm1XcVBqZnYtemZvVGs4QmtZdjlOUkhlVzU0MzVNSnFpNVV1S0NqNkFR0gHkAUFVX3lxTE9pQU16WXh6eHlLdVpDaUJvdDVVeGxyWXM5ZHBlZzNOUkV1T0lGcUFndlVOQkZqcHB6OU5FVFprVnJPNnZTc2ZoNTVxV0R4N0JPYTBTY19yWU54Skp3UF82cmVXWDNBOU9YNHc0TkcyZGYwcnJfZXJaUGoyMmUzSkh6OFFvTDV0MnhwRGhjSHcyVEhRcnB2SmlMZzR2RTlaY0JtMjg4bHNyR2l6Q21KOUFjcXR0bGNaX0pRcGIzbkEyczlrMHptVF9PVEI0Mld0R0dqMF93WFJaaDhkTTN0RDFLd0xrUQ?oc=5", "source": "India Today", "published": "2026-10-23 06:50", "score": -0.382, "label": "Negative"}, {"symbol": "MARKET", "title": "Sensex Falls 669 Points, Nifty 50 Drops to 22,420 as Oil Prices Surge on West Asia Tensions", "link": "https://news.google.com/rss/articles/CBMi1AFBVV95cUxQMGhtM3RXOEpCaENVaE1ldTZqLTBPWThQVWVaNlVMN3hfN0NROVdHc1RYRE9QRmtabHlpaldxU0pldWh5UzdwX2QySEJLODVCX2o5aTdMNmI4TW43NzlVMmN5cWFiaGs1N1VubXh0TUdmLW5MMEJQMVpqWXYxazJvYy0zWnZ1NUxBbEZ2N0FZRTBvWVBMM2paS3JnVGdkQV94LUk3Ui1aOUp3Z28zeV8wR0I4cjRnMkVYUEhRREF4SnUyU1g2QktwaGhiZ2JhUXBWcHFiNw?oc=5", "source": "Dalal Street Investment Journal", "published": "2026-10-23 06:48", "score": 0.153, "label": "Neutral"}, {"symbol": "MARKET", "title": "Sensex, Nifty rebound after 3-day fall on IT stocks buying", "link": "https://news.google.com/rss/articles/CBMiowFBVV95cUxQSlJoQ3Y4b1BtVE83ZDN5amthN0o5SXJZQlBwdzlkTXBwSUFGQmdwczNzenQ1aHQxdWMtQ1liaWdDV3hELUdMRXdfQXRwcXZoUG8zMmxwRUU5WHIzaVlBb3lROVRDOGJJWEsweTBvbkVPNWJvZl85Q3huaVJtZ2JtY1hHcV85N2UzTnlHZk03dEU2NjlFaHN1TU11TEVpTE5RV2Rn0gGqAUFVX3lxTE5kRGFuTUhWbFJHOVZuVlBlMXJkZzNsd0RUQXY2VlNoYl9nUlZZX1Q4ZmtpcUxmS0trMm5uZGlLd0RPT1hlWVBfTVhIdjJtZk9kVTF2ZkxNdWJ2SlhsV29TVEkxVTFIaWlxNXFCTnY0clVLeExrWWliWlMtcWRiVWFlMUQwZ09XdnVndHpWOUZ2aXJHTTJhbGpSRVV6c01OSkVOa2tCTVNHdzNB?oc=5", "source": "The Hindu", "published": "2026-10-23 06:21", "score": 0.077, "label": "Neutral"}, {"symbol": "MARKET", "title": "Freaky Friday in stock market today: Sensex, Nifty reverse morning gains and crash for 3rd session \u2014 what led to blood?", "link": "https://news.google.com/rss/articles/CBMikAJBVV95cUxQbXBZSnR4TUhRaHlTNXd6RXB3VmJfQzBkc3hKdlhDVWFPSVY4NzZicHlfeUprLWlieDFfZjl3SjFjQkgxM0lEZnF4V21Bd0ZEaWExeWl5OHF3bnFQZjRQVTVwYkZWcUU0NjJVLWFGdV9GSDZWSUhzTXhwZlNqXzhvQTJqSklNSzhRNFFhYk5BTkx4NjFQODB6TzlzRFFZb2VjS3RPYXZNLW15UTJCWGphTFBoazNiSUVVblVjbUwzbG1IbE1EdGJYOG5IMEJXMFhEdWNyLW5zZUVaRnIwV25YZEQ0UjV6VUtKcHc0Y0JMX083cTJpaDN4T1lKQjNvUEJlaXU4U25BbVZqSFQwdkVBT9IBlgJBVV95cUxNVXRBT3ZFOHlHVDI2cXNOM2ZfQTZnVTVXWF9tT0lTbEtVMmJYbmpkcXlCVVFEeFgwaWpIU2U3QjR3dEFyR05EMTJWX0FMUEp0Q09BaWQ0bVpuVFNqdDNlYUdoMTM5SFhvLWVGczByUGJ4emdPWXdyeXB3RHFnTklhbW1hWlh2a3hHOFE2LVFPNktRbmFYYk5oQ3RkdG1MMXppeW1hVDhYTmJ2SlZyVld0SkdtSl9UNnpCYlJsUjdlaGtoNTlQa2s5dlg1dGtjbG9vekZNVXBnSUZwUldUYkJBejhEREN2SzJmUWctZHA2ZHpIazlQSlYtYWZoeWUyNnI0ZlpqNTM1LVhmakw1V3VsejBoZXFVZw?oc=5", "source": "Livemint", "published": "2026-10-23 06:17", "score": -0.25, "label": "Negative"}, {"symbol": "MARKET", "title": "BSE Capital Goods index tanks nearly 4%; Hitachi Energy, ABB India slip 6%", "link": "https://news.google.com/rss/articles/CBMi0wFBVV95cUxOUkptTXgxekd1dmlzcmxmSDVFUjRnNUN0em5YSnNILTF5Vjl4MUcxRk1JOE1iMzRvajVHMDhvX0hWY1ZLNDJtam0xeC1HdElVcWlRZzMtbVMyZnQ1NWhmN3RhU1ZacnI5QXhoeGg1YmlOcTdJMm5QUFU5c3dsTDhxV3VqNlBRcFBtaFUtUVhUMS1HMGhpaWpSeDlNQVhIN1E4SUpSVWJLN0pVekVPaGViREtyMHBwNTUtVXQ3b1pUSm13c01nOVd5akYwc0ZpS3ZWQ3Jv0gHYAUFVX3lxTE93OEFlY0hVdG5NeGdNSk5UOHBGS1F4eTB0QXp6SmNtN1FTRGl0MV94U00tdWwwcUVBLWJqY00xc0Q5ZEJIS3BHVjhjbDUxVDREQ0dIekRhZUJjRG1jUDFhZ0lOMXhydkZjemtXSEpkTjVxaWZTcUdQNmM1ZF91c1BiYTdhcV9WTjdhNEJoUDBjbFBQNkFhb1lCQWVmNmVyY1pjdFFrVHpEdFl6V3I0akw2TXhxNmtVQk1qaWR4a0RJbTNrUDJrc3VmQmdXOS1rNjFnNW8wTEhycg?oc=5", "source": "Business Standard", "published": "2026-10-23 05:54", "score": -0.542, "label": "Negative"}, {"symbol": "MARKET", "title": "Silver ETFs fall up to 5% as oil surge, inflation fears hit bullion markets", "link": "https://news.google.com/rss/articles/CBMi1wFBVV95cUxNa1JlREhRMlM0NlhPM2V2MDJ1Q0N5S1l5b3U2VThGS0o3elNmaDZjNm9Ja0F1cUJNUG5rOGd2V0Zkd21zSTU1SkxHeTRDSmZZZnEzb2lpYWNTeDcxR2dsYUxFQkZEQzJBcjBNazRiX1VpT2dfMUNuUlBGb09DNTBpcFA3X1hGUWNrRldNREFyT3lfU3pmcWtMR3NqUFo2U1hSLVFaUHZGV3ItQjBvMUk5ZlNRajZkUEgyZHNUNGNlajcxdm5qSkJIMUpuaWMySjN5TlZKbmlhMNIB3AFBVV95cUxNRklJU18zdUFyZTdWaE9veFhYelJ6dWlnZk0wZjBkNklfTjFxeEw5QUVtVG1wWEltQTlCQWotQzNKa1ZGQzdVWklkRzZsUWotNXVqcG9Xdlc0V2RmVTlJSl9zc1ZydE9uRVhZVzVnQWo0aDRVektuLV9WWnFoY0FRbk5pZjRUWkdrcS1LMVViVm1pUWJMMHhSMFpMUHp4MXBYR3otaXk3Q1F1TEN6bFNkYzJvMVlUX3Rzb3gyOGZhYnEzX3BPSU9yQWJMMXJYMl9DU256TWtVQ2Z0ZVBw?oc=5", "source": "Business Standard", "published": "2026-10-23 05:43", "score": -0.382, "label": "Negative"}, {"symbol": "MARKET", "title": "Why did market fall today? Sensex, Nifty end the week in deep red. 4 key factors behind sharp selloff", "link": "https://news.google.com/rss/articles/CBMinwJBVV95cUxPcnV1Zi0yYVRuMi1CZkFTdi1BZWFKaGJMZ3VHb1NxM1U1cGs3R240RkIyMXBUcVE5ODBsNVVZTFAtOXpRdlV6TlY4V3pNd3hVVTdaU1g4QlFBaHNHc3hoelltMTczcC1NUUpEWDJBUUpvaWJtc3FvRkNXQWE4VXZyMnBaVzBQNTZRenNuTy1Qay1lVVNHMGhyTGhsLVJhdjFWOXRDR2tGbm85WDBiODJaWmRCcmh4M3k2bDJacnRKdUtjYnh3OGY0M1VaSHhPRFYyNWJDTmQ3amdqREhidDAxdkx3aXE2SVNSUjBxeDdlT3UxbEk5UWtSSVJISTRKZ3hnZ2dHSjhXWUh3OVhVQVVZb0lXWTgyQS1rSE9vRDN2ONIBpAJBVV95cUxQLUZaRUNndmw0c1k3WHFBYlNwWFBDMXNxWDB5UEZWRWtfbUZ4R1VTaktxSlFaVnoyakx5cXc2dTlWNDVvdTNFMGNJWGN3SV84OW1fSzNZMGNrcTllZnRLZHdvOU5rbTNTaHptMUN6blkwQmNMT3JlM0d0NHRoZ0xxVTI1OUVmdkNxLXBqakpLZFJvOW9hemw1Zy1TNjJZc2lyY08xcmZ1UkdIdHRwMHEteVdDbnhRUmRyekRtNDZhZHktNXJvUVVhM3NLQ20yV21IUmMwT2QzMlN1Z0FlX1R1RnJFTE9Yb2JtY0FxNjdLNjVrVnpiMlpGbTh5QmpNX1BfRHJGZlB6Y284cUt2ZFNWVDhCcHRJNlBxNGM4QTM5M3hqU1RV?oc=5", "source": "The Economic Times", "published": "2026-10-23 05:40", "score": 0.077, "label": "Neutral"}, {"symbol": "MARKET", "title": "Why Is Share Market Falling Today? Know 5 Key Reasons Behind Sensex, Nifty Crash on October 23", "link": "https://news.google.com/rss/articles/CBMi5gFBVV95cUxPek1kTGNfc2lTSFpmdURYNHdzX0pKQjZSS1dseGJIZWRDbFV5T21SdG5aN1FYRlNjQ2l3cENqVDh1UnMwVGYwMHpOcmlvbmVHb3VQLTVxWDU5SEs2Vnlld0tzMjVZeVBoUzVzdkNJazBnVmNSeU1Pb3NHUXBrYTF4ZW1pckwwNkhQNGZwLWo0QXBZQUh2Wl9FYVd4dkd0TWRHQWIxd0VUV3I3RjBlMVVmQXFOR1l0VnhWZVEwaWhCM3ZwOTVOQWRhVUZidGxmRGt4a3lLcTZvaUN4LUhCR1hCUzhQc0FBQdIB6wFBVV95cUxPZ3c5ZkNOMEdQaWVTaTRvSXJiN2NHZnRZdkUzY3hGbEFmenEyNmE3MlNiYms5a0tSMlhhYnZFOUNhNjU2cUtWRlVCUDMtQm9jeVhjMmh5WTNiV3kzdHZ2cmtBM2hvTmVweVFSMG1tdWJoTDlYWnRuLXpMdGlPbDU2T3h5RWdlQXB4bXNNNTE1TkVQMGRvOGhLeEM2N09ib2hxQVBQclhiMEVURG5BM19INFRteFNpZTl3U3M5LWpmb3BQbGNVb2NndVZjYlVUdnZWSWo4ZkxEU3l3WjVjc3J0WDBwVXZOOFFPLUZr?oc=5", "source": "News18", "published": "2026-10-23 05:36", "score": -0.402, "label": "Negative"}, {"symbol": "MARKET", "title": "Market crash: Sensex sinks 1,314 pts from day's high; Nifty tests 22,400", "link": "https://news.google.com/rss/articles/CBMi0wFBVV95cUxORHE2eXQySVVQU2tHU3hBYXNRaDlKZ2VDN0MzLTRNYkhjSXhZUXN3M1k2aHJvbGpfU21KTHc0dlh1LXN5WktJdDZERXpZcEs3a0FMVEx2TldTWmdHLUhvZWRMa2J3aUpfaENNNGV4S3VzZVBBSFBiU2dITTRUNVkxOGtHcXNMMHVOX2dHU2JJSGRiZ0I0dFpOMk94TEM4ZTdQdGlvYmhEdzNPTC1JclUwSmJNWGQ4Y0w2a1pBUldzVmlZQ0VzRGhKN2J4SEVNMnd5R0k00gHYAUFVX3lxTE0xQ1pqOHZHWlJNc3h0c2ZtanRqMU9xU09wYm9lenZCQ2tpelhKb0NKSFVwNTVzeG5ycFFEazJaM1pBR1BBMEY2Z2NvamJZWW8wcDJub3BHVDBwWERYbDl3WkxnaHExclJGb1A2cVFiQjJ2WF9sb044OVY4VzVJeTdrdkhLZUM1VC1SekVQOWtwR0pfME53YjFydk9pTTlQbVA3ZXdBdUw2cGpaSFJaMEktUjBuLXNuNjR2REt4dURWTm10OV9VX04yS2JWeFdHY3FiTFJuVTk3VA?oc=5", "source": "Business Standard", "published": "2026-10-23 05:27", "score": -0.511, "label": "Negative"}, {"symbol": "MARKET", "title": "Sensex falls 450 points, Nifty slips below 22,500 as oil tops $113; Jio IPO in focus", "link": "https://news.google.com/rss/articles/CBMimwFBVV95cUxQRHB1V0V0REszTFp6bmJZdENuVHRoMmN3MzBlcTNjRXhmNDlPZnBUWlhKRmpuTjhrMEx0ZzlVSHp6NVRRSjBSc19EZC13VW83M0wwNFlxcF9pWUVKZ0lwa1BLNXRvREZUbWNDcEJZWWFwSXF1bnllRG5GWERNWHhfaUlEcWVCS0dSbEFNVG1QZGxQRGZlenY2T1gyQdIBoAFBVV95cUxOMG9jdzdVT0NKQkJNLXhsRVpIb3BYNkZRRHJsckxabnJueWN4X1E1dG83b0N2UTBZX3pEeGwwdnlIc3JfeTlNd05WN2tqYlV6cUdEaEEzWk5vU1JnZkg3Y292OENyWjFaekI5Y2JWQ2F4eDd6MG1mYlFCdDVLSW1CLXlRTUoxcDV5bFk2TTZYX2szSWRtWUVwMmhfRVpueU9r?oc=5", "source": "Firstpost", "published": "2026-10-23 05:19", "score": 0.25, "label": "Positive"}, {"symbol": "MARKET", "title": "Sensex, Nifty Open Higher as IT Stocks Lead Gains Despite Weak Global Cues", "link": "https://news.google.com/rss/articles/CBMipwFBVV95cUxPNFFQSk9iUFdMLVBOcmk1RnRmY1pLYk9mS0FCNF9XUi1iU3dYYkNsV0ktUzFhTVhtYjdVT2dsWDFLeElsb1F2dDU1UG5HQW9DWE1GLXhpSFRyV1lWZVk0d0FTQjV5U09MYm9YZkxvNWJoQ1k5OG1tUjR6QjdGQS1RYU5GXzFMMlY3ZzZfNGJRb3ZsM2lUUlk3NzlwQ2FGVTdXRGp0ajQ2Zw?oc=5", "source": "DD India", "published": "2026-10-23 05:04", "score": 0.757, "label": "Positive"}, {"symbol": "AEROFLEX", "title": "Microcap 250 index slips 2%; Aeroflex, Rallis, Bluestone slide up to 8%", "link": "https://news.google.com/rss/articles/CBMizgFBVV95cUxQSVhXc3E2UEFfWXdoODIwS29pdEFsWF9BUjJQajQzaG83bTk3cTF5RjZNR2hzQUdZVmNfcklZVmxjeXZneXlVdkwxTFgyZENGeV91NElhd2VFckNjWm9xR19aTmpCWXp6b2FmR2N1eGgwYTRYeHBMX2ZFeFQzNXVMaURRd2JuYlcycUVseWtBLXQ4VVg3d2JGanJ2T1pDYzN4SVBjdFNlWVBTYXFOMWlVZndvcHFVTE1xTnJvcVU5bVpNNlMxa0lnalRGY2EtZ9IB0wFBVV95cUxQXzh2VGo0Mko3NkM1V3lGbEVIRkpldTc4a3c2ZWRlcUQyenpnaHVmM3RNMTkzZHBLNjJiRk44bjRMUjFnV25mNWVvRUFONnZadWR1N0tOem42T2NKSlM4bUd2ZXdoelNSbkJKM0I5V1lPZVRnMVZGNlpPTHB6cDBRYU5JRUV2ZEt3V0xyZXRMSGRHdWVVSXFRdHg0OG11MGFxRHpWeUJlYXN6cDl2MjhLeUVCcVY1RVU3cmkwZVdLU00wR2d2N053TGRvOVdVc25NV2o0?oc=5", "source": "Business Standard", "published": "2026-10-23 05:01", "score": -0.34, "label": "Negative"}, {"symbol": "MARKET", "title": "Microcap 250 index slips 2%; Aeroflex, Rallis, Bluestone slide up to 8%", "link": "https://news.google.com/rss/articles/CBMizgFBVV95cUxQSVhXc3E2UEFfWXdoODIwS29pdEFsWF9BUjJQajQzaG83bTk3cTF5RjZNR2hzQUdZVmNfcklZVmxjeXZneXlVdkwxTFgyZENGeV91NElhd2VFckNjWm9xR19aTmpCWXp6b2FmR2N1eGgwYTRYeHBMX2ZFeFQzNXVMaURRd2JuYlcycUVseWtBLXQ4VVg3d2JGanJ2T1pDYzN4SVBjdFNlWVBTYXFOMWlVZndvcHFVTE1xTnJvcVU5bVpNNlMxa0lnalRGY2EtZ9IB0wFBVV95cUxQXzh2VGo0Mko3NkM1V3lGbEVIRkpldTc4a3c2ZWRlcUQyenpnaHVmM3RNMTkzZHBLNjJiRk44bjRMUjFnV25mNWVvRUFONnZadWR1N0tOem42T2NKSlM4bUd2ZXdoelNSbkJKM0I5V1lPZVRnMVZGNlpPTHB6cDBRYU5JRUV2ZEt3V0xyZXRMSGRHdWVVSXFRdHg0OG11MGFxRHpWeUJlYXN6cDl2MjhLeUVCcVY1RVU3cmkwZVdLU00wR2d2N053TGRvOVdVc25NV2o0?oc=5", "source": "Business Standard", "published": "2026-10-23 05:01", "score": -0.34, "label": "Negative"}, {"symbol": "MARKET", "title": "India VIX Jumps 5% as Crude Nears $115; Nifty, Sensex Open Higher", "link": "https://news.google.com/rss/articles/CBMiuAFBVV95cUxPQ0xWVE1oc2JTOGdCUHZYbFpLNGVaYTg4QTBEMFFVNEd4Qko1a3M1VjFfY0NTUVotd29Yb0RtQ0xiLURjbzhiWF92emtxT19iOTRXQ1VaMnVwWlFJTkd0YW1RYnVEdXZsbUdWMjI2eWdyOHA3Q1ROdnJRLU56enBwZVg1bGVQQWJ4UDhVRGJ5cEN1cjdud1RROTZPLVJVWkgyd3N3Y1Nub0Z6TW9jWnZDaWtlUFRBTWdh?oc=5", "source": "HDFC Sky", "published": "2026-10-23 04:59", "score": 0.25, "label": "Positive"}, {"symbol": "MARKET", "title": "Opening Bell: Sensex Rises 339 Points, Nifty 50 Gains 36 Points; Q2 Results and IPO Subscriptions in Focus", "link": "https://news.google.com/rss/articles/CBMi5wFBVV95cUxPM2JJVm5iOXhFZ2ZhUjNQcDNOZk1kMmdFR0tTZTRzUUZ3SEpkVGl4Znl1OHZfQVcwVGR6VDhzUG8yZWl6Z3dDV2RBRlNrYlM0azBYd2ZVZk1EYmpqWkdIeUpockF4YWZFV29SNWZJc043SXlQRGxzS0RybFJfVk5mdjVfdm4yMTN2dUp4bVpSMFlDQUdDSmpTSWN1b2doNExkQTlqcUFyblVWa3BSZXJ5Z0c0UHBRV2RSOHNqQlNrREZMYm1EY1cza1RhQkpvQXBoc1Z0THhOcXZuaXIwRmxMY19Pemc1Rk0?oc=5", "source": "Dalal Street Investment Journal", "published": "2026-10-23 04:55", "score": 0.649, "label": "Positive"}, {"symbol": "MARKET", "title": "Bonfiglioli Transmissions shares list flat at IPO price of Rs 586 on BSE, NSE \u2014 should you buy, sell or...", "link": "https://news.google.com/rss/articles/CBMi-AFBVV95cUxPVVFWdXlMMnNDdkdKZ3ZGX0xoNHBSQzNnbnB4OXQxZldKVVUtRm9yaEJjckw0ZW1ocDdXSDd1UDJpb3hYczRnQUZHSzF3MWFpNWEtTVFyd2h5YnNPNTdLaVNZRlBrY21QdVBfblNyQVhpX3IwWEVYUVpZSXJjVEtRSUZ5QS0tVjBRRkdxY2pGMHZLMmFBdWxnR25Ibi1uNnVDS21mTzVLTXBXN1YtVjVuX2xkWl93OVpxeXVqZU1idnVndmZreU5RUTBBeW0xZ19zYkw0cVVKUTVhTHR0QnNUdk4xZV9aTmVNck9sbDA5OFpBYnhZTlRLdtIB_gFBVV95cUxPWTI2SmE3LU9PbEJ3QllFNmI1SjhqY29oLUlSQWxpS0NsRG1UdkVFNmNkU3BsTHpoVDhkWmlzRFpJZ2g5d0p3dWdDME9Rd0RicjlCXzJCQ0xXYUNpOTdNeVA5SDZzTURZTXhpS19TMUY2YXg0XzZkWUlhQ2QyS2VHbEZwRDNJMl9QNk9zYmRRcHdrS0xtYWhsdUhjTXczektiNHJBLVdsMm5uZnhRcUJzTC1oTDF4ZkNISkxPcTROTzdOUzVId24xMVR4OHphQS1BcktWckVjS2dHazJ2VXlPOHdOVV8xazZqSDNHSTNHOWFJdERXZEJ6U0RtRU5NUQ?oc=5", "source": "Moneycontrol.com", "published": "2026-10-23 04:31", "score": -0.052, "label": "Neutral"}, {"symbol": "MARKET", "title": "Tonbo Imaging shares make strong debut, list at 66% premium over IPO price", "link": "https://news.google.com/rss/articles/CBMi1gFBVV95cUxQaHI5UktOeTNYcUdwZWFwd3lHUkZOX2NYMVZVTEpBVjI1SzNBVGUxR2t6NHFhWlJ0bG9wNlh4MC1HbFpWaWdrOENncFhiRFN4R0YtQ0laTmJUTUxZNVByRkpEWENDdUx4bjZlbDM4ZlUwbS15aXFhaVNQYlFyOWg0OXFINHZWTGJPOEVqUHZPRXM0eWo0SXZmX3lndTFJQUc0N3c3OURQQmZXMzJHQlBOcnhYeU5pS2N4LVI4a0hjdmtwaVpLLU5vSVdYMTZHVDVxdTF5ZXRR0gHbAUFVX3lxTE5rd3kzb3JPQ1JwdGpXS0Exdld4b3F6cjJ3eDQ2MzFFcTZVZXg3VTJUc2tmaVcxeG5rdEFlRTcxT2czLW1TYVlRb2lYbDNiSHdjS2dkUkpMMjVCYTF3TUt2T0Z0enRXRU5TNW05cnJqeDhzakFoeGFENXBCWDNYVWFKYXhMQUZXcTY1VVVJM1UyNW82MkNua0ZObVNwYkZLcUtMLUp0UF9rUTNvSEdDY005VS03bkRVcjlkaUtmRDh3NFJRcVRRQUtiRl9YaXFYdGkzWmtmc09weUNRdw?oc=5", "source": "Business Standard", "published": "2026-10-23 04:30", "score": 0.382, "label": "Positive"}, {"symbol": "MARKET", "title": "Sensex crashes 1,250 pts from day's high, Nifty below 22,400: Key reasons behind market decline", "link": "https://news.google.com/rss/articles/CBMi6gFBVV95cUxQR250SWE3RDBETXh2Unp3ZENZa1ZNX1k3QnVlaUk4cERpOVl1Zm5XT25FNVAtZnJXc1YwSnQxY3VIUjdRckM2Wm1DZjhUMXpIVW96eXdIb2IybkxlOGNETDFvR0xVYjZuazlaNkcwNWhSMzU1b2pqUnZwVHlPYUtULVphbmh0VUhSNjFSOGNCY0RiVGM3MEdibzZLa05FQUNCc2ZkRi1FY1F1dDR5MHZnSVBWamVQSzlvaTNxNVpmLW9hbUtqRFN2QzhGX3BLOGc0Qldqdlp5c01PMkVLOUZxdVRrTVZrOXd1OVHSAe8BQVVfeXFMTmpwTlpEb25yZXVFWHRXUzhuQ2RDYVVTX08xSWZSVGFTMHlTU2F2SDVJTkN5ZU9hWWdIb0tsUEdtdzE2M1kxcTRxTWt1ZDdRdVNSS0t0bWlFWTlkSXh2Vk9wQUstRldGT0JDbGNkX3Vab1FZQVZkcWtqNmM5QUZiRS1qOFNsR0pHRmdRUkNhY195TFBMN21HNEl5OTA3aVhVYkdHWXgyMmppN0JlY3dDRVRkZ1dMeWpReHZmaWJCc3ROMHFJWEY2dE0tSU83TXFXdEpvRm1leVBLVzhmQXlHMEhNZUFJQlZmR0xDOXp4V0U?oc=5", "source": "Moneycontrol.com", "published": "2026-10-23 04:27", "score": 0.226, "label": "Positive"}, {"symbol": "MARKET", "title": "Sensex jumps 373 points, Nifty rises 0.19 pc at open as IT stocks rally despite global tech sell-off", "link": "https://news.google.com/rss/articles/CBMi4wFBVV95cUxQeTRtUHZzWkxoV3hfVUFYN1dydlZxdkYxMV9RYXBMb1JNUW5CQWNLRzJ2dUFfbE9FVk9VV0JHWThQUHNwTG9FdmtUdXdkaDFIaEFhM0N2c2kya29OSHhEbk5icGZEbjBzZ1pYVlVUdkRWUTFvYU1ieWk5azhidmZlTlRvTUhKSUw2N3plOXZ0ZDNOclktNGFDN1BvYVRYU2Z6UUFIU19yZ2dhUjQ5QW00M0ZCQ09FdlktUGozQThrUElTUHo1ZkxLSHYxdWFlbDVzLVUxX1hkRWo1dXBIOG56RWVIUQ?oc=5", "source": "ANI News", "published": "2026-10-23 04:22", "score": 0.827, "label": "Positive"}, {"symbol": "MARKET", "title": "Tonbo Imaging shares list at 66% premium on BSE, NSE \u2014 should you buy, sell or hold?", "link": "https://news.google.com/rss/articles/CBMi1gFBVV95cUxOeWhIN2xrT2Fpams5WV9XMGZla25RQjE5ZlBCaHI0RDgzRWRwUi15TW5ISG1KS0ZjQjVKZ2VwZ3hCOUppdERRQk5SWjdVcFJLcWU0aFVHTzRTcThYSHlpdnRFR0htb2U0aHJudEVQdWVqOGRhWnNKSkNVVWtORW9JS0xGaElGRVh1MG5ZT0M3SHlISEkwR1hsUkFkUlRiRk5QcTVIaWdGQVZBcG9QMVV2QktMUFFsaG01YUxSaDdNVjhxaW5fZEpnTWgyLVY0N0RBLUZFRjBn0gHbAUFVX3lxTE8wY3lVNjlRU2VRZmZoaVd4Y3Y0WGV1eXpod3dtM010MHV4M0ljamd2MlVialFpZjE2T2RiaEpXei1NSWI4dW1mMmJkaDcxZjdIbXZHS2xQanljVVNoTlJRRzJZakFLZW40VjBWelluVngxYW1kSnd1V29MWkptQWJ0aHlvWVZpbkdUSmFuclpEZXNZSlYwQjl6WUw1bHhZcm9IZHdSNFFOYWNzMmdnamk4TXZXV3h5UEVZVDcxdFZBcmZjMS1fLTV6RFU0d21McVNCamJJMDhhaTFwRQ?oc=5", "source": "Moneycontrol.com", "published": "2026-10-23 04:20", "score": -0.052, "label": "Neutral"}, {"symbol": "MARKET", "title": "Sensex rises over 400 points as Nifty IT gains nearly 3 per cent", "link": "https://news.google.com/rss/articles/CBMilgFBVV95cUxQVVJ2aVlaQTJEU3haR3RsX2lmNHI3UGRXM0dicDdHcUc1X2lLV3lzT1RoOXlOdEVNZzdKMmJFTUJ0Rll6cm5LbGpJSG0xTE5BOXJ2bUMySGQzbXJ4d2ZoVkdleWtEUjFFR1NCekNDT1FnZXQzcDBHUGJjVlRVRzJmVl8wRkdiQkVfZUNqajN4bHJxb3l4dmc?oc=5", "source": "Telangana Today", "published": "2026-10-23 04:19", "score": 0.649, "label": "Positive"}, {"symbol": "MARKET", "title": "Sensex Today Trades Higher | Nifty Above 22,750 | L&amp;T, TCS Top Gainer", "link": "https://news.google.com/rss/articles/CBMiwwFBVV95cUxObjJZRHBmTlFZUVJ0VmgyZzhzdDJ0SEhCdTRvaXpjZnpIWnZTZ3JSS1ZhM2p2Q3FyR0dkeGhNbGZFaFJfZTRzb1JnTDR0ODhONzBxUjY3M1VoRzJBWVp2Rmg1aURiZnRCalhiYmsxT1dZeWRPbTJDLVBaVTNOd1ZXb2RJdURERXdLNVk5Rl9MellOSGU2SEVjdDhBaFNldWZXbDc5TnRSN1FuOGlxNGdHQ2dNMnQyNHR1dHJBejV1NzhaMzQ?oc=5", "source": "Equitymaster", "published": "2026-10-23 04:16", "score": 0.542, "label": "Positive"}, {"symbol": "MARKET", "title": "Market Update: Sensex Crashes Over 1,200 Points, Nifty Near 22,450; Smallcap Stocks Plunge 3.6%", "link": "https://news.google.com/rss/articles/CBMi3gFBVV95cUxNRW1NOXcxQU14TU13N3VaeTJLV1VFblZTMThubS1kel9zaFZVWXc5b2tWZktrSUphOEk2eWVzbEpmdE1MSmxxTm9OQkFhajBPdEpaX0lqYWJVX2MzRHhOSEtfRGt0cFRnOXBTZG1ycEVmM2lsZzZBS2xiSHd3Q2xoaldIdE9hRC1HTlVaZ0Q3NlV3TjBRT1ltNjNCS0xXVV92UVRlcC1hX1BPUHZzNkdZQUFxWDI5MzBxWXBfcW5IOHM3WmZsZThyY013dzJkY0RJSER0YU1JS1BBM2dSUlHSAeMBQVVfeXFMTnFCaEhHbi1rSkhZZThKUjU5bnBnTGVxb2NIcHJqZWlLMmp0cnhwZ0JLY01WcndTR1VSbjVZam8tMW40ZlcxTXMwUk1Rak51V2JRLVE4Wm9OeU9icm9BLXEwUTRTVG9DOW5TUm5lQ0NKVUxVRW9sZEdGN29yems1N1J3b2J2WFhWaUdpRTMyQVR1N0RSbUV0blUtaUl4LV9TOXJnTTZzUjVXTXozd29FSWpwdTBYdjgySUZ4bktvMDlsSFBFdmttd29pQTBzU0FSbEEza2ZUbUFOeThpRFdxbGYwVlE?oc=5", "source": "News18", "published": "2026-10-23 03:57", "score": -0.202, "label": "Negative"}, {"symbol": "MARKET", "title": "Havells India gains nearly 2% after Q2 results; brokerages split on outlook", "link": "https://news.google.com/rss/articles/CBMi1gFBVV95cUxQaDZKTGJWNVVPb0VxaWZ1R2NSNGFTTENlYlJzZi1IZ1hBbm1yYjV1NlROZDhNMi1FcXF6UXhTOUJOd1dJbndIUDRmM28wMEpzYndDTlpoQk1acjB4Z0owbmtkTzJYeEg0dEFfSUptQk94d2I5S2ZBY2NuNHhQeEdCMHNwN0FKVFFDY1AzcnphUTBfcWwwTmdieUd4MFI3LXpSYkFWVGE3dmYtTXNmRHl6N2xTaVBZSmlWMHBBX0hqd0hURkYtdnVjNXZyeVAzMWtUcnU0eUVn0gHbAUFVX3lxTFBlSnV0bC01bmVXbXBNTHlJUEtCSTI0QzBtNUlZbGFDTUxNOGZ1NFdfUjQyd3NTNU85S2JhZi1NcVVaR2tCT0JkMnZZcElxVlU4RktuRk10VjRZVk1memNiYW9Zc2lPUmtBWmVPQld0eXRxeXp3X2RpOGVTVnZGUEdkbmJuY09GMkY1Q19WbjlrZVdTeFREendoQ2IwWUZsckNMXzc0Q2NuY1lMMmdXSkI3VDFsb1c5bmpNY1VCVl9fOExORnhaakFKblZiYWFKOU5wZjVqOWZoNTdvNA?oc=5", "source": "Business Standard", "published": "2026-10-23 03:53", "score": 0.382, "label": "Positive"}, {"symbol": "MARKET", "title": "Sensex 400+ points higher after 3 straight loss sessions; eMudhra among stocks in focus | Business News", "link": "https://news.google.com/rss/articles/CBMi8wFBVV95cUxNQU8wY2JvYVJwUDBPSnlWcG5Sb0Vvd25xQ3htbkFJZFBiU0x0ZHJTeW5tQXJ6YklhVWlDZmMwNXg0M0pSVDV3UUc2ekw3ZGVtaDJoNW96UFdXeU13LXk3NVdpbGVxUGZEX2hGbTdHT1JMdFB0YVA0RkpQdTB6c3U0eF9tVmZLb0NGdW5icmw3ak03NmNlbW5ibXpaaFZja3BMM25EOEFtcWlnOWlKWm1PeWo4ZmVia1NFMFp1Z0lkQl9SbmVsWkRrWFk1RC1zT3FiWk54a3ZLTlVTaVFTSFBMalozLUstS2d1WFp5TnkxNlA0VkXSAfgBQVVfeXFMUG1VTm4zeXNUcDZ3ajN3UFFxOFVWZFpPQ1pNeHVEMEgwQV9RbW42RUM3bHRYeTkxOHkxQjN0UGJ6UVJxQ0ZWNkpyTXM0Qlcxb0xYUlBvQTBhNG1NSlNibVRTR0d4RUJHV2MzbllPR3g0RmFJZ1BvaUhtTUFTMnozQ2VsamJwZGtVS3VaU2VOVmRnSkRudmR5RGJsZmgwc1VFcGN2Tm90WEM2NzlxSURaT25CcC1tRHVFbWxKS1k2NjF6TFozQ2dkMEp2d0NkUVViSkE5cHFfTzhTV0xTR1RwQjhveXNfQ2ZmN1JoTmpqV042RlhnUDQ0WHM?oc=5", "source": "Hindustan Times", "published": "2026-10-23 03:49", "score": -0.226, "label": "Negative"}, {"symbol": "MARKET", "title": "Stock Market: Sensex rebounds over 300 points, Nifty above 22,700 after three-day losing streak", "link": "https://news.google.com/rss/articles/CBMi2gFBVV95cUxNSjBDSWdBVjlmU1NWMU5sQjhvY1V5aUt1QlQzQU56aGY0aEJwZEZvaVUzekdaSDNaYi1ZNkNGM0U0S3YtQVJ6TVJDZVUybjVVLWFXQkVobXc1N0JiWW9iTmJ0cEZiZVZOTjdmaERhbllzNTJQV2Z6Y2hPU29HdF84MFVEbHc3RGN6bi04bXozcmEwbjNwSGFmMVk3SW1WRkZMSHdSRGMxSWpxbGxsaUo3S0VsSEtDbzBFQVphZDRKcHZ2djR4ZzBSemJ0aTlKRzRvZ3k0eHpxNlBFUQ?oc=5", "source": "Zee Business", "published": "2026-10-23 03:49", "score": 0.026, "label": "Neutral"}, {"symbol": "MARKET", "title": "23 October, 2026 Stock Market Updates: Sensex jumps 416 points, Nifty near 22,750, IT stocks rally", "link": "https://news.google.com/rss/articles/CBMioAJBVV95cUxPODZaMVVEaXNXM2lsYVVaOC01U1pLV1FmNUFOWmZsVzJ2eWZJQ1dIRkpSV2oxVDFVWUlKU21JRTZ4Rk1OUElsdGlVUlJWTFhMVHdWQy0yS2NYN3hLWGJnWFRzbzgyMUdwekZrMDVqd2FvOXByaU94Q2tOX3JWX0tkTHU3RF9qMkdoMXZDZWFxSXdFUkNyeDVJcFNoQUVOU21UWllGUXdld2hJVGRJa1BYMmZYNUkwUG1XZ2xvOXJCV0JNOHhmRmdMa2hScUFmMGJoLVVUcXJtRDI0SEZVWmdHMG1WRzZwZmFhdHdqckxUWk9zZERuai1MTVgzWkFWQnZvWEZKbUZMdUJ1M3l1UHVpdHBRM09PV2JRVkc5UTNsVHXSAaYCQVVfeXFMTk9GeXcxbnRSbVdzdlFYbEdQczJab1B3aE5takdKa3VhOC10d2xuQXMwbUxGR3hfWXh0TE9DU254NDVLd2kwU2VUQTd0Q0hzYXc1dVdCd200T05PbkNfNGJFY0tLMGxYeHBsakZ4RjlYaEhQZFllaWJmakZMVHhwaEVGakZXaVdZZzAzVjRoak90R0h5c0lSa3F0VWVoWW9pOUdvNWJUcmM2d3FKQjFnX3FJdVFjWUNHY1hiZ19GTExLblhXNjRETm1xQjQtNWFnaVdpdS0wUmlIOXpqeWVfLXhFdzZlUUF2NlFpY0tjVE9KcXFyQTQ2VkJNV3hwRkRxSzFOYlpGLV9OeU1uZE5PNTdvaVBHLUxyc1NhWU02Zk82ZU16MmNR?oc=5", "source": "India TV News", "published": "2026-10-23 03:46", "score": 0.827, "label": "Positive"}, {"symbol": "MARKET", "title": "GIFT Nifty up 133 points; Infosys, Swiggy, BSE, Cyient, Zetwerk, Tonbo among top stocks in focus", "link": "https://news.google.com/rss/articles/CBMi-wFBVV95cUxQRF82QUVVOG40dldXVkJEWUJyeUM4cE85bF9vcUQzVzNfUFQwRklUSVM5U2RrbWI4RzdCMmlaVmdFTEhsNzVRQ3c4UVZVbDkzWVhYWm9QcHpmRHZibXJtd0NWZmVwMndiX3pvSzhXZWtVZU9GUjExQjdyVlJKWjBfNWRZckZidE1XYzd1SmlmcEMxcWdPUXRfTm5XLVdDT096eGpEZWxVY0EwdEpGTzlNSElUeC05YXhsaDVNMGZBYzNKWGczOWlCME43SGVBbHBYZ3JNcnhObHpLSEF5S0FkOWdJOTNOV2p2dV9oQUZVblhlSkE0aldPd1V3Z9IBgAJBVV95cUxOVkhkckZ1MWhEWGhzcXd3dlJaN0hKTDNXWFNacWV1SGhMblc4T0VQQ2lMR2JNSlVpTHdFOXdXZ1RUc2VRcS1Sd1JscGxSOFZ3Uk03a1FyNV9OVHRGTl9neUhEX3htM3pGSjhRLW1IZi0zV2szSmlMQXI0NXdTV2dvS0dOR0w1VEhSYm5JelN4b2JzY2NxcUNtMDM4RmVvaU91b2hQODNSZmRSZGxDLURDZ25CQzdUNW1ycEpIM0dPMHdJQnllZFlza2pzcEZpeDhyTzQ5M2FRZnM3UDNkeWVGaldYaklRVnI1QmVRQV85NzZTM19SVjlBeDBoZGt2clh0?oc=5", "source": "Business Today", "published": "2026-10-23 02:59", "score": 0.798, "label": "Positive"}, {"symbol": "MARKET", "title": "Surging oil prices drag Sensex, Nifty 50 even as Jio Platforms IPO shines", "link": "https://news.google.com/rss/articles/CBMiywFBVV95cUxNQjBIRnRoUFI3Z3VnU1NiMlF5Wm1BNG1FaU1QajNaWURVc3dvRUFSV1c1U3NMcE9CRktiNjlZU1N4S2RGQmRvTUlmcHotQnl3TTBCU05jUVJUMV9jRk15R3pieXlqTV9oQnRfN2d5NWo4U01YLXhuSmZJbm01Z2VFQTk4M0dNbFJzVVBQLUJqRldUSTRtVnF3NGlUb2tZUDJja1c4Q2RieGRGN3psYWhpZWtDRU0yVGh3enZPWEtGQVo1bGZoSWNnWkJRQdIB0AFBVV95cUxOYVQ2RU14VFllRzQ0M3ZNenF6bmJNUlQ4QXI5YkdEdmlNejUzMnp6bHNGUWYzVnFPbGJvUHRjOHU2QkZjd29mSzNISVNyU0duNXhVUld2d2tpQ1QxbzRnam1qbS15WlZnREF3RDgwWFpac1pTMjZ0c2MxUDFUX3k5NjJzOUpxUkhMaHM4dldUVFptalFDYVd2am9sRjF5a2tvSnRYZFJzdDN3bzQ0SXVGMmhFYmtvTm14NnBHMTFjN2g4NDJmazRZV21kc1FwZlNO?oc=5", "source": "Livemint", "published": "2026-10-23 02:30", "score": 0.202, "label": "Positive"}, {"symbol": "MARKET", "title": "Surging oil prices drag Indian shares to weekly losses", "link": "https://news.google.com/rss/articles/CBMixgFBVV95cUxOeVk5bXN2THRVWVBubnpudHpPQ2dreFhuVUxXSUFqZWJLa2psTU1rbjl3UktXTlVabEpvVEM0YUpuZVBUWkJQSjB4X1o1QlI5OEZYNE1fNE5QREZ1RjZqeURTcEFZSm5DbkFGYkFCLVNVYkpRNXRCQ3RMTDExMGVJdS1lUjUtdlBFVkJQY1VXdVBZTF9qVklpbU1YRXp6dHpXNWhqcHVFVFNsZUtQeXV6SGNBTnJYaHBzWlE5SF9EeFpiYllha3c?oc=5", "source": "Reuters", "published": "2026-10-23 02:17", "score": -0.572, "label": "Negative"}, {"symbol": "MARKET", "title": "GIFT Nifty Rises 102 Points, Signals Positive Start For Sensex, Nifty; Experts Say Concerns Remain", "link": "https://news.google.com/rss/articles/CBMi4wFBVV95cUxOeENlS1JEazdEdS1pY3hldkxqVUU2bGRicFpDTG9DNHZZMTE5YXdxTzVNTnJZV3ZxZktfaGViUURVM0llTDE4UFlZZGs0Z2N1c3VtOUNVbC1hRzJNZjVkamxHek9aWkZVam5zVWYwTWFLVHVPWTE2NWc1TlNtV24yZUJwUFpqZ01sVzBYSnVkbDZ6bEI2TkJzcEswMW52ZGpraDBtSnlQdHBhc2dYMVVOTnhfZjdGeDh1dkFOdDB5TDZ2UnpIaWFEd2s1NUdKMHA0M205YmJqWnJSNUhqVEkyN1JGd9IB6AFBVV95cUxPLXdlc210RWxmTzZTUU5zaFJYQzVfNHVmbkllRTI0UXZJbVpxblFDS0hTaHJXbm1NTjlOTG5MNnJiVG9nLVE1T1FOeGN2Z1VlUGpTT3NYbTdmQXRSbGFZSnJOOTVkcVRrV0RFXzFoVDQ3a2ItUVFGckVKZnduQXRKODZaa3JTZ0FXZnQxRDFyc0VMNVFsRC0wZ0FTdXF6c2tZdk84TlUtRTVzTjMydnVVZ1Q2S0swMUdYRXV0TEtuZ3hYbnBxaUZiOTNmeUstV09YVl9VNG5MZUs1TnZuSnYtV0d0ekV4dE1E?oc=5", "source": "News18", "published": "2026-10-23 02:17", "score": 0.912, "label": "Positive"}, {"symbol": "MARKET", "title": "Top stocks to watch today: Infosys, Tata Motors, Swiggy, Cyient shares in focus on Friday, 23 Oct | Full list", "link": "https://news.google.com/rss/articles/CBMiggJBVV95cUxNOVVCUXpYOFFvMHRiNUh0STZHZDJIU21Fc2pxaElwWHBlNjlCMzBNczUyMExydzNMNXp4NmhaVkdzRENneW9YU2htOGs0d2xYay1XLUNWLVVsNlZqOU1iSUFIb1Y0UFFEeUFkOF9KWGdaMjZPUFdfSjRBQW9YMUduZktUcUdGRGhSckZpRGotSDhDazBSX2tHRVE2cktYaW1acF9rQnItamVNVHFoRThQMmVCQ2VjZXF0Z29IS3VEWGtiOVZZWUc0djgwVUxuSVJsaFB0bU1wU09NeDZtQ1ZvR3A4cS1RWkJ5ZE0tOW4tWFc0eURSMXdpUEplaGN4Q0lnQVHSAYcCQVVfeXFMTUNzZWFUcDlaY1ViVHpuYmZheU9mWTZaYWlQcXdJRlVuczc2dS1vc3pjMVAzVkxUMnc5c3Y4YUdJbmdXYkRwRS0zSm9fSnNVdW5HSGE3ZVlTUmNOUU9Sd0hQbzNGMUw3Yi1oWFdlbXdGSzN1Sl9DbHg1M0l1SWZfb2V2QVB2VnRfV0dSbkpiQlRubVk5MklvREN1bG1lTkZ2a2RDSzVQSkZnSG5IUThlemxYUGlqc3MzQ3Fzc0NlMjg4ZU9QWkxlMFlCbFFEOXhzMWdldmU2aHRncDR1MlVmS2NJQ3M0djNBcVZBenFuZkRHNTZralp6aWY3cngtc3F4Rkx6aTdRcEU?oc=5", "source": "Livemint", "published": "2026-10-23 01:54", "score": 0.202, "label": "Positive"}, {"symbol": "MARKET", "title": "Sensex falls 1,000 points from intraday high, Nifty below 22,500; small and midcaps plunge 3%", "link": "https://news.google.com/rss/articles/CBMihAJBVV</t>
        </is>
      </c>
    </row>
    <row r="4">
      <c r="A4" t="inlineStr">
        <is>
          <t>95cUxONnJMM3BTT1ZsdmNEZ3hLQlJRa2hqMWtuVUdyVzl3UnVOZFlqeTNRbWZJQTZxcjNTNFRSanZUb2Jtdll0OGhkQ2MzSjFxdUxWRlZVendyOHoyOW1YNmhWSkdSNUpMdFJTRnRKWGd6MEx0aWM4QzhiNVQ1SThIWUtBOWpSd3NteW5hQU1qblNiTEpqMWZBSzVLRElpSVRwdF8xTDdqX004UUEwTTFIdDFpaUl3bFNOMnFxLTN5czVsdWVXb2lpTzJZd1lfZVJvbE5ZWDlYR3RFOEVBUjJyaXZ0MHc5YnlDSS1PLUpWTk43UXYtNjQzYkx4WWU5N2xnVkVqU0FDZtIBiwJBVV95cUxNeVJHamZ4anZFR05lQjB3YzQzYkVfTy00WUE3X0Q3ellsNjc0M05uUGxiWGdULXhPb25KVktfeldvcVdIY28yZnY3ZGR6N3MyS1FNcU5VYk9vT0xNUS04M09BdkVKaUJyMkdoQ19GVmZLZUs5Wm5mRzJEeFRTUmJqVnYyelMyQlN0WUpfVktxam9xUXp0V1ExZ3VTQTF5RmQwdXU0a0hSYlVUTVBhbEF5WkFpU3g0UzJGeDNiaTNfeVVUaGV5c2lCbXltb2VNdF96cUNQWVRBeF9tdDRQT3RUMzhJbzlEWHVJLXF3VGx5dl9FbWNYdVhmT2diZWZHd2YwbEVSbTkzZ2xVdm8?oc=5", "source": "The Financial Express", "published": "2026-10-23 01:36", "score": -0.382, "label": "Negative"}, {"symbol": "MARKET", "title": "Stock Market Today: Gift Nifty, US Tech Stocks Selloff To Oil Prices; Five Key Factors For Sensex, Nifty 50 On October 23", "link": "https://news.google.com/rss/articles/CBMi_gFBVV95cUxQQWdWRVpsUTNxQ1RxNHNyYk9CMlBJRk80WmcyZWloYWRoaUZrQlNybHZLYVFfZ1V5dkpEZGJTR2w4UF93MTBSWms0UkMyOU1BSS12bFZydHo3Zi1kcTVNZXZIM3N4MDUwRUxITG9NazI5M2FGRzdrN2Z0R3Atbk13cjB6SnRBVEdtaDVMcVU3OHJDREYydTJUTUZSWERLRVRTbjRuWkxoTGNZdzdQQnFzbTlOTFJETTVRUjl4M1VNeVg0ai1PV3VOUlNEWnRTcktKWVN2NWViOXY5cmRSeDd3SVd0NnVOck9IQVpBX2ZoYTFiQUpGQ3BNQWxrcG8zQdIBhgJBVV95cUxQUG9tU20wMjhNUjNkOTZYVXpic1RuYkhHcVZBdGZBMkpaSDRNRS1fMHdjYjFDY3JqZTczRWFFWXl3SE5pYmltRnpnZV92X2ktMFV1aGRiZTJ2T0tYa1FMNW9PRzhsLVk2S0JUTU5YRGdvY3Q1MUgwQlUweFJiU05wa2ZhUUUzNE1GR0MtbFFHSExJdGlJWWlBcWt4Ry1iRXkzVVlTM09pejk2SXdOUDFrYkxDdGM0dU00dkhvdE96V3dDQjVkcm5UcW5jY3czMmwzdFo5V0k0dDAweWZZdkx4LW1FTnkwYnc2WVhBbmhzWGZJV0NKR1NjTW8xZFBVdUVpY0lITHpR?oc=5", "source": "NDTV Profit", "published": "2026-10-23 01:31", "score": 0.807, "label": "Positive"}, {"symbol": "MARKET", "title": "Stock market outlook today, 23 Oct: Sensex, Nifty prediction - DJIA, S&amp;P, NASDAQ, GIFT Nifty, Kospi, Nikkei, Taiwan cues", "link": "https://news.google.com/rss/articles/CBMihAJBVV95cUxPTWxKQmhIZi1qa3BFdEFrWVNkUDJnaEswcHk5bThXdGphTkNINUFXLUZhc2t0UkF1UVFTYlJaNnhQWEk5TUVNVVpNYWRwM2hBM0JNOFE2X2JWYkwyZlJ5Z3ZENFMtT2dtZWRCR0MtcWV5ekN0QUJuN1llRjVsNDZMU1hmNG9UTldJa3Rvd0pnckJzd1BMNDVTOGxLNkVBVmhwNTZXRWpVcGtvUzNHUUI1SUZ5TzU1MGQ0aDI4NFhLYUlxUjB3aFktQkE3a2pDTXR2V1BRTV9rMWt2RmduVHpFUU1GdnR2Ujk1aTZvMTg2Z0dSMGVJOWNPYWZRWnBHUjZVTnc4RtIBigJBVV95cUxOcFctNlFlTXNYZ29wZDFVWWwzeVRfT2hJekJ6cW1fU3V0bTVORlZVR3VTWXpDdldYcEdsNzFPd1VHcXk4WWRmemVsMFNQSmRHWE5mNEt5eWVMUmVvLURZUThCTTFETnd2WFRVM2VDU096LWl5WkRRWXZfMHZ4cUJPTWVaTU0tam16STVJUnlOOHJsdkg2dTkyb3hDVTA2N25TYjRSVWxCWDhKSmQzTzAxdVVlV1dvdTdkZC1CQllOXy1FR2VzalYtOEhQSEtDTnBrakVGa3E3cjV5b3U2blQxT0JjdGhId1FqUkVrX1dwbzFtUGV4NUdmUmI2amVadzQzN29leW1raWtUdw?oc=5", "source": "Livemint", "published": "2026-10-23 01:16", "score": 0.842, "label": "Positive"}, {"symbol": "MARKET", "title": "Oil price surge keeps Nifty in red, Sensex sheds 460 points on Thursday", "link": "https://news.google.com/rss/articles/CBMi0wFBVV95cUxPbnVBOFBMd2JkeEpUdWhNWWFuS3ZsQXJBbkpLVEgzQ3lOcVlxc1YyUTZlaHotRzhqZEFqRmtXd21YTFJrWlVhaVduTWVWckNjSHJLS2pLSUM4eHhlOXRzUVpUZWt3bWZiWTl4Q205eGV1akprWXBwTXUya0RmWjJhWUJMWnN5WndPZnJEcTNDdnZuUnVyX19fVGZremtpUWxzaXQ5VlowakM3UWNidG05Y1pnUzc5UmE3Njh6N1VsUkRlcW1lMVNOdTA1OHRQekI0d2w00gHYAUFVX3lxTE5iNml4WGQ1ZFpidzd3OGNzREdxZzZaUlhUSlRWMG1PY1Z5c2JKSUVYaEFsSFJzSVN5TktuM0trVEdNdDF3MlhrdWNGUl9Gd3JBWkhoNWctNVRjb2ROUnVxRXp6REJGamFNay1RYWZmVzdwRk9kWVN2alJibGRDa1dtWm9KU09ZN2RreVN2dHJrR2Y2ZVNfTktPdEhjQlhhMldsS1J1U3BoT29TZTF0UXhOc05GNEZjNG5iWERDaEl0LWQ2bnJBMU40Z3NVd1Nqd19MaVpSM0w2eA?oc=5", "source": "Business Standard", "published": "2026-10-22 15:03", "score": 0.511, "label": "Positive"}, {"symbol": "MARKET", "title": "FIIs sell \u20b93,459 crore of Indian stocks as market falls for third straight session", "link": "https://news.google.com/rss/articles/CBMixgFBVV95cUxPdE5KZVFyTDN1QUpURTlLNV8xUjZEY0Y4Q1AwZGUtajBKWmNZN3p6UklJU3hJeFhLT3lvUnBYZjdaTmtqOFVvSXpfNWc5bzBNSXdGVE1ia010X2FOR21COVN3aUJwYXB3YnhmVUc5UG1uVi01cXViNHF2cmNaZGNOckhqUXVHV3dKSXp6WEdEbTdnSlBaMGdTRnNzbDdUZEs0Nlh2U2h5ZmRuVWdsUkRVY3R4ejhOQkliNTFSbnllWWhMak5KNnfSAcsBQVVfeXFMUEJDdVdpWWtBczNQTmFRNHlwUW0tRlVyWnZjSlVQOGdrejBjRUFsdFJEVy13MUF0MXRzcWMwODBBMml6RDd0NDliYUtDd0tBdXhVQlRJc0s5UnlEVUJ0Y2lkXzFYRWRKRUhYcHhGWWFCRDk1LWJwSmViTG5KYzJHYi05eC0xRE9aVWRCVWtwWmN1TkxTNlBPNnV1MnVMRm9ranNBcXRpN3loN1FDUjlOd3NERXMtQWx6ZFNpOVZ0d3ZHU2I3Wl9QNTM4MUk?oc=5", "source": "CNBC TV18", "published": "2026-10-22 12:56", "score": -0.477, "label": "Negative"}, {"symbol": "MARKET", "title": "Share Market Today: Nifty 50, Bank Nifty | Oct 22, 2026", "link": "https://news.google.com/rss/articles/CBMi0AFBVV95cUxQeDVfMzZHd1BEcDJYUndvc240UUItdzNXZXRFanhTeWxYMTVIcmRXSVBaWDBBMzNkOGdKN19ZWUFhaFVyOTNIZDh1aDVhM29oYW9sdDB0RThJclc3X1YyZ3FYM2RMYkdoQmFRZjlKRDEzWGE0bHNZSzJhaU5Db3M3ODliLTdMSDJjcmZQdWFrZTRmdDVjZFljamVVcG5tTzJmTlhvN0daR3hUaTg0NjkxTnBKQUpBZXVyLTIxa29GdUJSRk5MbDNpbGROTHpBUDNP?oc=5", "source": "Liquide Blog", "published": "2026-10-22 11:47", "score": 0.66, "label": "Positive"}, {"symbol": "MARKET", "title": "Stock Market Today: Sensex Falls 460 Points, Nifty Closes Below 22,700; Media, FMCG and IT Stocks Drag", "link": "https://news.google.com/rss/articles/CBMi1wFBVV95cUxOVU9BekUyYlJlTFVRTG12cVpLTURpTC02WU9obzdOdEFyMGZlb09vSlc3ak9xVW9vbnZQU25ZTVY5bl9fLVNLY0c1WExWWmh1b0R4dVhST2RVdWtKQVFpU2psT2RlYkZIcElVY1hKZnRkaEM2aXY3ZjFvSnRNRFB6VklINTE5cnFiUUVld3VSNUJDdjk5d2ptVW5MVUgybEx4SXpOcDRSWDJnbHpKQ3l4SnR6TWY2cmFoLVloVEFQZDR3M2J4ak5tc2hQREtaRVBsWXJoc2l0VQ?oc=5", "source": "India Infoline", "published": "2026-10-22 11:03", "score": -0.202, "label": "Negative"}, {"symbol": "MARKET", "title": "Markets Extend Losses: Sensex Tanks 460 Pts Amid Surging Oil", "link": "https://news.google.com/rss/articles/CBMisAFBVV95cUxNb2FTRjNBRXZ0YjNCWkdScDFaUzk0WlVuSTRpcS1nZzhnMi1BUVJtNzNIZ2J6TFk2ZGgyVGZnV3MzYklyME5fZEJxOVdqaFlIdmJObmg2R3EyUVk2Yy1wTHhjN1dXOTZja0xzT2ZNSjJpS3VHRm1XcnZNRElTaWlTaFJZTG1lelVMdF82N2EwVDhOTy1FdXBIOHQ1YU9aWXFCUDljUkt4bV9oT0E0M2NVRtIBtgFBVV95cUxOVURVeF9ZTW9udWxPcE03Z0o1R0VzUmJrMGtmN0ZWcXp0Y3Q1RDMtUF9KQWJIMDdab0VXVHBZRkQ2bHZscm9rdjN0M0prcVlZNzE4R3pyUGlLSi1JX0MySGJlekN3cHp0SEZKeTJlODE3OWpzeF93MjhNMWR2eWxFTGN6OURsVzU0NjNTMFlGYlRYbUtCSEVGWV9JNF92bTBZYTNZMzk1d2ZITTAtQV96ZUprMjNxZw?oc=5", "source": "Rediff MoneyWiz", "published": "2026-10-22 11:03", "score": -0.649, "label": "Negative"}, {"symbol": "MARKET", "title": "Market Close Report Today: Nifty, Sensex Fall For Third Straight Session As Oil Tops $110", "link": "https://news.google.com/rss/articles/CBMisAFBVV95cUxPVWZ6SVVVcjFqY1V2c3B6dG5jbENlXzVxc2t2R0EtV1RZeWVLNmhEX3FQMl9lcDdTZ1JVdkpWYjhJelhSOTZyVEsyd2l5YTRNQ1hNckVrTzkzUWRGb3hHS0FCdXZKOGwzVWduQTBkcFYtelg0M3ZTYnk1N2RkXzhId0pZMi1McXM0ZmUtalZ6Y0FZRklxUmFUb1JRRE1HVEpMZ1doeUtSWDFTN3V4QjRiSQ?oc=5", "source": "HDFC Sky", "published": "2026-10-22 10:58", "score": 0.67, "label": "Positive"}, {"symbol": "MARKET", "title": "Sensex Today Ends 460 Points Lower | Nifty Below 22,700 | KEI Industries Down 8%", "link": "https://news.google.com/rss/articles/CBMi0wFBVV95cUxQWDRBeVdHWTA4d29oZWRYdV8yRVlGQmllUE5vR3haZHFHOGQ4bUc5amNnb0xER1Q5UmNIWTZVM3JVdXhyUGxTN1J3ZFdEc0dqbEs5b3ZDVXFpTFg1YWtyY1I4Qzdsd1VXaXZ3bjJhQkVnUGItaUlWa1JiTGZTbXUzVTRHdm40WWlYZnZIX0l5TEE0dTQxdUNiUWppNldaUkRZUGRpc2hBdXJPQ25xMzNGNzdnRnRObmtFU0UxM0JJY0FhdVotQ3c1UEVXYTVzRWZZVmdZ?oc=5", "source": "Equitymaster", "published": "2026-10-22 10:43", "score": 0.226, "label": "Positive"}, {"symbol": "MARKET", "title": "Sensex, Nifty end lower for third day: Elevated crude, weak market breadth weigh on D-Street", "link": "https://news.google.com/rss/articles/CBMiwwFBVV95cUxORmxJb0xkZmFUWWhzVGdmdWdQV3BibjZVSlV0QWFUMU96UjdEX25oNUpXNjYzNld6TGw4NFBxTzVPOXQ3YTJwNVFuc3R0QzB2QzJCWjJaM2FsNTZmcjFwR2Y3MXRORGRSeE5FdUl4V0VNV0hIV1dXWXY5YXo3R1lpU2wtZ1BaeVFkdkFpTS00LXBSS3VQR185MEQtRlgtSllmTUlZdVAyemsxMklYWUxrSU0weC1BcVpOMFBHNHpqWnJqelU?oc=5", "source": "India IPO", "published": "2026-10-22 10:33", "score": -0.66, "label": "Negative"}, {"symbol": "MARKET", "title": "Taking Stock: Bear attack continues for 3rd day; Nifty below 22,700, Sensex down 460 points", "link": "https://news.google.com/rss/articles/CBMi6AFBVV95cUxNaW9FTkNEcEFjRUY0cjNzOVZYV2RyRFc0dFFRc3QxekVFRFMxWFM3TERkZE9aOGloakc3REpsbUJlS05xWVhNTm5rM3RUeW9ZRkQwb0tUQ2ZrZTBSZzN5NVRNYnBvOW10c2Z1ZGtKakRfOV9mbWpHVUNWZWFUVFU1b0JfcDJCOU9jTTByRHVIckxOUExBcVdWSXhqclM1eE5vOGFxeDVwTS04Y3NSVF91SVhtN3d5RXZQclUyYkxOVF94ZUN1R2ItMWQwcGdYTmh3cmN3YWNZVHJ6MnFXQ3VOZURZa0UxZXhZ0gHuAUFVX3lxTFBXNm9sdkZLNkpxV2pETktJTVJoVFZfTEdrLUpTeVJJN2ZJZzdpSnFqNHQ3dzRvdmQ2ZnlYLUtVeEpaenNQaUZlZjR0T1IxS1Q2YW12X1RiamxJMnE2TnJGQnRRYUdXQWRwWWNoVU9jLU1vNS0wZEVqS0themlRemhVaVE1NWdid3lWYlZmcE5rTXhjSHliaWkwS0phVDNTOWkxSDc5d0tWaHY1dUJXcnRqUTFCVmJ6NTRaX3VDdGs3QURhZ2E4MFVzUk9zT20zRm82OXpxRGd1TWtfVkxWM3QzOGFlbnVuQkxCV0d6dHc?oc=5", "source": "Moneycontrol.com", "published": "2026-10-22 10:30", "score": -0.103, "label": "Neutral"}, {"symbol": "MARKET", "title": "Market Today: Sensex Falls 460 Points, Nifty Ends Below 22,700 As Crude Oil Tops $111", "link": "https://news.google.com/rss/articles/CBMi0AFBVV95cUxQbVVySHdvQ2xSVWZkaE45QnJFNXFOWU1WOVFwMlJsNVBCQ0NKZHk3NjI0Y3NHV05oMWNSOHZvanBhX20wd29Ia3lPRHM2b2p0VHNXc2tnT0lnazRKWU5NVkpjSHE1dUExazRkc0c1MzlxdWRzZ19BYnJEVnBjbnBlTS1MbkFMYVl6cVBtTU4xejI5Wl9ubmZfLUNGWG5aN1pzMWRSbFY4dTBQaXY3YnZhRk1uakFkLVdsUlRyRy1qb3c2NTdwZEkteURONGNUZ3Zl0gHWAUFVX3lxTE00ZEpnZ2dkSkZxcklVUk1xU21CaDlYakNDWmhzTGhkSk9WbFgxLUR2V0VETWRLRGxOcENsbmtrWDlCRnlfTzY2b3BHLXBGWmxWaEM0b21uc3lRTU9QMU9FVVF5M1JHVXhKRmIwX0I0T3JxQkU2YzhSWVVfZW94cEN2TzRHSVgtZVpWbHkydHB4bnBaOGd4RmNRS2d4OXBYZWRuUXhfMVhwbGdzd1dXQlNLWElvSmNiSmluM0VwYlZHaGV2WlNhNElUSUhfZzR6U2NfT3VaaHc?oc=5", "source": "News18", "published": "2026-10-22 10:24", "score": -0.077, "label": "Neutral"}, {"symbol": "MARKET", "title": "SENSEX, NIFTY50 fall for third straight session as crude tops $112 per barrel", "link": "https://news.google.com/rss/articles/CBMi0AFBVV95cUxNNHJwMHctX194YmgwOGt5TnY0bllIWkYxaDU3ZTZac3RXSnRxcFYya2FSZUI0a3I1YmYyak93Y195b3RhT0FuLTM3T29PT1REcmFjOWxBYzFxR2xibFgxcE43b2ZGcnBvR1Z4TWQ5ejNXaWpnSlVvaXpuLVltZEhZVVBaV2FtSGtJQ0w3WFJWZEdEY25GejFkcHExcDV4RU9kaEplOEhzU25zQlRqRWtKWHoxN085VERzREczUjJwd0FUc0ZqMFZzZ0wyd0tLa0lO?oc=5", "source": "Upstox", "published": "2026-10-22 10:22", "score": -0.226, "label": "Negative"}, {"symbol": "MARKET", "title": "Sensex, Nifty end in red as crude oil tops $111; markets decline for 3rd day", "link": "https://news.google.com/rss/articles/CBMi1gFBVV95cUxOTHlsMUkzOEkyOHJKY3BSNWdlX0dkR3JFRG90QS03UlBZN2M2M3RCVXc2RDJhNGR3SFFoUGJ6YkpQaFVLN0tVZDYwOWV4MWhVLXEzZkN5ZElEbmpHOU5fLWIyd3FwSmllUkxPLWhsTnBzWHlEdFNLdmlia3dQa2hPWDlzU0dkbFhYQWZSLS16R242SmZFam1iV1VtaFpXQ2kta29mWHI2ZWtfbHlMWGhsUUJ4dGdqeGk3S1JaaUhSTU5XRGRyX01US3htcnp0bGhPOHdYLWFn0gHbAUFVX3lxTE5ZRTRndFFQbk9PWVB5dUJGMXhsUHBFN0pBRWxzM2hubXdZZVJfM0tLRUZVRmJMRUR5cEU3ODZSTXZiWGFFYkE3OXZEazJyNWNUSEhIel9ENWNfU2VNQlZHTGd2VXdmVldZLTZEXy1xUU5KREZmOHUwQWNSYzFieVpKaU0tMFVRRC1WTVRCRFNab0F4Q0tHd2p0aE1mUEdmdDJLWk8yM1YtY2VXZXptR3Z5WmhMYVhDQkQ3ZU1TTnM0NHQ5b2JqTW9QbzExejkxTGdYcmlMTHM0WXczWQ?oc=5", "source": "India Today", "published": "2026-10-22 10:04", "score": -0.077, "label": "Neutral"}, {"symbol": "RRKABEL", "title": "RR Kabel Share Price Fall: Price Action and Fundamentals", "link": "https://news.google.com/rss/articles/CBMic0FVX3lxTFBfZUw0Z3FFMW5wMEh2Y3hDQWYzaXBDdjYwOTU0U0F5QUhQOUJrOVBwaklBamt2WlZRV3BpSVk2cllvR1h5OUZuZ1JIX0UzWVllUEJfRVhGM3dFZzdRenlJMXpwbVp6WmhsZ0ZfdVY5bEdyaVU?oc=5", "source": "Univest", "published": "2026-10-22 09:29", "score": -0.34, "label": "Negative"}, {"symbol": "MARKET", "title": "Crude oil above $100, US election uncertainty: Will global factors keep Sensex, Nifty 50 under pressure? Experts decode", "link": "https://news.google.com/rss/articles/CBMikgJBVV95cUxPTDdoNFRQRG45bzFHX1FuZnVxcHBiNTA1ZUVPR3haTU5GN2xZTFNMQXE4UmhGZ3JFVG9YaEZRMGZyLXdobnpJSEE4OWNJY0swZ2dPVWFjbHdYUjcxUlRfWTI0M0MyUXlSWVVxR2dzR2YzVDBaa0t1am5YWVE5a2U3NHN5Zm9NNWFGLXl1RXJfOER3T1ZuekN5M2pBZkN2M1p5OTRnc2dTUkNHS1dVUlYwVE1vZktQWkROOV9YRDJYQnpNUXpyWURlLXZTNWFhWmZhd1pZOFJkakxuQ05YcDZFME1NZHNaMDFHVjVubXVIZ1FDNTRlYjdoeS0xcVRFdTFkVzJ2d01XNHR4UXQzckhuRkdn0gGXAkFVX3lxTE45T05GdVJZTktqb2JFdHRUVDZmOGNOSnYtOWEyQkM1b0FZTzFITmNqblU2TUlWVjI0M1hYckF0alN4Qi1kSEM0dE9XdkFGaVpuS0FvclV5R1NmbEVwX2RFdEp4R2gteklFTnA5alJvMHRGaXRUcjgwMUx0QXJWTjNMZnNfLU93Zjk1RnpxS1lLa0tiUzlBU1d5Nm14WGZ6OWVENUNya3E0RmU5cFl1aDNpVmVjWnA2VjRRcWtFM21IcWs1SjlfUGRYSFR1ZS1SRG5MZ0VyVUtSeDJHc08yazlacGRPUHNsam1MSE9yaTVtZ0R0d3BzQnhxYTVDczRmZTltWnpPUk5BUS1rUW1kNUFBUTAyRDJkdw?oc=5", "source": "Livemint", "published": "2026-10-22 08:35", "score": -0.681, "label": "Negative"}, {"symbol": "MARKET", "title": "SENSEX falls over 500 pts, NIFTY below 22,700 in noon deals; IHCL, Tata Teleservices, Swiggy among buzzing stocks", "link": "https://news.google.com/rss/articles/CBMi_AFBVV95cUxNTFZiaXNROG1HUHRnVDc1b0VYamdpc1NRYWdCWFhJajQtNnRyVzI1WFFsZjYxdlhhdHRwWFNzNjZMUXBVcHBaS1FoV1RSZnY3Uk5xVzdPbDhBdmxZeE12dHoyc1BfdzFMUzNXRVBWX3hhaTgwOXRKNTZQV1ZUazBUZHYxdkpjbG00ZDVMQldRd2JjaDZhLUNiY0xCcmtQcnJWSHVKaFJSZF95d2F1ZUMzWnhNY3lXdU9MX0xqZVNLdllIVllTOWVrSk43cHBDQk1yR1VOZjFpT1NCZmYybXlBczhXREN4TTZpN19XdVVnX1JYamZmczM5UWlQTHQ?oc=5", "source": "Upstox", "published": "2026-10-22 08:20", "score": 0.21, "label": "Positive"}, {"symbol": "MARKET", "title": "Why is stock market down today? Sensex drops over 700 points, Nifty crashes 1% - Top 3 reasons explained", "link": "https://news.google.com/rss/articles/CBMi7AFBVV95cUxNM1ZMNFBXeDMtZE1Qb1QzMFQzLXJwdjRsSW1jMDhtVnlYWXFfVzNDdDNTLWhkRmozNm1Sa1lpSzAzSm9qYkZPNGpheHNEQXprelE2SElJbzRnM1Y2SUM1eV9mVHVyOTRKVENWRlVoaDMxR0k2SGM5bFBZTDJBX01SbDhhN0NPQklSTkpoT3dSZV9Id0oxM01CWUxEN3BxeFdpVEhmMzZfQXZiRmhSTXVsSC1iVlpGVVB3OGpKc3JWTVN0TTNyNHpiWXBVLWhaLWJSajdLalNXZWZjNVFBOGpEUm1lSUJHeDhwRURfZg?oc=5", "source": "TradingView", "published": "2026-10-22 07:33", "score": 0.542, "label": "Positive"}, {"symbol": "MARKET", "title": "Why is stock market falling today? 4 factors dragging Nifty, Sensex", "link": "https://news.google.com/rss/articles/CBMitwFBVV95cUxOU3FBa3VJY2NZSXZiaWRtZjY5LVljTEFrZFVhZ0dUbkRQSldpOFI5RzJqVXZPLS10UmJhM0gyRVVaN2VPQ0hIUmRnM21aNXI2VGx2d19NNGJ5OWFUVGFZQ3c1Z1RobXprUWE1M20zeU1DSVhRSTIzZllCY3NFX3l6MTJtNmRETGRQSWhhZzBLWTRyMjFxWVhmS0JpV2ZlUU5kckFIMkR5c1RVYWpEQ3NpeV9oUlExcGc?oc=5", "source": "Zee Business", "published": "2026-10-22 07:16", "score": 0.273, "label": "Positive"}, {"symbol": "LAURUSLABS", "title": "Laurus Labs Limited (LAURUSLABS.NS) Stock Price, News, Quote &amp; History", "link": "https://news.google.com/rss/articles/CBMiXkFVX3lxTFBxLUpXOHh3Z1BMOHZRamlZR1BuVGdaOVZLUmJSdkNiQ2dBLVZIWnhMbi1WMUpzUktaQm5pazNKdGFKMjZHNUdGRHcwWWd3U1Rac1c5M1RjOF9qQjVxY1E?oc=5", "source": "Yahoo! Finance Canada", "published": "2026-10-22 06:20", "score": -0.226, "label": "Negative"}, {"symbol": "DIACABS", "title": "Diamond Power Infrastructure (NSE:DIACABS) to Invest Rs 25 Crore in New CCV Line for 132 kV XLPE Power Cables", "link": "https://news.google.com/rss/articles/CBMi6AFBVV95cUxNNmRtSWFacEJ2R0ZvTmRsN1lUQkVuVmJSQ1UwcTJWWEVPc0FJNkRCbEFxeDA1ZXh4QTY3UUd4SGlYLVg5MG5UVGl6ZHJQNV9kSjdmNVhGY1NMWUNIN0ZOeWZpYlk1VG9iZHh2U2swVHg2S0xsMGp2ZGFSdGhhRVJBUnVSUnpQamQ2c3Qxckt1b0ZjaDR2ZHJQUU94bnMyNEZWSS1RZ2xjNTZUVTlaRnFLNGxneWR4QV9NUDJETS0xWTJhNkQtWUlkdkZsczZoN3E4VzMya1RwLURIbUlDRlJhN3ZhbmJXRlRW?oc=5", "source": "Kalkine Media", "published": "2026-10-22 05:45", "score": 0.34, "label": "Positive"}, {"symbol": "MARKET", "title": "Sensex, Nifty decline in early trade as power, metal stocks drag markets lower", "link": "https://news.google.com/rss/articles/CBMisAFBVV95cUxPUlZ0QjZMREp1TW4yazZUR1RfY0d2U1VZNnhtUV94RVdCdlRyYjdFSEZSS3o2V3ZWVERYa2lFM3h3aENobWhqQmliTy0zSWFxU2x0SzNUMC15NGpUcXBrWnA0TlJYYTNkVk5Hb3VkSXRnekxwdnpvXzl3Y3RUZXZfUTU4OXF5aW9MRE1reWtXcEJFbnpaVXZrc3QtVGxaWjZ5a2x0Z2VaeGV1WHNQbnFIS9IBtwFBVV95cUxOdUdic2ZlMjNoenFodkJlS0gyN0RFdTk3UGI1UlZiY3N2V3Y5T2c5dVpKTHlMZlR1aTZUaWNtYmRwZkpfMVV3ZjIyQ1NOTnAwY2lYZWVBZWJEeFRpS2sxc0hjdGVYR3JMZWFaUFlfdmd2R0NodVktMVJoQzVrNGFsUGlaZm4tYmluWEdOdlQ0X2ZWZnRIaFZ5TzZsb2ZUcnFiVVBJc3A4dmVGTzc0VFdNUVZfaGoxQ0E?oc=5", "source": "The Hindu", "published": "2026-10-22 04:57", "score": -0.382, "label": "Negative"}, {"symbol": "MARKET", "title": "Sensex Falls 596 Points, Nifty Slips 250 as Crude Rises", "link": "https://news.google.com/rss/articles/CBMitgFBVV95cUxQSDFSanZvc3JzOHE4MkxZZ1BUSW9WdnFGZ2tVamJJX09jb0JOS2hheVU0NFN2QlFocmFycjNaMEFXU1hlcC1GcDF2V2M3VnM5d2hmYUx4cFNGb1oxWGZCckpGcjV1YkpCa1c2aU1RRVZCRk14VkdOSTF2bWNVMDExTEFHU19pR09XQVdwcWRzMTZfY3RkbkVsTlhORjZpSUFTZDg1QjZUYTVIcTN2MFFVRDh5U2JZUQ?oc=5", "source": "HDFC Sky", "published": "2026-10-22 04:47", "score": -0.718, "label": "Negative"}, {"symbol": "MARKET", "title": "Sensex down 500 points today: Why is stock market falling today?", "link": "https://news.google.com/rss/articles/CBMi4gFBVV95cUxOakZkb2RoVENITm90YXpKRXZSU05UWGVtV0Z2WGhGMG1fa2JkSDFfcVB4NTR3ZjVqa2hWUzRUUGQtY3lLS2lYbW9PNUhnZE9hZXBHUGtWUnZVTmVQLVlQRElTdFNqOXhyQzU3azV5UWdKR201ejFvQXlwN19DTXhaRmJuSk1sbDFUYXFKNUtBUzgwTjFlcGNZeWJpRGIxWFBGWE5rejh3LUtlYWdYQm03TjFSR09VSy1ib01zbnN1enV3aWE1TG9ZXzVLUVVmSGxsbHdOR0ZNSXZkQzA3NEZwNDdB0gHnAUFVX3lxTFB1OXduRG1wSThoRXdCLTFWS1VuSW0wbGRteks2cHUwemdDOG5JdUZEaDljUE9IeFFGQU9pMUR5aHhqQnlZbmZxbWhHNUlJLWtTVFpZWGxGaG1ybi1zRlRidXpCQ0lwRml4NV8wM3gzNTI3Y0tJOVZEZWpNUXZ4dkF6bUYwM2w2N2FmS1pUZWtEbWdia1NsRjlpeFdDTWFjYXB6Z1FtZUpIVnhiNzFrNERTckY2Vmd4b1FsdXlERGJJYXB6bXl1aGxybFpJUmc3R1FaenoyMTRfUWFETFJCSEVmbnJpc21NRQ?oc=5", "source": "India Today", "published": "2026-10-22 04:22", "score": -0.153, "label": "Neutral"}, {"symbol": "MARKET", "title": "Why is stock market down today? Sensex drops 460 points, Nifty ends at 22,688 - Top 3 reasons explained", "link": "https://news.google.com/rss/articles/CBMi0AFBVV95cUxPcV8ySzdzNTZxT0NaYzdxb0RlZ1d0SGd3aTRvSDdQRGFNNGZIeUxfOEl5cDZtN0xsOWtOZ2RDNTlSTjBtT0oyZjRXYUtNTHB0QnNMWXpCZlBEenlQSFlPRkVhb0djaTdMcDNMNTJMRkhIU2k3Tmp3MTMybjZTSk1OekdmNng3b2JpQlhiT2tQbDlETEZ0YkZEOFNrZEpqdTl4ZDRMZEw0R0FOUnFIa2puNVZyVWN5QmRWLVR6ZkFEcnlSdjQ1b09TZlR6aTFYX2lu0gHWAUFVX3lxTE43bURuemx2MzU3eXVBay0zY3otTkRfekRrdC14NU5fS0tWcnkxSjUyVWl1RFUwUUlfMHlOckEwbGJ5VHpjTHh2RTJ1Ykg2SlpTWEIzZmpLbzhBbDZsWEU5UERhcjhRTERvMTZsZHlCQUpOY185OEpJZ0hreWZpbkd6Q2dnMkdxYlJUaHhIbUJxd3N0M2VRdXpvY0syTEw2bmRYLWVHUVNmNWI4UXl3OTBYUElWX0R4UGJzYWFaVlhnWDYzUVVNWHh2eThmNUNVTlpCYVpsMFE?oc=5", "source": "Livemint", "published": "2026-10-22 04:02", "score": 0.542, "label": "Positive"}, {"symbol": "MARKET", "title": "Why did market fall today? Sensex drops 460 points, Nifty closes below 22,700. Key factors behind Rs 3 lak", "link": "https://news.google.com/rss/articles/CBMikwJBVV95cUxOUHZIckFUQk9qdl9idHVTNjBSSXREM0hWdS1RbGlqOWhQZThXemVJazlRZUh3Z2Q1UHNhbERqN0IwWGt4SkQyd3ZfZS1jbEY0WElCdzM4MzI4YldXY2tObFM3d3F6YjFHMlRjVWJrSDBxVXpsTkVteHVqRE5SZUU2TjJuZndKUXRRbTl3MG54ZFdra3B6SHNCMFpGYWRGck1SZHBBLTJIN2lPem1iY2UwQ0dPSlA5ZjRfQU82QUJUYnFQX2tGQ2ptcENySHV5eWFJNGVGcFB5anF2MDh4M2dHNEVyX0E2VVowX21aUnpJcmhITVZQMnB3SW5EaXluMXM2LVNoUjN5WGpWcEgwY3hNYkpvSdIBmAJBVV95cUxORlFTY0FKNU9DYmhXUElDQm5JSHdndjAtbWltR2NZcjZxUEJ2ZzFwQTdiMDRQMG9WaFlfOUdrOTA2eXo5SXJRdGY1OWZxMWZIc09YVGdRQWI4Q3BveHprZGZOM2U1NnlCZ0NiUDQ2eG9oeEFja1BkVW5oZWZ1U2ptUHlibV8ydkREdi1QVmtOb2taNXRYcm1mVjJNS2hybXFGdzBxN0hvM2I3UTBHRnFSRWVTb2RJMWtwX0xZaXE2cFYyczduNVFqRjgtVEZVN0JXcnJpSW80SUROa3E5Rzd2QVpBNlVYSVNnTlNMbEU5NWtrQkhyMlQzSDd3WGFpU2NzWlprdk1EcF9GWF9IOHpRQVR5VmI1ejdY?oc=5", "source": "The Economic Times", "published": "2026-10-22 04:02", "score": 0.077, "label": "Neutral"}, {"symbol": "MARKET", "title": "Sensex settles 450 pts lower, Nifty ends below 22,700: Higher crude prices among key factors behind market...", "link": "https://news.google.com/rss/articles/CBMi9wFBVV95cUxQRzVaOTNoRlFEVldUMWpzckdZN2FXSTJLM1lKczdkUm5xMTZhTnQwcUlEbkRpaVd6RU1TZGhwVmFaLVNmcWItZHZJX1BpLW1HTFpaLVZqdE1FbjQyZklDNVF0MDBudi02d21uckwzNkVfZ1A0dVJ2QkhnZlFTMFl4ODBldnIwSHhWSVl3QlNnd3lqR0xNTUpQbzVRc2lsdnBaMHJhT2xBb2dtYlFEY3dZWHZhY0NwSHdBcU5MVzlBd1RHLTl0RFZLdVhaYVNhdHVGNUVNZkRfcXBzOG9Rc01mZVNGVzJIVkFBeDJucnJwdlVGVzVkSFdz0gH8AUFVX3lxTFBhTnRRZ19nMjJ2ZTRnaENHY25FNjFRSnZxZFhiczFFRWlSNUEzV182Q25sMTU3M0NyVFhUOXF0QXJBSVVSSGoxM3lJNm1ZVUc0clJhRzFWQ0hnWTJ4aGRDTkVEREc4UUduRldFaW80Z0RWRmpMaTRaTmo2YzZBNDhDaE5RWVEteEM5eXhpMjdsUXVPUWkwZmZmZW1CRTl5UUFtRnRLUG00Ui1BSmNRbmVsRUNaajhMcEYxUHVWX3pLOUl5eFJ4RmwwLVh5ZWFnZ1FKREVFWTVTSVpKX3V0UFlkV2swbzJLWVZRVEpxY2lsQ0JwWVhrYktXSFd2eA?oc=5", "source": "Moneycontrol.com", "published": "2026-10-22 04:01", "score": -0.421, "label": "Negative"}, {"symbol": "MARKET", "title": "22 October, 2026 Stock Market Updates: Sensex down 366 points, Nifty below 22,700, Power Grid drops 2%", "link": "https://news.google.com/rss/articles/CBMikgJBVV95cUxQeVl3ZGJ0NXlLWlUxT2lZaHRSdXYtOFA0c0tFMTNockJDWC1CNTdqQTNGNlZZRDdYVS0tVE5UWUtzUXI5NkRzbjF5SkZfOUlPdUprR090Mml2VWE5QmhjcEZsb1ZzdEs5TEtVZXlpYUdxNUNUbWlGVXA2T1VBYUxidE00MUtkNzRLQmVNZ0pzT3JvVkJxNHp5RkdUNHExbEFBSktGQXJyWks1WmtQclI0azA3eXNUTUppb0s2eXN4TFgxWTlySkVGNEU4UjNDcGRaVHpNYmF3aFlRcU1SQUpsM2ZGclhoV1VVdjRpbUM2UVI5THRMN3R6U2tfbDBfa241T000VVVFVWlnZmFPQmUwNlN30gGXAkFVX3lxTE9yZU1lUWkwWnFESjgxaW9YaGNycGN5ek43aHQ5WTlIT1FveWc5SldjLVNKNEN2YXZ1VUpiTGhaZkttWXJ5QThSYzRYNWV6d1d0Q1hldU52LWx4MGRiSEswcXlWUldJX0JlRkVjTzlYS3piOGQ4VmpzVkRBVl9qQ3lUQ2M2c0tkV3BwcUNPeU02ZjNlNFZ6QTg3d0dUMEJ5d2dUeGw4dklNellWOUozS09CWmtScTdQeHNKdmtHR2VNWGFjU0wtblRSTjRLakJ6cy1IeFEtR3MtOTZwRklMYkRyV0hBUndMb0MyaW50dThWeWIxMW5Cc0xyb2t4djBqcFY2dkdQUTRkME0yYncwdWlDZWtKbmVVMA?oc=5", "source": "India TV News", "published": "2026-10-22 03:56", "score": 0.402, "label": "Positive"}, {"symbol": "MARKET", "title": "Sensex opens 500 points lower, Nifty tops 22,600; Maruti down 2%", "link": "https://news.google.com/rss/articles/CBMi8gFBVV95cUxQZ0xJb1pXZjZ1Sk81cEp5SWtCNFlLRXpEU0t1c1NTWFZUeW52ZGV3dDcxbEV1dWE3OFhvZExQZmhuMWpTRlZlUTJISElycFVBOW8xX0pYdDNsUTlNXzVNRW5XUklIZWR1LUphcEs4SXo1enE3a0JKU3FzdGtSdlFPcVJrS01LNG9odjVkZE5NOVQ3d0RjZFJTVUQ2b04ya25fckdXeHZSVVNLc1pSMWVMOTJQeHQ0Sk9ObFdJbFRYdUZ3VkFJQWN5WThSX0EtMlhzNHpuZ0ZjQWMzVHZteHBNc0NXMVJablBZX2szb3R3OVNOZw?oc=5", "source": "India Today", "published": "2026-10-22 03:48", "score": 0.637, "label": "Positive"}, {"symbol": "MARKET", "title": "Sensex, Nifty sell off in early trade; power, metals, auto under pressure", "link": "https://news.google.com/rss/articles/CBMihAJBVV95cUxQZWMwQmlPa1NmV2pYNWRhdU5tczhmN0VfQjFxUEFfLWd4Q1NUeHhaNmMwZkxVdFhNWllMd2lJcE5FYk5yNzNzTG5HcWpBSXVITTRJNEY1a0JQQ0pNQVhnREh0NHBNUTBTRlo1VGJwR2JOYlBUWUVPajFwYTBtOGhsNVo0MEtueGJvVFFpYU5HRkRad2RYcVlaX0dDcU5aNWw1VVhRNzVnb3FZMTNDYldTTzhXcjRDUl84ZDV1V25ISXBuZVhkWTB0MUNodV94TDM0MU1KZEM1YmxvTUpxY0V0cEZKXzlOZkpsb01BNjlqOWJQU3ppTzRmem5DZTI4My0wX2EzUtIBiwJBVV95cUxONndNNGpXU3pfVVBDYlpQSzlEVjlTU3lXN2JBY0NCNnl3ZWQ2b2hGTW5lQnpiSWpJUnlUdEVMV2pWWFJWbnFDRXZjYWxzT3NfSmpyQ05ET1ZCSkhtUngzNEFCRVNmNTVwWU80eTZFdGhEak9hODMwZDVWYXNUNnlQVjF3Q0RoMF9leThrcVhWc25uSGtyOExXLUZMNURBdVlRZ0FEcXRLcTNLTUxxZVdaUWFmbTVDUUNoaXNzTzR3YmFzUC1JMlhqSHFHWFVUQXVUN0dzVkp4dS1raG5kamtzWlFOX1EtRW9VQVFpczlVUk1CbjRTOWtWdk5fOHNLQ05CcnVMZXZFd0ZkWXM?oc=5", "source": "The Financial Express", "published": "2026-10-22 01:44", "score": -0.226, "label": "Negative"}, {"symbol": "MARKET", "title": "Stock market outlook today, 22 Oct: Sensex, Nifty prediction - DJIA, S&amp;P, NASDAQ, GIFT Nifty, Kospi, Nikkei, Taiwan cues", "link": "https://news.google.com/rss/articles/CBMihAJBVV95cUxPTnNUNUxNMmRjUi1QcjJmVHMzWWNHSEZZLUM1b285cUVHMnJsOFdOamVkejBVa1JEbEwxWW5kczRaSUVsd0JNVDZxQmRjUjRQOWlNYVdRem0yajNIVWU1SkFueWZrVk41T2FMcVFyNjNIdTBTYU1nYTBlTUstZ1laTUNYZEVUeE5PRGpOWHprUGlxRkdqNjh1OUlobGVZdUprdGN1em1tNnlEWXFYak1BV1A1OHFCTlJ1d0dnaUowUjlVczVWY3BsSkpvcjlzYVRNbHlkUDJQUjQ0ZkhCOXlkZFlrVGxucmNWVUtzWVMzY0dkeFFJWnJGZ2w0T3dzbXY3NFdTONIBigJBVV95cUxNVFFrYkdJRkdQcTB3V3FxZERqd2t1c3JlM2ZzWkZlYXNBd0lROWF0TVJudUhCM3FseTVSOW05MWZSS3BYQW55aVJ6cklYTHh3TkFheGRxUmdPQ3dqS0Vyenp4b1hGdnJrbGxCNnpzTGJLcWs3ZVVIUmFQMWo5VGhRSUl5Ymh1VHFxVlQ3WHZaZWtUMlhLcnMzY3p4bDdlaHAwTHBkLWYzNmhJVVBhU19VZHVpbV9UcXR4N1pSWWpoclFHM2pnc1lqWFFfUEYwQjAwWU1LZHVOYk1ad3VNVE1kYjhiU2hEYTJWUnBoTDF5c0hGcGZKdWc1YnJoTlJLcnpyMFpYRHp5MmdVdw?oc=5", "source": "Livemint", "published": "2026-10-22 01:20", "score": 0.842, "label": "Positive"}, {"symbol": "ACUTAAS", "title": "Acutaas Chemicals posts 70% profit surge in Q1 FY27 on pharma demand", "link": "https://news.google.com/rss/articles/CBMitwFBVV95cUxQNmdxX3hPMzJrejF0R0pvaUNBbDFacW44MXRuLXZ1bF9yVnlwTXFwWGlOZUh0U19XOTJhYkZ1cHJ6VkJSMkk0QVAzcENpdkNJWVRWMDhkYXJ0NUdxRjVnaVhiS2VPWExCMWdaQlBmVzQ4a0lhNlNjNnV5Nk9xcV9zOWMyc24wTFdBY3lCbFdQdXlsaWFNdnVxblZYWVhBcm5wQW11NzdmV01JeVBsQV93eXJuU0ZaTmM?oc=5", "source": "scanx.trade", "published": "2026-10-21 22:41", "score": 0.625, "label": "Positive"}, {"symbol": "LAURUSLABS", "title": "Laurus Labs Share Price Today and Sector Valuation View", "link": "https://news.google.com/rss/articles/CBMid0FVX3lxTE50NlRLX0hNeXphMTFfZTRycEtybmUtbWJ0ZXEyU2dndDAtZVg2akpTZmtPbjZkTkhLY01DRVB1eURzQ0Y5SVpwTUJpRS1ScWxMekpGWjJqYnFUbldKZWVMRnBZSUpJU3BRc29VZlBKV1VHS2ljcHZF?oc=5", "source": "Univest", "published": "2026-10-21 21:32", "score": 0.0, "label": "Neutral"}, {"symbol": "E2E", "title": "1:10 Stock Split Alert! L&amp;T Backed Small Cap Stock Fixes Stock Split Record Date | How To Get Eligible?", "link": "https://news.google.com/rss/articles/CBMiwgFBVV95cUxPWmhhOV9UbzdzUnl1d3d3UWJ0WHdUVTFnVy1CRDlOaEtJRURFeG9MdzYwemoxblZHVFEyU3ZsSUpfd2R1QUVmRFhDakRUbWJvYTg1MVByOEtJZzhuZndaRkdHaU1BdGQ5bWVIMzRudUxYU0lvRk82UkFqd2tId2JMSDNVT1oxUzVPRWRsamprWWo2a0QxRXdGUUxhME03RWNTMmwwSmMxUkNkQS1yRmI0WUJ4X09BZWlTY2JxNG00X0Mydw?oc=5", "source": "Goodreturns", "published": "2026-10-21 15:18", "score": 0.624, "label": "Positive"}, {"symbol": "TDPOWERSYS", "title": "TD Power Systems Share Price Falls 4.37% on Price Action", "link": "https://news.google.com/rss/articles/CBMifkFVX3lxTE9hRVNFbXVSdmlBQjU1SjVINm42NjRkZEdJeGJGdktVNC1wbVZEUGJ2ZUJQVU5rX0VHdFhZUHRPdEVfeVllWWpqZXk2WEF2dFdFblViVi1aY0xRLUZoSEprUHFFb01VdUxSX1ZheWQxaDBFVWlYc3ZnenZETjhJZw?oc=5", "source": "Univest", "published": "2026-10-21 14:44", "score": -0.382, "label": "Negative"}, {"symbol": "MARKET", "title": "Sensex Slumps Over 900 Points From Day High, Nifty Settles Near 22,800, Know What Triggered The Fall", "link": "https://news.google.com/rss/articles/CBMizgFBVV95cUxQVTlZOG81RTVnWjBYRHRQMDIwcGZBeFctckxfN2w0bVg1ZFpDTUFoSFltOVA4MGdqT3N3LWhRdm96WFQyNHZTRG5heVUtRU5naDFxZ25mMEFYR1Z3aC1INkJ4RFBRQ1Itci1OSWpHam5aMl9zZzNnUTRjVlFXYzREZmFYVGVZd1RpRXljZTMxNFdQckJCeDRaQUZTSTROQmdLTTBHUHNic0I2UURCNjN3ekNwN1JULTAyT2NWYWpIMjFCN2FqQ2hPcUU5YmxMQdIB2wFBVV95cUxNM0tMVE80aXdoc254clRDZXlWUXdIcnAyMkVmajg0WlEyR01TVEVEeHpBbnhLMkVJaWJaV1M3Wlg3M2lfRURXR3UwWGNGX2pPdEJHSnp4R2stZzI5b0hiN0xDT0lWRno5cVhFd1ozc2xWbTZoMGxaVDhPOWFiT2JiSDdFSmpvWjZYalIyZTJDdlItSURqNjM0TjJFSnFadVBXWGNwLWNuejhuSVBaaHVSYXRQNUFqcUJHQ2M0b2wzZnI1UHR4TDh1Z3NwV1JxcDdvZXRoaTdpbVVfbFk?oc=5", "source": "Outlook Money", "published": "2026-10-21 11:20", "score": -0.273, "label": "Negative"}, {"symbol": "MARKET", "title": "Share Market Today: Nifty 50, Bank Nifty | Oct 21, 2026", "link": "https://news.google.com/rss/articles/CBMizwFBVV95cUxQX0ptQm9rVUR3WmhXT1hsYVFkZ1FDeXFBQ21Ma0hFU3N5Uzg5V3A4WW9ydXFNNW1BMFNRalB2V0NZNUZrMTB6SmlvMnBfUzYtaUdSTUt3emRnTjdZakRpRERJMkdiZ2lYX3hEQ2RRZ0pMamRYWi1RUzh3T0VwdmhkSXowNUtmcDRaYXR0dVdySHlRWjRFblRMWlJoZnBQZ3B6d05RVnA5b3BxeHhNal9xeWF3Y2hUXzhlVEF2SkxPSHlVOXVwNU1RWHpfTzl2bHM?oc=5", "source": "Liquide Blog", "published": "2026-10-21 11:12", "score": 0.66, "label": "Positive"}, {"symbol": "MARKET", "title": "Indian stock market today: Sensex and Nifty fall for second straight session", "link": "https://news.google.com/rss/articles/CBMipAFBVV95cUxPWTNFMUJiZ1Yta3hDU09iRHk1MFNNNVpUS0pOYzdMc1ZGcjZyU3h6aW5faVlJYlpVa1d2UHdKVXhmaWtXNFBwWlNRaU1HOEJ5dzlGWnZzVGZkNndOc2J1SVo1N2NLTHhGcTlOeFg0M3pVRE1qenZONFRtRjNEVTNONVgtSHdhaXllMUk5TThCQkI2SmR0VzhNRDFmX21zTjE4TjMzYg?oc=5", "source": "Telangana Today", "published": "2026-10-21 10:43", "score": 0.296, "label": "Positive"}, {"symbol": "MARKET", "title": "Sensex, Nifty gives up gains to close lower; IT stocks shine", "link": "https://news.google.com/rss/articles/CBMi0AFBVV95cUxOaWFxVEdUZElGaEVTNF9VTVEwVFpXUlRXcUZ1S1FTMVpIMnZVdFVJbTlqRVpvN056WXdXOEtfaHFDV2tXb0lvR1hrZERSMGFsUGdGYmtyemdiZmdoTXRkWHV4WWFWaWpSdjFGclVuaERMQ0xsd2pldlNfZGJudk9EZDc0QlNSa3JneHY1MUpIbE1TbVRoOEozY3NJbFdNYTJLZ1Jyd0hPMWpMbmI4NG5kUWRUZ01VY3FSTjExQ3k5VVBwSDhFeW5TMjZiblhsYzNG0gHWAUFVX3lxTE1YUXhCVEZnOTJHbktEQzZ6OWxrMzBibktwWGs0RWp3aGE4LW9LSHRkYlByYUpfaEVoQUphenV0U3pPc1BOSFA3cV83ajkxSkstTWZoYkdEN2pVT01KcmgtMWdBbWNBd01UZG54SmVHcFNpSno1d0dfZW1Qak9PeW1wV3hnbk1VdUczeXhQanhTQVZBOWZ3cTFtSmR0eEN0d25OdFF6VHdnN1lLYkVTaUZUYmRfdmVaUWIxRExPYWxwYkwwc1JSdUgxUGRqajkwbmxzMmtPRHc?oc=5", "source": "India Today", "published": "2026-10-21 10:37", "score": 0.542, "label": "Positive"}, {"symbol": "MARKET", "title": "Indian Market Rally Fizzles: Banking Stocks Drag Sensex, Nifty", "link": "https://news.google.com/rss/articles/CBMisgFBVV95cUxNUHl3Ri14Q0tHMjdZRll3TFp2cWs5bmNNV1huQWdmcUtNZVJ0c2NsRW9KaF83VEJSZUIzSldyM0M1UWhlS1UwRlM1OWptdUNCZHl3c3VGSHRqR3I2Zm1mRzZIS3ZfcUZ3WXRZNmF1RXlHMWR1alBnZkdMeDVtNnEwQlJ4UUw5dEdQSWFxUTN2bDlrMjlQdmFnS01IWGl3TkVIQXlyUVc1Q01Db2tMQUJvZjBR0gG3AUFVX3lxTFByT3lubXlZTHJfcDNQUE1JdkJVdmFHbGZKUDFWczlWQnM0bEM4c2RRdUkwOWY1RUpNUTVlYkJEbUc0RHVnSzFpcExqQ3owU21NN3lacnZWR1FLTGVvaURrdHNXXzBnUkR0OWZ6MVNtOXRfWXNQeFRaUVd3OTVDX2V5bHBab2ZWQlpWMUVwejc5Y25DWjROSDV5TmxVVkVjT2NpTEUwNkwwV3BpRGc1ZTBzNEtFWlZHdw?oc=5", "source": "Rediff MoneyWiz", "published": "2026-10-21 08:45", "score": 0.586, "label": "Positive"}, {"symbol": "MARKET", "title": "SENSEX, NIFTY erase early gains, tumble nearly 1% in noon deals: RIL, LLTS, HFCL among buzzing stocks", "link": "https://news.google.com/rss/articles/CBMi6gFBVV95cUxNR3NxdHRtWnBVMU9TY3VqMXFkWldrVzFCUmJfNkg3ZmZOTHNVYzZMWGFEalgyZlcwVjYwcUhXaW96Z2FsQmtPX1dUUjR0aHg4YXNpeWUxM0RKcndCUkhta3hJRmVINDA3RG80MVR0N2lyUzNUTGZIb0FqanZZal9YNmFpa3RGYTBjUHBoa3o4bThNS0RBaVVXSXVhbVpqZFJzMTdoOVMyRjhnNGkyRGR3NTgyUGV3Yk1NTjhmMGd3dlhVV2JUXzhYNkdlUGI3SUtZVWlFUVpza19tSW5PMmxiV2RpT1lvV3F5VVE?oc=5", "source": "Upstox", "published": "2026-10-21 08:27", "score": 0.721, "label": "Positive"}, {"symbol": "E2E", "title": "E2E Networks shares extend decline for 4th day; Black Box, Netweb Tech, other AI stocks see rub-off effect", "link": "https://news.google.com/rss/artic</t>
        </is>
      </c>
    </row>
    <row r="5">
      <c r="A5" t="inlineStr">
        <is>
          <t>les/CBMi_AFBVV95cUxOQ01EUk5uSmcwT2otWHpCcXNKUkwtQk1Sd0IzZ1M5NEloaTRfMUwtWHdTZXd5TTAtZEtwb3dRLVQ1dWgzcmY5REU5eDJhMEFpdVNMb3d1UHZjQWlOcVRYNjZKTjhIYW03bVVpRjZ2ZEZ1WmtUMnBQUWRQZ3pucmpwNzJpOW93eDVvUGQtZG1WWnJVNV9GUGFIeG9vbUxYSGtKdjZrUFlKVkY1aHpmNXlhVTNCakx1TVNIZHA5NXVFSUZlTmpGLWZ1a2lqcElkdTZXSkpXaUIxSnBMZ240TmFlSHFHOGREaFhhUEp5X0pEMUo2TkFwWEU5V1dhUGnSAYICQVVfeXFMUE1JaVNFclVONzVqZElTQUp6cGxDaUE4b0h3ZVpiNnJkVE91eWN0TWlheTAxaUZCdG8ybENYZ2V1cUd1a3JORXNBblpkSnRKQVYwd210ejFWbThnQ1pvek5mMml2YzVQWi03bm0tbUt4a05HYmFFOXdvak9YcGRBXy05ZElWcXpOUkRHb01aR1lxVU1rYXFqWVZIZHNJTUswblYxUC15Y1NRNjJlUTFSdjF6MVJfVEMzVmxWOXFZSmI3WV9xbnd6clU3X0IyVFVzWFhJRm1MQ0p3ZTFxRW5FYnBoOXFXR1J1ZWozMVhSWXoxd1FXLXE0NUxGTlpIME5RZFdR?oc=5", "source": "Moneycontrol.com", "published": "2026-10-21 07:23", "score": -0.226, "label": "Negative"}, {"symbol": "MARKET", "title": "NSE - National Stock Exchange of India Ltd: Live Share/Stock Market News &amp; Updates, Quotes- Nseindia.com", "link": "https://news.google.com/rss/articles/CBMiPkFVX3lxTE15aFBDQy1lOHpHNnVLU3dRM1lsWmNDMVRQNWJPcXBDSklxT1VIUnVxVDMwRHJsRTJtdmNLcEd3?oc=5", "source": "NSE India", "published": "2026-10-21 07:00", "score": 0.0, "label": "Neutral"}, {"symbol": "MARKET", "title": "Sensex, Nifty rally up to 1% in early trade on IT stocks, firm global cues", "link": "https://news.google.com/rss/articles/CBMizgFBVV95cUxQR1h5dTg3cEs3Sm1JMkptS1p0OE45SVlfSWJnd2w4c0U4QS1TR3VxMmhPVW9lYmZLQTNhX0FzOE1ZSkM5b1RweDNMUzE3LWJldFFNNEphR0RQa3lvUkZJSENnRW1PNnk2MnRsNlNocnRRNG5YZmNfdXdGSVFOdVViemJKS1ZsRzZrcWVGS201SlVoQWNrc2FWX0JoVGFkbnFKNGdUbHEyMW8wLThTMmdVeUFoNDBaRFp1Zm90YkltYUFnNk9hbHdVaVJ0OVpWZ9IB1AFBVV95cUxQNUVZMGpnaUtWa195QW1MaUFiV0RjQjRXdVR2QWN2am40Y2VsREVYVU5Rcmhrd2NQQ1d6dzJrMi1QMUlTdlZlaGFGekJ1a3lVMUNYamFabWFwbUVKQldnU25vbHFsejMxam1TZjRiR0FBZjNCOGZBUkVQbllGYkhQU285WkpvYmFuYllkOXJGN21kUUV4a1VVME43dUtqT0pKRlZ0bFBrRzhsM19vdDdMaTNMbEppMUdXT1RqczlGaTJaREdEcVBxNEJPclBQMm9RS1FJZQ?oc=5", "source": "The Hindu", "published": "2026-10-21 06:26", "score": 0.691, "label": "Positive"}, {"symbol": "MARKET", "title": "Sensex, Nifty Jump at Open as Asia Gains; Jio IPO in Focus", "link": "https://news.google.com/rss/articles/CBMi0AFBVV95cUxQUUk0eU8tSElYNTBybC1oZkt6Z3ZUV0ZIOXJGOU9maTg0ZlM5b01ZcVJVOTlyNEtaZzk2YWJzZXlEa0JLdlpubS1BdlkyU1RmUnNuZHY4SF92T0lZbkRScUtEX2ZwdzMxNW5jeWQwd1ZFeEoxazRIdV9sWmVYNHhkNGdGMGFDS2h2eC1OYVIwVkxhRFoxQXJkQmhRRGgzT1BIUk5EY1gwQlM4Z0dPYzkzbm5EckV1MVM4NGZ1ZXc0V2pFY1k5bDhWai1OTGx4eUs2?oc=5", "source": "HDFC Sky", "published": "2026-10-21 04:43", "score": 0.796, "label": "Positive"}, {"symbol": "MARKET", "title": "Sensex, Nifty jump as IT stocks rally; Jio IPO in focus", "link": "https://news.google.com/rss/articles/CBMi8AFBVV95cUxPd3ZveERnLUZvSF93M3JqNXFNUmRMRVJ1eTZESTBxYkQ3QXZlNm1VV0FfRXI1N1NfbEhjZWMtT2RJMDMxaC1LNmdEQmFWT1RGdC1VdjF1amZXT0c3ZFZwZEFkYUF5UlM2cVNVbmdRZ09rUnhETnFSOWM5XzJMZWU1Q3ZoQ05kWDZKbzVGQ2FlMTFibDg2VzJORDNKcFYyZENHUHZHbW5WZE5zZmZQbzJGd21URDlVYjZ4Ujk2ODlHNjhENmZNZ3daM2pCVDRnekszQkotQ2RHSUFPNVUyR0wzSXFScEc0VzhBaDZNZDdaczPSAfYBQVVfeXFMTklzeGFkN1RscXY3b0lqYkhOenFwRXEwSFUyVFpaeVFTX2Fhalc2T1JsOUIySFNDbHlxQTVBeU90OG5WandWTWlVd1p3Y2NYQkV6Rm5JaWNSMDhkeFpvNkNqQnJiOXgtZ3FaT2JORnRBNm96dGwxYmdFaWNtS1pXYWFfRkdEWEZ5OVdNb1ZwbWQ5RGlSbkQ4U1BEQWM5SzlsMDVuMUpCX2Q2cmFRZEJVX0FxVjhJYXBkZmVpYy1hVXVGRXhMOUNxVG12RkE0MGdkZFBwQUhrY3dKVlZpUmxCaDNrUUtwSE92M1JqRUN4Vko1bHRZcmFR?oc=5", "source": "India Today", "published": "2026-10-21 03:47", "score": 0.818, "label": "Positive"}, {"symbol": "LAURUSLABS", "title": "Chartist Talk: Will Nifty 50\u2019s technical rebound sustain? Milan Vaishnav advises holding Laurus Labs,...", "link": "https://news.google.com/rss/articles/CBMiigJBVV95cUxQX1VFQnVWTVpjTEJwOXpaWUkzaEFlQ0Etd3BQU3pSdTF3enVMSndzQ0FlMlN5UVNpNXFENEFnSjdDYXV1RHZ0U1BFTTBwekNLWFV1Qm1XTy1fb0dDVlpmVzRYdl9TVzVpTDVoak5MM29qMnAtZnRNWHBNQW9kYjJILXNraU9Dd0VGVUVqQjhMMjZvZjJKVmhpby1KWEp5NXZXaENEUGtwa0ZtZlRMVU5MZGt0R2I4VEJkbWdLaXFsUXcxVkZJQ041MEdTTDJCN0xUaVlyaWg0TmllLUVvWjhKcFg2em9JaHFWaGNUNjhYVjlUcWtDcmhvc3otVk9sTUdCT2Y3LWdUbVZoQdIBjwJBVV95cUxQb2E2X1V4MkpKTnRhREpxZDRBYllSaHVwY2NmQVZkMnFNRUcxY21SeG80QmpIT2d1cjdjaHJMcjV1d1AtcXlqc2ZSbjVFOVFjN3MtT05Ib0xvc1hPOExQakJ2c3hkei1aS2lUMUxZTnVWX2ptNTNuY01qVUJfaFlxcDVjTkcyd3BIb0tQNHY1am9oUThfX0taTWNzZDVuR3U1ZlExNHppLWRQNU5ESXNRWVIwSFVTei00Q1lDUE1XVFlpM0R6aU5KQ2ZYOUo0N1NSS25McHhXS1MxRmplZDhxREVrc1lCVEtKR3E0QTVaUWlYcEtfeE93NEpNSWV0T2lnYVgzQkFXZTRGMHI3RGNF?oc=5", "source": "Moneycontrol.com", "published": "2026-10-21 02:34", "score": 0.402, "label": "Positive"}, {"symbol": "DIACABS", "title": "DIACABS.NS (DIACABS) Share Price Today, Live Chart &amp; News", "link": "https://news.google.com/rss/articles/CBMiYEFVX3lxTE5JV0lHeHF2MFVvUUczOUVwMTlLcGJQZ0ZGNzhBaUtlRDBtUFB2aVpCQ1F1WExTUGYwTTZBcVVMNkVHY3RBLWhRUHQzSExqOTIyQms5WV9sN3JyRnQybmprXw?oc=5", "source": "TechGraph", "published": "2026-10-21 00:00", "score": 0.0, "label": "Neutral"}, {"symbol": "LAURUSLABS", "title": "8 Stocks Hit 52-Week Highs: PC Jeweller (NSE: PCJEWELLER), Sky Gold and More", "link": "https://news.google.com/rss/articles/CBMi6gFBVV95cUxPT2tpMEx5Rmc5cVQ2aXlMMXZZVmxpNXYtQ0tqNWVtS09Id0JCcmRBS2lUV1MxM1VtbkdtYWNuZWJ0VFhncVhRcEtTYkJsekFxUXlSaGVDeW5Pa3QxM2V3dGtZazZaUHd0N283UG9zOV9JQkR0LW0xWHI4VVZvVWlUNnhVcC1nWWVUdGUway13dVhjSHc4MkptMmg4MzczRWxxSUh4aEhJWWNqbmZHaE1aRGFFWHRNTnhHY3hLYldKdnZwZHhWSHJLVUFXc3h4eU9kMzVMdmF5SUtiSzIxT3k0eUF0VmZEYlBodEE?oc=5", "source": "Kalkine India", "published": "2026-10-20 11:24", "score": -0.153, "label": "Neutral"}, {"symbol": "E2E", "title": "We Ran A Stock Scan For Earnings Growth And E2E Networks (NSE:E2E) Passed With Ease", "link": "https://news.google.com/rss/articles/CBMi0gFBVV95cUxNZkY2dmdRZHEzVFptTVlQTS0xalRUWm1PY05FeXFkSVFnVEN0SVE2UVFicnFyaXdJbFlndUw1Y3lmdlpoMFowMk9HdDBDOE9jM3QyLVI5Y2haU09oc1p4U09kOFdKLWozQ2ZCbjJwamh5TW81ZlNoQTBkamVSbVJMWnBJaGVnODRWbk9mVmtpbzNYWXhncWZJS3dZanp0ekJXTXhNR1ZOVDZYekYyZzdzdmFtd2ZBYndLb1pINGtOMEFWZXVnRkpGSHBzbHY2TmhmMEHSAdcBQVVfeXFMTWRheF9vX0E2QUZEdVluYkllRWRIbEFXTEhzMm4tMmhCSGZrXzFwYlFKNDNlQ01CSE9tNHF1dGRSSWpqSzJiLXVEQ19MeTU5aHpYSFNHbzdSRmI2M2c4ZmZLcU40cGZUNmZDY000d3lmTGl1WjNLT0RmSkdBYWZRYXpMcU9IZlA0a293ZV9OcTBpTTBnb3lfRHZIdGF0WEo4UmkwaEFWcW9GVlZ5YnVFa1pOMUo5bTNTaHpJS3JzcmhvUG10OXktWENsZ1l0YUliNWRpdXlGMm8?oc=5", "source": "Simply Wall Street", "published": "2026-10-20 00:35", "score": 0.612, "label": "Positive"}, {"symbol": "LAURUSLABS", "title": "Laurus Labs - PC Jeweller among 8 stocks that hit 52-week high and rallied up to 42% in a month", "link": "https://news.google.com/rss/articles/CBMi9wFBVV95cUxNT0ItTTgzWFNXNlcxeXFsdzdJTldjZWQ0WWdveGtaTHVzcERHVzBFXzBLdVZqM3VLaFN5a0EtZWtLYVF3WWw4ZzdUUG5SN3M3b09KeG9RZzNZMFRfb3N6SEs0djdrQ1Y5MHVJUnpJUF9Fcy13MDNZbDh1UU42cTkxd1VyOVRzUklWOTV1b2ZXcG5Ia3hZUmhHUlFrUTI2TGktd2E2enN1dDBGVWVNaExuMFRLT2dMMHVWUGdMQ0NPTktnVk1MV2huWTVfOWZfQi1nMVMzOWFtdTBkUWxIenNDbTNuZ2U5TjVrTXFxMjBMcmV3WVhnQTRR?oc=5", "source": "The Economic Times", "published": "2026-10-19 14:13", "score": 0.052, "label": "Neutral"}, {"symbol": "MARKET", "title": "Nifty Sensex Today: Stock Market Crashes as Sensex Falls 876 Points, Nifty Drops 1.11%; Banking and IT Stocks Lead the Losses", "link": "https://news.google.com/rss/articles/CBMi9wFBVV95cUxQa1ZydU56V2ZLWkw1MTV6bW0zNThMcTRUVU44WFN4SHpfMHlmTndYMm9YZXJMVmE3V0w5S05ZU19Mc2F6Z1drT05NOG5vQzg3X0diWkh0eFV2dzhkMzV5WXVlbEYxaUtiY0RmT3B3bGVMWXVCTHRNdUloNzctX3d2eEdPRnlZaGp2eUhkQmhydkNwOEl4cFdiNklIYnc2ZjZUQ3BhZlZlY05Hb2dFVm1lS3B3M3dlb1NqM3BEQ0xtaWtfY0pNSlIyRkQ0MzR0ZGJLQkt5U3R5S3FDU01saE1NdGxwRXQyc1d2ZDRldE5wbDNRTjl4aXBv?oc=5", "source": "India Infoline", "published": "2026-10-19 13:06", "score": -0.0, "label": "Neutral"}, {"symbol": "DIACABS", "title": "Diamond Power Infrastructure (NSE:DIACABS): Who Is the New CFO Appointed on 19 October 2026?", "link": "https://news.google.com/rss/articles/CBMi0AFBVV95cUxOQjAyWlFlUEZVVkZEek13cTE1OTRTNmJaLUV2X3pIbHJZOHFod2JPa2toTGQwaUFVVzhXcVIyUGV3NWNpb3lwaFV6aVJwc3p1Z0pqYVJTamFkWDFBLXdjdUlaRUR1dGtvOFpMQi1Ic2NhN0JxUGpmcFA4NVVqbnRBcEVrYzZtNldFY2RvMVRJaU1oN3V6UElHOXJ4MG5tVWFtem5QM3RZM2NtYmEzZVVvZ1lZRk05ZE8tWWViM2FxSUNfM2c4LWEycTM5ZGRPSVNr?oc=5", "source": "Kalkine India", "published": "2026-10-19 12:29", "score": 0.34, "label": "Positive"}, {"symbol": "MARKET", "title": "Manic Monday at Indian stock market: Sensex, Nifty bleed - \u20b93.6 lakh cr gone in 6 hours | What went wrong? Big reasons", "link": "https://news.google.com/rss/articles/CBMikAJBVV95cUxQWGYxbjJtM1hTam1JMFMxZXlUaXk1VDltRkVZc0pwelhEbUJEeDNKM2lWVXVEUExUSGJxdDJCaUNTd250a2MwXzVscE1fR2w1N2ktZVAzd3JqRDI2YmJId1JnVU5mX2Ixd3FEUWxNTFltZnlRUUdyWXY5X1JnWFRlQ3RldnJKZTFmenpxVmZRZVVESnAzMEU4eEdFYU8yd0NGYXpYZ01pUldYdnoyWjlXXzBUQk93QmJzSlhtRW9UdzVXTVN6QkluUUk5WkdiVVMybEtVVldsOUhGcXFNb1hHM191QkxWX3dNeUFSdG5ZcWl0NzVXTnlUV0JhMWxaMXoxRW9lNnRla2NxaTRsSW1IU9IBlgJBVV95cUxNVVIyNVUzY2lGS2EtUGJ4ODV5T1NCYldQNXAxd1dJY0dLSTl4bzVDVlNhODRpZlJDMmJqOGhsUHEtTXpwWktvZFdtbTVzaTZsWFk5N3JGNWNTNl9DY0FJdHB6SzdOSkNxNXVrTnFxZjJlZUJFMXhja0wweDV6Ulh5T0N5aDltQ21oTm1GbUxYTGw1OEswZHBTbUUzWWdwTEsyeHllUWlnV040b19HbU9QOVlaZi1pNmRDUm1rQ0g1VjZsR012d3AzX3FkblRBVm5kc1BYX2Y0RkRZWVJNNUhKLWVSQmtLWlg4ZEh0MmdNRUJqRUxHUUxqUUtsd1NKQnNOSllhcmxkeTNxQS1WNVZxZE9KSW4xUQ?oc=5", "source": "Livemint", "published": "2026-10-19 11:35", "score": -0.103, "label": "Neutral"}, {"symbol": "AEROFLEX", "title": "Aeroflex Industries Braided Hose Design Patent and CAD Technology Explained", "link": "https://news.google.com/rss/articles/CBMi0gFBVV95cUxPV193MzZqa1duYVcwVGs1UmdCX3JuTE05QXBZVERzU0Y4Qkgwd19kNUlFdy1LbWVFNll5QlpqTmpacF9ydGFhWGZMVFA3M0Etd1RYa1g3R3E2QVQ1SXhETDhIODM0OG9ZNHpWdHFsZElJN05CcV9vVGFIcW1UQUZKbDdDTmpjRjVpTHpUTGY3a3NQczIwb2VFaFhCOHFCM2FMNm9DMWloeHAwbmtzQm5NcnZWd3pxbGFwR1VjMkFObm1YRWVQVjVoU3d4WVB6V19zakE?oc=5", "source": "Kalkine India", "published": "2026-10-19 11:05", "score": 0.0, "label": "Neutral"}, {"symbol": "AEROFLEX", "title": "Aeroflex Industries Ltd granted a patent for its innovative technology", "link": "https://news.google.com/rss/articles/CBMirwFBVV95cUxPWkFoVnJudVByWHVCbS1fRk5TaDEzV2cwbklGU3hEbFJGM3M0cWhudmtIeVA4YWlfekNicFhyaTdDNHpQbWZiblRiX0RkanFJaVRlZno2QlhOUVNRYWk0RG5DY1I3NDZ5ZHBuQVlrT0t2NEhRcHVuaWUzM0ZubmpmWkxuSWExekZCR0w5RTN3QTZULU5zX1JwQVJvdmxhYmZGN1VLOU8yR1NhSGZKT21r?oc=5", "source": "EquityBulls", "published": "2026-10-19 09:06", "score": 0.599, "label": "Positive"}, {"symbol": "AEROFLEX", "title": "Aeroflex Industries Patent: 3D Braided Hose Tech Granted", "link": "https://news.google.com/rss/articles/CBMiwwFBVV95cUxQaXNlZmlYVkVyMERnTGRiNjdSVUhUcDQ0QWRQbUlNTExWajBiNUtERGRsblZibkpXRFpyOC1GTVdyTEg1MTZVX2laS21MYUswS29Ub2pPRGR3aXFJVDR5dURYM1dMeDJHU1pNN0FTTkJ1aGh2TGJGVkVSX2tkcXczaDZtRm1xQ25EYkJIdnBxU1RFS3BkYzAtX1N4MmZEeGtYbmpRNjV5OGctUHlmLXhjTzRaUGVlVjNYS2VDOW5PMHBzb2c?oc=5", "source": "Kalkine India", "published": "2026-10-19 08:10", "score": 0.25, "label": "Positive"}, {"symbol": "E2E", "title": "E2E Networks AI Cloud Infrastructure and GPU Services Explained", "link": "https://news.google.com/rss/articles/CBMisgFBVV95cUxOQjVNam4yMXFWbnEzQ0ttOXpNWmtJR2xuMTlBemFzbGViRkUwOVByYzNCUGJVcGxJd3p5eDNWNkh1WG9CeGxfSWN3a09YbnUyRTBxazY2TGpBajZLUnBRZ2V3dHlzWlRHbTh5XzRfdVBTZklpbW1MNlhkWTBwd2ZjLUE3RXNqYlVHWE9hdHZFbG5ZNU94ajM2LUZIMVBoSnV2bHgzRG9wOHBtUzhGRnhwVGtR?oc=5", "source": "Kalkine India", "published": "2026-10-19 07:40", "score": 0.0, "label": "Neutral"}, {"symbol": "LAURUSLABS", "title": "Laurus Labs zooms 128% from March low; hits new high in weak market", "link": "https://news.google.com/rss/articles/CBMi3AFBVV95cUxQUzRiZktZNXRkdHoxamJxZzlTQTJMYURYV01memJpSW5fQXJiQmwwNk1pOGVacmpsNWNIaExZbE1jQWxlWTFWdmxxR0swbWhMSWZQZ1dJRGNvZ0FyMDcxOGlEbUM2bXctOG5KcW5TVTFoVWt3VTZzRWtrZzQ4c0dGNDcxUE9ELUk2ck5vN0hXZElEVXhhd2lROVZVd3UwUml4U2xCNmVhVkt4X01ZTC1talB3VF9fMW02dUJLcldLWk5iR2dSOHBGVENXR1E4TXdLQVlvZ0RzVTBPZzR50gHiAUFVX3lxTE5SU3V5TUIxcktuai12Mm5LR3pEZ2J0ZEdIcE1ld2VvT2VJQno0ZVhTOU9YV0hCN3hCUk9Za1Vhbm9jNkY0eUtkUmJVOEYyd1NweTlNYjFILWR0TG52LXJ4SUVRTUhzdE9Naml0UmFCNVVUSUpESDY4UHN0Y0dJM1BMYzRwVlVEdnNyZXhBVEc1X1dQeWJOXzFra1ZYbXkzcHJkejJjeDZyLS1yZ180LUxXYlNVMHVhSGZXcjhoYUJ3eHcydzFCSDhkREF1NjZJMV9jVVlFLVdQcWMwaFhtNk9JWWc?oc=5", "source": "Business Standard", "published": "2026-10-19 07:20", "score": -0.542, "label": "Negative"}, {"symbol": "KIRLOSENG", "title": "Kirloskar Oil Engines Share Price: price fall and valuation", "link": "https://news.google.com/rss/articles/CBMihAFBVV95cUxQVTBCYlNyeThHejZrRTVGVG5VTHhVZ0VFUUUybnZDRGtKSERtZ1laVGN1RGN4cWdVMHlQYVFmaElKR0RCbkxwVWtfdjE1OWFQNllYXzJjd01SS3pNZU96UU5GNkFjeDZkcVYxdHotUzYyWm9LOGM1WVRUSGF6YTVWMVluSm8?oc=5", "source": "Univest", "published": "2026-10-19 07:00", "score": -0.34, "label": "Negative"}, {"symbol": "LAURUSLABS", "title": "Laurus Labs Share Price: fresh 52-week high and valuation", "link": "https://news.google.com/rss/articles/CBMihwFBVV95cUxPTE5xQzJmMk9oR3NOTmNLUFZRYUZkZ1lDZXVoTWt1a0dxaEdVYnBzT0YySXE2ZXZ5VlFER0taX21FVDBudG5PQXY4MWNtZk0zZWl4a2l1clZQUmw4SWlfT21KdDJLTkFMVWtOckwzZmlSRktvQVMyd3dTWVBiVDZNSFFtbjE0cmM?oc=5", "source": "Univest", "published": "2026-10-19 07:00", "score": 0.477, "label": "Positive"}, {"symbol": "LAURUSLABS", "title": "3 Top Hyderabad-based Stocks to Watch for Future Multibagger Potential: Divi's Labs, Laurus Labs and NMDC", "link": "https://news.google.com/rss/articles/CBMihAFBVV95cUxOYnZPOHBWT0JBbGkzbzZ2dl9xOGNDZ0dKSFR4V1YtbENNSm1IaUQwb0xmRkZnd0xFNFZ3bGdoQXNUTERBblFjZ0NfMTg3aS00YVlHY3I0cnFiN2dpem5aS3cxMVRIYzVDV1VxQTFSWGZXWFZFS3VZQ3dFeGpLZE40elB0Qko?oc=5", "source": "Univest", "published": "2026-10-19 04:51", "score": 0.586, "label": "Positive"}, {"symbol": "DIACABS", "title": "Diamond Power Infrastructure (DIACABS.NS) Slips 3.28% to \u20b9361.5 as Traders Watch \u20b9343.43 Support - McClellan Summation", "link": "https://news.google.com/rss/articles/CBMiygFBVV95cUxQb0pTQ2ZFdTB1dnA5Q2FtZlAyamg4RWtXZlRQMkRJR3ByOTNaTEs4Z2tKMmZRZkpEdzBGcXBaV2steFVDcFdKWkZKcE1oS19CTG04QVpDaFB6dVhfdVN3X1h4SjVzSWdsdENsZkVHclpfUlJ5RjNJTFZ3b2ZQMUhVUmNHdG5nbTB1OS1GVUcxaDBKd3VVb3JjSlJLellHYkpKaUhIXzg5V2E1Tjl4TW80U1Fic2ZSYVF5RnI3Z0FEc0ZVZ3M4dC04SVd3?oc=5", "source": "www.siam.in", "published": "2026-10-19 02:34", "score": 0.402, "label": "Positive"}, {"symbol": "E2E", "title": "E2E Networks Publishes Q2 FY26 Unaudited Financial Results", "link": "https://news.google.com/rss/articles/CBMi1gFBVV95cUxQbDYtY0FjTy05eDRrUjJ0YlVHZjNsUW14ZFlaM2p5UmdvcW5JV1FpT3VrUDVVNDVDV2kzVjdieXlCTm1XaFYxWmprU21kYndPNWlmSmVIN0N6cGNiWlE3TzUyUDBobGJUVURBZWdmbjFVRVF1SzBmc2xCSm9jVjJ1TUlmZkc5RENPRDlPLXNSemRLVjBkWUh1WW9VQU95WllKWl9JYzIwSXl3M1hjQ1pZX1h4ZUs1Z192NWxVUl9DV3BhaWpGSGRIcnQ2dHFCdGVqTVQ5VERn?oc=5", "source": "The Globe and Mail", "published": "2026-10-18 09:01", "score": 0.0, "label": "Neutral"}, {"symbol": "ACUTAAS", "title": "Acutaas Chemicals completes acquisition of Enchem Ami Organics", "link": "https://news.google.com/rss/articles/CBMitwFBVV95cUxNMDVaazJFSUV2alBkdW9fZ0hROEdaZkdfdVFBdWF3cEFIZ2dBdGgwdzU1VFF6MkFKd0xHTUhUWkxGelZEZnlfajJZM1lSMGR6blR6M3pVTjcwaXNuTnRUQUotcDZzQWFMOXptTGtENHZVTFBUTlg0TzVDaXNfS1dFakpMeWM5SHlYaWVRMS1JazBoeVVYempvNndFVmJpV2FnZ3JuNm02cGNmdV9mX0E3ZjhoeERqMTg?oc=5", "source": "scanx.trade", "published": "2026-10-17 09:58", "score": 0.0, "label": "Neutral"}, {"symbol": "E2E", "title": "E2E Networks pays \u20b910,000 fine to exchanges for compliance delay", "link": "https://news.google.com/rss/articles/CBMiswFBVV95cUxPcmtYR3dlcWdXU1lkZlc2XzJzQUU2N3IwWEZEejd1c3c2Y1dEU2M5Y3hOZWh3aHF0ZUpGY2tvU1lYVEZXbFNRUkl6ampycXh3Y1JZRmh3eDkzTUtqTnhWRnF4VlhZU1FycDdXaVNvWGMxT3ppM2lmVUZiSnYzSGk3QWRLZUdLcnlPYXdZTDZPSVkxOHZLLTFvbXZMR0lsQmNTcXpSWVFmWHc3eTVSNXVsM1ZQbw?oc=5", "source": "scanx.trade", "published": "2026-10-17 09:32", "score": -0.128, "label": "Neutral"}, {"symbol": "E2E", "title": "E2E Networks Ltd (NSE:E2E) Q2 2027 Earnings Call Highlights: Revenue Surges 411% YoY on ...", "link": "https://news.google.com/rss/articles/CBMikwFBVV95cUxQTGY5bk82SXRsTUdRWldyX0FMNE9heHk4NHRjTFBMOVJzcWZYamVaRHpGaVZNZ0s3WV8tMmZUTzVLZlhXZnBsemtZMm1aeXFGZUM2RmM1eEdRdjk3MFNlX0ZIMV9aRktwdHh5cF9CTE1lR0IxMkhUME5femU4Rm45UlBDOVlVdUZsMjZNOGt6YjVmRE0?oc=5", "source": "Yahoo Finance", "published": "2026-10-16 21:00", "score": 0.494, "label": "Positive"}], "errors": []}, "created": "2026-09-28T13:27:26", "last_updated": "2026-10-23T17:22:28", "research": {"method": "notes", "generated": "2026-09-28 13:27", "title": "Stock by stock", "stocks": {"TDPOWERSYS": {"symbol": "TDPOWERSYS", "name": "TD Power Systems", "view": "Bullish", "view_score": 1.5, "tone": "bull", "summary": "The stock is 10% below its high, a shallow pullback within a strong uptrend.", "why": "Guidance raised, shallow pullback. Check for a fundraise.", "points": [{"text": "The stock is 10% below its high, a shallow pullback within a strong uptrend.", "kind": "context", "source": "", "url": ""}, {"text": "Q1 FY27 revenue rose about 72% YoY.", "kind": "catalyst", "source": "5paisa", "url": "https://www.google.com/search?q=TD%20Power%20Systems%20site%3A5paisa.com"}, {"text": "It raised its FY27 revenue guidance to \u20b92,600 crore.", "kind": "catalyst", "source": "fyers", "url": "https://www.google.com/search?q=TD%20Power%20Systems%20site%3Afyers.in"}, {"text": "A board meeting on 14 Aug was set to consider raising funds, so check whether a dilutive QIP is pending.", "kind": "risk", "source": "5paisa", "url": "https://www.google.com/search?q=TD%20Power%20Systems%20site%3A5paisa.com"}, {"text": "Valuation is stretched (P/E around 70).", "kind": "risk", "source": "5paisa", "url": "https://www.google.com/search?q=TD%20Power%20Systems%20site%3A5paisa.com"}], "short_view": "Bullish"}, "AEROFLEX": {"symbol": "AEROFLEX", "name": "Aeroflex Industries", "view": "Bullish, high risk", "view_score": 1.25, "tone": "bull", "summary": "Q1 FY27 revenue grew 72.4% and PAT rose 162%.", "why": "Strong growth, expensive, volatile, thin liquidity", "points": [{"text": "Q1 FY27 revenue grew 72.4% and PAT rose 162%.", "kind": "catalyst", "source": "sahi", "url": "https://www.google.com/search?q=Aeroflex%20Industries%20site%3Asahi.com"}, {"text": "Liquid-cooling skid capacity was raised 50%, with further expansion planned.", "kind": "catalyst", "source": "sahi", "url": "https://www.google.com/search?q=Aeroflex%20Industries%20site%3Asahi.com"}, {"text": "P/E is about 102, volatility is the highest of the ten (67%), and liquidity is thin (\u20b953 cr/day).", "kind": "risk", "source": "share", "url": "https://www.google.com/search?q=Aeroflex%20Industries%20share"}, {"text": "That makes it the most fragile in a falling market.", "kind": "risk", "source": "share", "url": "https://www.google.com/search?q=Aeroflex%20Industries%20share"}], "short_view": "Bullish, risky"}, "ATHERENERG": {"symbol": "ATHERENERG", "name": "Ather Energy", "view": "Bullish, mid-pullback", "view_score": 1.25, "tone": "bull", "summary": "Q1 revenue grew 89% and the loss narrowed 71%.", "why": "Strong catalysts and brokers, but still pulling back", "points": [{"text": "Q1 revenue grew 89% and the loss narrowed 71%.", "kind": "catalyst", "source": "indmoney", "url": "https://www.google.com/search?q=Ather%20Energy%20site%3Aindmoney.com"}, {"text": "It was also added to the MSCI India Domestic Small Cap Index.", "kind": "catalyst", "source": "indmoney", "url": "https://www.google.com/search?q=Ather%20Energy%20site%3Aindmoney.com"}, {"text": "Hero MotoCorp is lifting its stake to about 32.8%.", "kind": "catalyst", "source": "freepressjournal", "url": "https://www.google.com/search?q=Ather%20Energy%20site%3Afreepressjournal.in"}, {"text": "A global broker raised its target to \u20b91,926.", "kind": "catalyst", "source": "hdfcsky", "url": "https://www.google.com/search?q=Ather%20Energy%20site%3Ahdfcsky.com"}, {"text": "The stock has slid about 16% from its early-September high, so the story is intact but the price is digesting a big run.", "kind": "context", "source": "", "url": ""}, {"text": "High oil prices are a tailwind for the EV theme.", "kind": "catalyst", "source": "", "url": ""}], "short_view": "Bullish"}, "RRKABEL": {"symbol": "RRKABEL", "name": "RR Kabel", "view": "Moderately bullish", "view_score": 1.0, "tone": "mod-bull", "summary": "Q1 PAT jumped 129% and EBITDA doubled.", "why": "Strong Q1, moderate volatility", "points": [{"text": "Q1 PAT jumped 129% and EBITDA doubled.", "kind": "catalyst", "source": "5paisa", "url": "https://www.google.com/search?q=RR%20Kabel%20site%3A5paisa.com"}, {"text": "CLSA initiated at Outperform with a \u20b92,850 target.", "kind": "catalyst", "source": "fyers", "url": "https://www.google.com/search?q=RR%20Kabel%20site%3Afyers.in"}, {"text": "The stock is 16% off its high, so it is consolidating.", "kind": "context", "source": "", "url": ""}, {"text": "Volatility is moderate (44%), which is better than most here.", "kind": "catalyst", "source": "", "url": ""}], "short_view": "Moderately bullish"}, "E2E": {"symbol": "E2E", "name": "E2E Networks", "view": "Speculative, neutral to bullish", "view_score": 0.5, "tone": "spec", "summary": "Q1 revenue was \u20b9156.76 crore vs \u20b936.11 crore a year earlier, with a profit of \u20b943.88 crore, on GPU cluster expansion.", "why": "Big revenue jump, P/E near 400", "points": [{"text": "Q1 revenue was \u20b9156.76 crore vs \u20b936.11 crore a year earlier, with a profit of \u20b943.88 crore, on GPU cluster expansion.", "kind": "catalyst", "source": "angelone", "url": "https://www.google.com/search?q=E2E%20Networks%20site%3Aangelone.in"}, {"text": "P/E is about 398 and the stock fell 11.8% in the month to 18 Sep.", "kind": "risk", "source": "anandrathi", "url": "https://www.google.com/search?q=E2E%20Networks%20site%3Aanandrathi.com"}, {"text": "It has bounced since.", "kind": "context", "source": "anandrathi", "url": "https://www.google.com/search?q=E2E%20Networks%20site%3Aanandrathi.com"}, {"text": "It is an AI-theme stock with thin liquidity and gap risk in both directions.", "kind": "risk", "source": "", "url": ""}], "short_view": "Speculative"}, "ACUTAAS": {"symbol": "ACUTAAS", "name": "Acutaas Chemicals", "view": "Neutral", "view_score": 0.0, "tone": "neutral", "summary": "It received PLI approval for an electrolyte additives plan and commissioned a high-potency API pilot plant.", "why": "No catalyst, sideways trend", "points": [{"text": "It received PLI approval for an electrolyte additives plan and commissioned a high-potency API pilot plant.", "kind": "catalyst", "source": "fyers", "url": "https://www.google.com/search?q=Acutaas%20Chemicals%20site%3Afyers.in"}, {"text": "Quarterly revenue and profit were lower sequentially (\u20b9327 cr and \u20b976 cr in Jun vs \u20b9436 cr and \u20b9137 cr in Mar).", "kind": "risk", "source": "anandrathi", "url": "https://www.google.com/search?q=Acutaas%20Chemicals%20site%3Aanandrathi.com"}, {"text": "The 6-1 return is negative.", "kind": "risk", "source": "anandrathi", "url": "https://www.google.com/search?q=Acutaas%20Chemicals%20site%3Aanandrathi.com"}, {"text": "The price has moved sideways since June.", "kind": "risk", "source": "", "url": ""}, {"text": "There is no clear trigger for a 21-day move.", "kind": "risk", "source": "", "url": ""}], "short_view": "Neutral"}, "DIACABS": {"symbol": "DIACABS", "name": "Diamond Power Infra", "view": "Neutral to bearish short term", "view_score": -1.0, "tone": "mod-bear", "summary": "It hit a 52-week high of about \u20b9395 on 17 Sep, up 202% in six months, with a P/E near 128.", "why": "Extended, weak balance sheet", "points": [{"text": "It hit a 52-week high of about \u20b9395 on 17 Sep, up 202% in six months, with a P/E near 128.", "kind": "risk", "source": "anandrathi", "url": "https://www.google.com/search?q=Diamond%20Power%20Infra%20site%3Aanandrathi.com"}, {"text": "Book value per share was negative in the July data.", "kind": "risk", "source": "bajajfinserv", "url": "https://www.google.com/search?q=Diamond%20Power%20Infra%20site%3Abajajfinserv.in"}, {"text": "It is now 14% off that high.", "kind": "risk", "source": "", "url": ""}, {"text": "The T&amp;D order-book story is real, but the valuation and balance sheet make it a momentum-only trade.", "kind": "context", "source": "", "url": ""}], "short_view": "Neutral to bearish"}, "KIRLOSENG": {"symbol": "KIRLOSENG", "name": "Kirloskar Oil Engines", "view": "Neutral to bearish", "view_score": -1.0, "tone": "mod-bear", "summary": "June-quarter revenue was \u20b91,482 cr vs \u20b91,284 cr a year ago, but EBITDA slipped to \u20b9176 cr from \u20b9184 cr, so margins are compressing.", "why": "Margins and momentum fading", "points": [{"text": "June-quarter revenue was \u20b91,482 cr vs \u20b91,284 cr a year ago, but EBITDA slipped to \u20b9176 cr from \u20b9184 cr, so margins are compressing.", "kind": "risk", "source": "anandrathi", "url": "https://www.google.com/search?q=Kirloskar%20Oil%20Engines%20site%3Aanandrathi.com"}, {"text": "The 6-1 return is \u221211% and the stock is 16.5% below its high.", "kind": "risk", "source": "", "url": ""}, {"text": "Momentum is fading.", "kind": "risk", "source": "", "url": ""}], "short_view": "Neutral to bearish"}, "THANGAMAYL": {"symbol": "THANGAMAYL", "name": "Thangamayil Jewellery", "view": "Bearish", "view_score": -2.0, "tone": "bear", "summary": "It hit a high of \u20b97,429 and traded near \u20b95,085 on 22 Sep.", "why": "Downtrend, avoid", "points": [{"text": "It hit a high of \u20b97,429 and traded near \u20b95,085 on 22 Sep.", "kind": "context", "source": "anandrathi", "url": "https://www.google.com/search?q=Thangamayil%20Jewellery%20site%3Aanandrathi.com"}, {"text": "It is now about 31% below the peak.", "kind": "risk", "source": "anandrathi", "url": "https://www.google.com/search?q=Thangamayil%20Jewellery%20site%3Aanandrathi.com"}, {"text": "Q1 EBITDA (\u20b9145 cr) fell from \u20b9214 cr in the March quarter.", "kind": "risk", "source": "anandrathi", "url": "https://www.google.com/search?q=Thangamayil%20Jewellery%20site%3Aanandrathi.com"}, {"text": "It has the weakest chart in the batch: a clear downtrend, a negative 6-1 return, and a gold-price-sensitive business.", "kind": "risk", "source": "", "url": ""}], "short_view": "Bearish"}, "LAURUSLABS": {"symbol": "LAURUSLABS", "name": "Laurus Labs", "view": "Strongest, bullish", "view_score": 2.0, "tone": "strong-bull", "summary": "Its close is only 1.1% below its 12-month high, and its volatility is the lowest of the ten (28%).", "why": "Relative strength near highs, lowest volatility, defensive sector", "points": [{"text": "Its close is only 1.1% below its 12-month high, and its volatility is the lowest of the ten (28%).", "kind": "catalyst", "source": "", "url": ""}, {"text": "FY26 profit after tax was \u20b9740 crore vs \u20b9380 crore the year before.", "kind": "catalyst", "source": "torusdigital", "url": "https://www.google.com/search?q=Laurus%20Labs%20site%3Atorusdigital.com"}, {"text": "It is up about 94% in six months and holding near highs while the index falls.", "kind": "catalyst", "source": "anandrathi", "url": "https://www.google.com/search?q=Laurus%20Labs%20site%3Aanandrathi.com"}, {"text": "Pharma is also defensive in a risk-off tape.", "kind": "catalyst", "source": "anandrathi", "url": "https://www.google.com/search?q=Laurus%20Labs%20site%3Aanandrathi.com"}, {"text": "P/E is high, so it can still pull back.", "kind": "risk", "source": "anandrathi", "url": "https://www.google.com/search?q=Laurus%20Labs%20site%3Aanandrathi.com"}], "short_view": "Bullish"}}, "shortlist": ["LAURUSLABS", "TDPOWERSYS", "ATHERENERG", "RRKABEL", "AEROFLEX", "E2E", "ACUTAAS", "DIACABS", "KIRLOSENG", "THANGAMAYL"], "missing": []}, "research_notes": "Stock by stock\n\n1. TD Power Systems (TDPOWERSYS): bullish\n\nThe stock is 10% below its high, a shallow pullback within a strong uptrend.\nQ1 FY27 revenue rose about 72% YoY.\n5paisa\nIt raised its FY27 revenue guidance to \u20b92,600 crore.\nfyers\nA board meeting on 14 Aug was set to consider raising funds, so check whether a dilutive QIP is pending. Valuation is stretched (P/E around 70).\n5paisa\n\n2. Aeroflex Industries (AEROFLEX): bullish, high risk\n\nQ1 FY27 revenue grew 72.4% and PAT rose 162%. Liquid-cooling skid capacity was raised 50%, with further expansion planned.\nsahi\nP/E is about 102, volatility is the highest of the ten (67%), and liquidity is thin (\u20b953 cr/day). That makes it the most fragile in a falling market.\nshare\n\n3. Ather Energy (ATHERENERG): bullish, mid-pullback\n\nQ1 revenue grew 89% and the loss narrowed 71%. It was also added to the MSCI India Domestic Small Cap Index.\nindmoney\nHero MotoCorp is lifting its stake to about 32.8%.\nfreepressjournal\nA global broker raised its target to \u20b91,926.\nhdfcsky\nThe stock has slid about 16% from its early-September high, so the story is intact but the price is digesting a big run. High oil prices are a tailwind for the EV theme.\n\n4. RR Kabel (RRKABEL): moderately bullish\n\nQ1 PAT jumped 129% and EBITDA doubled.\n5paisa\nCLSA initiated at Outperform with a \u20b92,850 target.\nfyers\nThe stock is 16% off its high, so it is consolidating. Volatility is moderate (44%), which is better than most here.\n\n5. E2E Networks (E2E): speculative, neutral to bullish\n\nQ1 revenue was \u20b9156.76 crore vs \u20b936.11 crore a year earlier, with a profit of \u20b943.88 crore, on GPU cluster expansion.\nangelone\nP/E is about 398 and the stock fell 11.8% in the month to 18 Sep. It has bounced since.\nanandrathi\nIt is an AI-theme stock with thin liquidity and gap risk in both directions.\n\n6. Acutaas Chemicals (ACUTAAS): neutral\n\nIt received PLI approval for an electrolyte additives plan and commissioned a high-potency API pilot plant.\nfyers\nQuarterly revenue and profit were lower sequentially (\u20b9327 cr and \u20b976 cr in Jun vs \u20b9436 cr and \u20b9137 cr in Mar). The 6-1 return is negative.\nanandrathi\nThe price has moved sideways since June. There is no clear trigger for a 21-day move.\n\n7. Diamond Power Infra (DIACABS): neutral to bearish short term\n\nIt hit a 52-week high of about \u20b9395 on 17 Sep, up 202% in six months, with a P/E near 128.\nanandrathi\nBook value per share was negative in the July data.\nbajajfinserv\nIt is now 14% off that high. The T&amp;D order-book sto</t>
        </is>
      </c>
    </row>
    <row r="6">
      <c r="A6" t="inlineStr">
        <is>
          <t>ry is real, but the valuation and balance sheet make it a momentum-only trade.\n\n8. Kirloskar Oil Engines (KIRLOSENG): neutral to bearish\n\nJune-quarter revenue was \u20b91,482 cr vs \u20b91,284 cr a year ago, but EBITDA slipped to \u20b9176 cr from \u20b9184 cr, so margins are compressing.\nanandrathi\nThe 6-1 return is \u221211% and the stock is 16.5% below its high. Momentum is fading.\n\n9. Thangamayil Jewellery (THANGAMAYL): bearish\n\nIt hit a high of \u20b97,429 and traded near \u20b95,085 on 22 Sep. It is now about 31% below the peak.\nanandrathi\nQ1 EBITDA (\u20b9145 cr) fell from \u20b9214 cr in the March quarter.\nanandrathi\nIt has the weakest chart in the batch: a clear downtrend, a negative 6-1 return, and a gold-price-sensitive business.\n\n10. Laurus Labs (LAURUSLABS): strongest, bullish\n\nIts close is only 1.1% below its 12-month high, and its volatility is the lowest of the ten (28%).\nFY26 profit after tax was \u20b9740 crore vs \u20b9380 crore the year before.\ntorusdigital\nIt is up about 94% in six months and holding near highs while the index falls. Pharma is also defensive in a risk-off tape. P/E is high, so it can still pull back.\nanandrathi\nSwing-trade shortlist (21-session hold)\nRank\tStock\tView\tWhy\n1\tLAURUSLABS\tBullish\tRelative strength near highs, lowest volatility, defensive sector\n2\tTDPOWERSYS\tBullish\tGuidance raised, shallow pullback. Check for a fundraise.\n3\tATHERENERG\tBullish\tStrong catalysts and brokers, but still pulling back\n4\tRRKABEL\tModerately bullish\tStrong Q1, moderate volatility\n5\tAEROFLEX\tBullish, risky\tStrong growth, expensive, volatile, thin liquidity\n6\tE2E\tSpeculative\tBig revenue jump, P/E near 400\n7\tACUTAAS\tNeutral\tNo catalyst, sideways trend\n8\tDIACABS\tNeutral to bearish\tExtended, weak balance sheet\n9\tKIRLOSENG\tNeutral to bearish\tMargins and momentum fading\n10\tTHANGAMAYL\tBearish\tDowntrend, avoid\n", "fundamentals": {"TDPOWERSYS": {"name": "TD POWER SYSTEMS LTD.", "pe": 85.44379, "fwd_pe": 48.537815, "sector": "Industrials", "industry": "Specialty Industrial Machinery", "mcap_cr": 22649.634816, "pb": 21.047108, "rev_growth": 0.721, "earn_growth": 0.72}, "AEROFLEX": {"name": "AEROFLEX INDUSTRIES LTD", "pe": 102.0676, "fwd_pe": 51.85859, "sector": "Industrials", "industry": "Metal Fabrication", "mcap_cr": 6793.8619392, "pb": 15.18935, "rev_growth": 0.724, "earn_growth": 1.582}, "ATHERENERG": {"name": "ATHER ENERGY LIMITED", "pe": null, "fwd_pe": 516.02814, "sector": "Consumer Cyclical", "industry": "Auto Manufacturers", "mcap_cr": 57631.3819136, "pb": 21.641281, "rev_growth": 0.888, "earn_growth": null}, "THANGAMAYL": {"name": "THANGAMAYIL JEWELLERY LTD", "pe": 39.837044, "fwd_pe": 27.495428, "sector": "Consumer Cyclical", "industry": "Luxury Goods", "mcap_cr": 15576.7537664, "pb": 11.000529, "rev_growth": 0.712, "earn_growth": 0.861}, "RRKABEL": {"name": "R R KABEL LIMITED", "pe": 45.891792, "fwd_pe": 31.331299, "sector": "Industrials", "industry": "Electrical Equipment &amp; Parts", "mcap_cr": 27821.6933376, "pb": 10.807082, "rev_growth": 0.539, "earn_growth": 1.285}, "ACUTAAS": {"name": "ACUTAAS CHEMICALS LIMITED", "pe": 68.217316, "fwd_pe": 43.793648, "sector": "Basic Materials", "industry": "Specialty Chemicals", "mcap_cr": 26316.652544, "pb": 15.918781, "rev_growth": 0.591, "earn_growth": 0.671}, "DIACABS": {"name": "DIAMOND POWER INFRA LTD", "pe": 89.51187, "fwd_pe": null, "sector": "Industrials", "industry": "Specialty Industrial Machinery", "mcap_cr": 20289.560576, "pb": -29.587477, "rev_growth": 1.272, "earn_growth": 2.083}, "KIRLOSENG": {"name": "KIRLOSKAR OIL ENG LTD", "pe": 57.251335, "fwd_pe": 37.53199, "sector": "Industrials", "industry": "Specialty Industrial Machinery", "mcap_cr": 31168.6397952, "pb": 8.596884, "rev_growth": 0.134, "earn_growth": -0.199}, "E2E": {"name": "E2E NETWORKS LIMITED", "pe": 237.98479, "fwd_pe": null, "sector": "Technology", "industry": "Software - Infrastructure", "mcap_cr": 12859.6099072, "pb": 7.4469357, "rev_growth": 3.341, "earn_growth": null}, "LAURUSLABS": {"name": "LAURUS LABS LIMITED", "pe": 99.195854, "fwd_pe": 69.47338, "sector": "Healthcare", "industry": "Drug Manufacturers - Specialty &amp; Generic", "mcap_cr": 108640.567296, "pb": 20.480774, "rev_growth": 0.291, "earn_growth": 1.252}}, "telegram_sent": "2026-10-23", "corp_actions": [], "pending_alerts": []}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2026-10-23T17:22:32Z</dcterms:created>
  <dcterms:modified xmlns:dcterms="http://purl.org/dc/terms/" xmlns:xsi="http://www.w3.org/2001/XMLSchema-instance" xsi:type="dcterms:W3CDTF">2026-10-23T17:22:32Z</dcterms:modified>
</cp:coreProperties>
</file>