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FFF4D6"/>
      </patternFill>
    </fill>
    <fill>
      <patternFill patternType="solid">
        <fgColor rgb="00F3F5F8"/>
      </patternFill>
    </fill>
    <fill>
      <patternFill patternType="solid">
        <fgColor rgb="00D9DEE7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0" fillId="10" borderId="5" pivotButton="0" quotePrefix="0" xfId="0"/>
    <xf numFmtId="0" fontId="9" fillId="8" borderId="6" applyAlignment="1" pivotButton="0" quotePrefix="0" xfId="0">
      <alignment horizontal="left" vertical="center" indent="1"/>
    </xf>
    <xf numFmtId="0" fontId="0" fillId="8" borderId="6" applyAlignment="1" pivotButton="0" quotePrefix="0" xfId="0">
      <alignment horizontal="left" vertical="center" indent="1"/>
    </xf>
    <xf numFmtId="0" fontId="10" fillId="8" borderId="0" applyAlignment="1" pivotButton="0" quotePrefix="0" xfId="0">
      <alignment horizontal="left" vertical="center" indent="1"/>
    </xf>
    <xf numFmtId="0" fontId="0" fillId="8" borderId="0" applyAlignment="1" pivotButton="0" quotePrefix="0" xfId="0">
      <alignment horizontal="left" vertical="center" indent="1"/>
    </xf>
    <xf numFmtId="165" fontId="10" fillId="8" borderId="0" applyAlignment="1" pivotButton="0" quotePrefix="0" xfId="0">
      <alignment horizontal="left" vertical="center" indent="1"/>
    </xf>
    <xf numFmtId="0" fontId="11" fillId="8" borderId="0" applyAlignment="1" pivotButton="0" quotePrefix="0" xfId="0">
      <alignment horizontal="left" vertical="center" indent="1"/>
    </xf>
    <xf numFmtId="164" fontId="10" fillId="8" borderId="0" applyAlignment="1" pivotButton="0" quotePrefix="0" xfId="0">
      <alignment horizontal="left" vertical="center" indent="1"/>
    </xf>
    <xf numFmtId="0" fontId="1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1" fontId="6" fillId="0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0" fontId="7" fillId="8" borderId="1" applyAlignment="1" pivotButton="0" quotePrefix="0" xfId="0">
      <alignment horizontal="left" vertical="center"/>
    </xf>
    <xf numFmtId="1" fontId="6" fillId="8" borderId="1" applyAlignment="1" pivotButton="0" quotePrefix="0" xfId="0">
      <alignment horizontal="right" vertical="center"/>
    </xf>
    <xf numFmtId="4" fontId="6" fillId="8" borderId="1" applyAlignment="1" pivotButton="0" quotePrefix="0" xfId="0">
      <alignment horizontal="right" vertical="center"/>
    </xf>
    <xf numFmtId="164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right" vertical="center"/>
    </xf>
    <xf numFmtId="166" fontId="6" fillId="8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right" vertical="center"/>
    </xf>
    <xf numFmtId="4" fontId="6" fillId="7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left" vertical="center"/>
    </xf>
    <xf numFmtId="4" fontId="7" fillId="8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right" vertical="center"/>
    </xf>
    <xf numFmtId="0" fontId="7" fillId="9" borderId="1" applyAlignment="1" pivotButton="0" quotePrefix="0" xfId="0">
      <alignment horizontal="left" vertical="center"/>
    </xf>
    <xf numFmtId="1" fontId="7" fillId="9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" fontId="6" fillId="0" borderId="1" applyAlignment="1" pivotButton="0" quotePrefix="0" xfId="0">
      <alignment horizontal="center" vertical="center" wrapText="1"/>
    </xf>
    <xf numFmtId="1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/>
    </xf>
    <xf numFmtId="165" fontId="6" fillId="7" borderId="1" applyAlignment="1" pivotButton="0" quotePrefix="0" xfId="0">
      <alignment horizontal="right" vertical="center"/>
    </xf>
    <xf numFmtId="164" fontId="6" fillId="7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6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3" fillId="11" borderId="1" applyAlignment="1" pivotButton="0" quotePrefix="0" xfId="0">
      <alignment horizontal="left" vertical="center"/>
    </xf>
    <xf numFmtId="167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vertical="center" wrapText="1"/>
    </xf>
    <xf numFmtId="0" fontId="13" fillId="12" borderId="1" applyAlignment="1" pivotButton="0" quotePrefix="0" xfId="0">
      <alignment horizontal="left" vertical="center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3" fillId="17" borderId="1" applyAlignment="1" pivotButton="0" quotePrefix="0" xfId="0">
      <alignment horizontal="left" vertical="center"/>
    </xf>
    <xf numFmtId="0" fontId="18" fillId="0" borderId="0" pivotButton="0" quotePrefix="0" xfId="0"/>
    <xf numFmtId="0" fontId="19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168" fontId="6" fillId="0" borderId="1" applyAlignment="1" pivotButton="0" quotePrefix="0" xfId="0">
      <alignment horizontal="right" vertical="center"/>
    </xf>
    <xf numFmtId="0" fontId="23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Path'!$D$5:$D$26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0AFBVV95cUxQOWZoUXlONnJ6X2V1bFJOclpWWVlXcGVzWmtNYzdlbHJoZThoMEJ3RnZoUlJsOTkzal9jZWtyY3hPTnU4R3dwZ0JpdDcwT0RvNXlhZ2M5TUJ1QzljYktmNmpYbkxfREVHVklXbkpFc2dfb3cyRTdYX1VvYnFRbkczSEZuY0cweG0yRVdsVUluVHRBbE1IZGZjMXAxU1FBRUhPaXZvNkhmdHFKLU0tVTlvc3JMSldjTGRsY1JSTzVtMk1vNTRzR2NZbjZObG5jUG8z0gHeAUFVX3lxTE5zYWI2anl3OExsVTF0RFVuM0FnbzdYQXNQaDNoME8tQ1c4ejE2NWFpVG5aa1BaeXpIc2drSUFIcjB4NkFzUkpydmFxODJnaEp2VnNsMEthLTN3TS1PaXM5b05LQUxIWkdLdVVQMXBmcF9LUTlkUThjVzFoMG1URjhHemxxX090TDBSS3lqOXNWT0lGVmdxQy0welU4RDZySjV6TGhrcXFDSVBJNW1xTmg4RUlCY05EcnY0cTBpVU5vYURybm1hM2l5V0ZZWm00cTNZdEZtQkUzaUVNdXJKUQ?oc=5" TargetMode="External" Id="rId1"/><Relationship Type="http://schemas.openxmlformats.org/officeDocument/2006/relationships/hyperlink" Target="https://news.google.com/rss/articles/CBMiywFBVV95cUxPWW9WemFsdTYxd0YtRXFGNGktZFJxM2lCV0ozWnFvRElEdWExdDdDSmRGVU5Gb3RBanh0Qld6OUNyVnJjR2JGSnFEMUttV3Bjazc0eWM3V0FEcm5feE5aV0t2Z2FlT0NiMUkyX1c5UlAtZmxRQkNwX1IzMmRib2NWaWs2V1ZsSUVsRUR4S29FdmV1dkdzaGJaRWdtelhacGRjcmFITlU5RndRMWxUcy1wTkxReDNCci1TeDhvenZhZXhsUG4tVjhFQTF0dw?oc=5" TargetMode="External" Id="rId2"/><Relationship Type="http://schemas.openxmlformats.org/officeDocument/2006/relationships/hyperlink" Target="https://news.google.com/rss/articles/CBMi7wFBVV95cUxOWjVEcUU2dFBsQU1mZ0tXN0JhUF9CNWkyZ0VYN0VlTUQycFNQaFphdmhrSTU1YlpPV1VaMXZvbC1JbXdZNjI2QXBremc4MThKNDFyY3NGbGNZdjliQ3lCNFl4VEJId3FnVkVJSEdrMEJYS3VhQzgtcmhia1lYNFdsMkEySW5MMmhlOWJtTGJkS1RrOVFkQTlKNEVTTFh3MG1CaEFDclI2cE1iVC0wSWtZWmZQZV9mZlNxRjY2VFRKUVFCcFI1aXlhYXdyclJTcGtzblc5R3gwRW50TGZId2tFTXFCTFZMenNYaURGalptMA?oc=5" TargetMode="External" Id="rId3"/><Relationship Type="http://schemas.openxmlformats.org/officeDocument/2006/relationships/hyperlink" Target="https://news.google.com/rss/articles/CBMingFBVV95cUxPWHdjeTlxY29wcTBTRVJKZlg0eklLVDZXX005c3AxOG1ueDdXV0NmcWJHNVFIaXBlX2FUaVI3SUhqaUY2RG9rc2JqWmppVnhPQzlPdjY5ODFFajZ2X0xLMnNwYWNIZXlXX205aTBRTm40WnJncDNOeFRPdWU4ZzhjNlVQSUNoWkxaSEZNU0E0aXAzZzlNalhkRWc1M1NXUQ?oc=5" TargetMode="External" Id="rId4"/><Relationship Type="http://schemas.openxmlformats.org/officeDocument/2006/relationships/hyperlink" Target="https://news.google.com/rss/articles/CBMimAFBVV95cUxQRXduWnhJbklRbVFxMVVpd3NydnhKSkdncnVHS3pCY2syQ1VFU1ZIdk9YcHJfVVNHX1RBdzczOW9fVkM5LXVBOXZmS2ZJd3d2b1pDR0JDc280ZmgyaVZmSHNMczluN1VKTVhtMTNuNExKcTlOdW9hYmkwTVIzNDdGNGk2RVJmZTUwYm9BOUJnRERHWWlHWTFHNA?oc=5" TargetMode="External" Id="rId5"/><Relationship Type="http://schemas.openxmlformats.org/officeDocument/2006/relationships/hyperlink" Target="https://news.google.com/rss/articles/CBMixAFBVV95cUxQMWFfb0lXdlExR0JWV3kxcmhLZlZERWJiWUFmTjhBb21lRExvaGJrNWJPWnUxMTlsQkNMMUxzY2xHMFZPTXFsczZnZWo4cWNpaTNxWVNyWXNCWEsxdnpWd2NmZkxBU3ltMUE4T29wYWRkN2ZXLUdIX3JkMUtVZGFUUTNQQnoxMVZkUVZrOEVINEdkNmotNFg3S051T1VRSVVnU3g4MVVEeVc4Z2pNcXFnY3FwMXdKUHQxWVhoTDdtZUhNMUNK0gHHAUFVX3lxTFAwOFVDVDNYOTFkT1Q4dmtzeTd5NEdfcmE2Vmd6VGhicmY4ZS1hY1VfZTgwdFNBZmtTRVA3bjNCTVotbi1vN1RzUkJ1aEJ1elhETF9GOUFxZGZFZGV5ZzAxaXVoT1U0MG1hTm9EdUtVRmxpZnQ0Mi1jeTZFdnFleWZTQjltQ3lVeDJvLWNIQUJrN2lNdzdiVXpXUUFpbW9WN2M0cGQ2X1FrSXhuVEFtNGNqV29lTGt6clI4M05jRVppenJnM0dGalE?oc=5" TargetMode="External" Id="rId6"/><Relationship Type="http://schemas.openxmlformats.org/officeDocument/2006/relationships/hyperlink" Target="https://news.google.com/rss/articles/CBMi1wFBVV95cUxOck04dzYyZlBRV1lwRlhZUTREc19pMWpRWllaYVg5Z2o2YXM4Wmw3M3NuT0JVX3ZtRGpvRVV2ZkNZNk5SbVVwR0JWZ0FSbWl4SDZkeUpGTDVFa2xsbU9VOU1iVmctaldnYUhzOEU2aEpGZDNNYi11LXJBbjBDdmU3aC0xR3NCWmVVSHdBVGlVelRjYzV1WXY4ZG5CLUVQRkFlYUNOU3dubnlXY0FOMDV1MExKeWpyZE9Ia0YzOW5TcEVZTjBXYmVRUE1YUXhjWUJfUUlFbG5CVdIB3AFBVV95cUxNV2VEWHdTR0NLNWI0Q0RiNGtPUm1xeFRRRGRuSGZLcWxFb3Y4dktzcE14NzBuUFJRLV9DLU1veDd2QnhIVTUxV1pjT0lmUWswaTNWaWlyZ0o1RVlyMzRpd0VKUlA1OXJINkhEMVNuWUttSWFTTUNlcUlPMEZOODR5eVphS1dPYk11Z0FLaUtxXzR3dlNmNVlicXZZcUM0ZVFRQ0hGNkVWWEVCRlAydzdXTENDb2JUZU9rM2hoTXpyXzIwSHhRNWVJOHJYSFFIblRzbXltYm9OMUxXMXRV?oc=5" TargetMode="External" Id="rId7"/><Relationship Type="http://schemas.openxmlformats.org/officeDocument/2006/relationships/hyperlink" Target="https://news.google.com/rss/articles/CBMi1wFBVV95cUxNbThUTUdqT0Y1SGFqVDZBS28tQ1ZYOG5HZF9lWWU5YWEzOWozb1NpVHN4WEI1SkxXWnhudWRacmtPZnJybms4QmFYWEkyUF9JUkFKWEJOZXlueF9pZnh3SkJpc0dPckk1YWM0QTdzWDZpT3Z4VXB1dmdyNGt4QmowXzM0ZFdCYkJVd3NSYWRsc0kycFFXVndUcnpDc1FCbFpOc0xlR29mYXp5ZmRFMUlUREJEc2w3dHJxVC0tRHowOWF6N2RjVmNMamR0cklQVXd4Wk9SMEgwcw?oc=5" TargetMode="External" Id="rId8"/><Relationship Type="http://schemas.openxmlformats.org/officeDocument/2006/relationships/hyperlink" Target="https://news.google.com/rss/articles/CBMizAFBVV95cUxNZTliNHpyYmJJOEJwOHk5MWkyOHFFTnlnN2EzUXdBR2pHVl9ZZHlZM0pTLTZGb0lhSXdaOGhfakNheE9OLW93WHd2S2o5TEJRdHBDR2lSdkxJeTR6TGVzSk5uZy1zWVBCVWl1R2NDdmZiT0RpN295T3BDWGxNcy1GcDFTUWpSZXBQbVVOc0luTm1Za2dUYkNCYVRtLXVNeHdLTUhzWXhrbUxKTmJWbDI3QkN2UjljV1l4bUdoUjRiX1VUTHpKUHZvbmtXR03SAdIBQVVfeXFMUHFvV2hZS2dRVGRqRGtEMWVxQVhaalp6cVBGbVVUZzZTNWIzS19Zbkk2SVR1Z0syU1diTmlQRXNVYzEzUUNRdzdtelp4ZEpTazJTV2JFX2ZhMnNBQkFpQ1p2MFlBZlg4SkxBT0s4Q2R4UXBxTk9KdlpQd1g2ZUh0djZTRTdTQ1RnUXdNQnR0RWZIMG03dWd3Z1JmTEQ0TkNmamdFQTZGbTJCX1ZSUTZKRFZlZS1wRzU5VFZ0VEJiNnYxM25TNjNYY1VScTBBVnJMczdB?oc=5" TargetMode="External" Id="rId9"/><Relationship Type="http://schemas.openxmlformats.org/officeDocument/2006/relationships/hyperlink" Target="https://news.google.com/rss/articles/CBMi1AFBVV95cUxQVlVPTlVvWVkyLTh3Z2Zlbi1sTWgyWHhJcERZcnZkdHk2bTgxLU42a21PSVBXUlQ0alV5ay1hRkhDdFBmSFpXV1VzYlhNT2hKTGxnVmVZNTFKZGF4RXpHV3plSnpUMFM4N1ZOTjV3THV0WHJiYk1tODY0em04am9kZ2lmN2JVdEg1bzhjbjlhYzRRQ2pWZ3I2VEpwcktBdGxxUVR2cWp1emlDQ0NTWDBsSXo3THhLRENTbGJvQXZ1VmctMWE4Tkd1cElzbk4wRm1lUF8tRg?oc=5" TargetMode="External" Id="rId10"/><Relationship Type="http://schemas.openxmlformats.org/officeDocument/2006/relationships/hyperlink" Target="https://news.google.com/rss/articles/CBMiswFBVV95cUxNOUpuLV9Qa1pnVHZtT0o3VzROelBzUGd0aU9XNERFek9xRmxqeWZuRmcyT3poUUFabGhUaVVCOThWVTUxbHp1cHZtUGJtWnBwOVZGaUVRM2Q4V1dSSUZVS0UtcEJUX2xOdG9PcE1hNWc5VnJJRVNjRFlOUU9VR2ZhcGdiLWZzZWtzbEU5X1piYzV4OHVJMFQ2RFZlc1FrcE04eENaOUNXQnVwT09Xb2VhZ2dIVQ?oc=5" TargetMode="External" Id="rId11"/><Relationship Type="http://schemas.openxmlformats.org/officeDocument/2006/relationships/hyperlink" Target="https://news.google.com/rss/articles/CBMixAFBVV95cUxPNk4tUGNVSG9BQkppNzlYZ1VzQVhZblpoTW5PNmtWQ1ZQbXphSDFNUGVWZGJiblVBaGNnMzcwZ1ZQTmJXcENDS1NRWnRIQUU5bWdSanV4MV8wVV9VcXhUdWluMENYQnB5dlpKR2N1Q0ZDT21aQ2hQM2NkX1Fwd2lZYl94eU1NSjhuSXpVeE16Z0JXR0w4aGVIcXJTTzNKOUU4S09mYTZlU2RFa1hBc0h2ekxTbVZqTHB1SHRMRVFUUEpEbmU20gHKAUFVX3lxTE5jTVFNSWt3cFgyOWRQUFgtM3NZcTFZbld5bkRlWmNaaTFmNjZnT0treThaVTlXc3pwS2ZVdi1mZHVPb09RX2hGNU0zajhVb3JjUEZ3M1dBZDIxaURiZzR6YUxZanRfaEZzTnJHeGdpSWFjQ1VxWmUxNFpKal9iajlPRVNfWFk1V0FHSTNxYklDRHZTR0loR3ZQN2x2c0xOT2wtakxTYUNHYXcxb2RwRmZVYXVnODdXZmtLZ2dNUmNVYm5XYXdvV2lSRFE?oc=5" TargetMode="External" Id="rId12"/><Relationship Type="http://schemas.openxmlformats.org/officeDocument/2006/relationships/hyperlink" Target="https://news.google.com/rss/articles/CBMi5gFBVV95cUxNdU5RUjlXWFJLdVlycngzdEJ1aVdubEJfUU0yaVI4RVo1eHNLQ1NIVGZMVW1TYTZDbHloeVg0aHgwR0VkU1R3V3g0RE8waXVVOVE1SmtGUXlBaVFENzZ5TWtPcE1kQTRUT1VuMHg5NGgzYVlMVENxS2tGdzFxS1YwNVFIRWxybkRJc1VnR2d4MjlXNzA2elpJRXdiZzNiRGN5QnBDbUs1bjEwMFJoMmU0bW1NcHB5TV9ISzhhbEE1clJaOGZFaUdPWVhyM3FBV0h0VVdSRGZZbGFwbkRIVlNUVm85OEs4QdIB6wFBVV95cUxQeFlDSjE2VVRtUWhheXB3SXdZaWZxaHVtWngzeUsxNlUya29pWFJ1b2dDV0VwUzdDaHFzaUtUTWF3VjRuLTg0TmxhcmRiZGRySXpFcHBVY3VfSHo0M3E1UDc1T1pJdXgzdHpDajNESVk0QndqNTg1d1AyQlJWVDJIRkJvREJNQllqTHV1bC14WUl0YzYwNFg2bWVUY21rMi0zQ3N3YTJQdFlPLUdwQkhsMmxlUF9BeVlqZjdQaGtQaWtlSlhROFhJNFRsTEU2QzNlQjIzUFFGVE02WGRaWURmamtHd1lKUVllU213?oc=5" TargetMode="External" Id="rId13"/><Relationship Type="http://schemas.openxmlformats.org/officeDocument/2006/relationships/hyperlink" Target="https://news.google.com/rss/articles/CBMi5AFBVV95cUxNLWQ4ZktVbUtMa010NDdoOGY2dHZoa3MtQldHNkRIUmtxd2g4aGNITk1DOW9YZEY0enlHSjJRalR4UGEzNFBFb0k2VURXREl3aG5EV3ZjT3ozYzBLbFAtbjB4bEl2ZEJ2a3VLZTZYYXBDNlVaOWl4X0lsdHByWHRTMmdUVzl6SVotS1F4b2ZieXFvNmxreHFJVldkQWN3M2JFLU1KeGtyV3IzWi1WVnhHaG80bXFWcmdIVWJDVkZoV2c4cTB6R1U2WU9aZnc5ZFZDYTZoUUFWMVNQcnAwZng5el9pNmzSAeoBQVVfeXFMTWtrZ0NBQTZ1Vk1IQlBUaUlpVDJXSl9qblpZMy16VzVaU0U2QXN1eC1HelRKclVwMUVjUzVWWENpNjJONVViVmRxTEVndVVVaWthR2RhcTFyTlppZFJmOTNldDUtTVZtc1JyN29xRE1vajN5dmFHeGhxbnpWWHNEekF1WU5OZ0hsMHcwczNqMmFwZkI4RFlBZmVLOFU4ZDlvLW82dFpybGJmaHc0Q000Nm16WFIyRGJNcUF5SkJXNzJKRk9Da0lpeFQ4dmxDZWNsTkh5LTZ5M2M1VkFwNFF6QXZDN3dlRFZITWJR?oc=5" TargetMode="External" Id="rId14"/><Relationship Type="http://schemas.openxmlformats.org/officeDocument/2006/relationships/hyperlink" Target="https://news.google.com/rss/articles/CBMizAFBVV95cUxNTmJvbVBYN0Q4aWdUaG5KQW03by1oSFZ0LWt3NzU5bktRV3YtUXM5ZWZrdDJRV3VvMVNwdlZ1UGRYVE1HRkZCbXFSdl9RYTEwWlk2YVRROHhhVUwtcFN4T3FqY0o4UTlfMnhZNFRxMmktWk1ZQUhqc3lNSHgwSnVTSHRicDhGV1BJamxkVld3b2c3ZHJwUFpCNDd5dUh4YUc4czBlX1B6VzAtWnNfbi1hb1hCS1kxenJNWG1lSERUdFFrSFBzcVE5OGFsZ1M?oc=5" TargetMode="External" Id="rId15"/><Relationship Type="http://schemas.openxmlformats.org/officeDocument/2006/relationships/hyperlink" Target="https://news.google.com/rss/articles/CBMikAJBVV95cUxOY0lETjU2TElLbmQxWFJfUTJrRVhwdFQzZ3V5aERJck5XeER1eVZXbVB5cjVubklRcFFzY1VfejlMWmhObDlFY2lEMkdJa1k1ajZGUXlQLTVmWVl3ZlYyZWlNcmRVTV9sR1FZNndiMHhHa0g4V3JqZXVHMGFlR2xLQlFhejl4WVJMWlBwbmFyQ1hTbjVRNVk0RzZ2RXJ0N0prRnhINWg2b0dORlBiTmlMcUFuMUVlclp5TnhHVklNUy0wVElLY1R4VFFaWTJtUWs0ZVhLYTRTOUpfd0huSkhCNEdIci15QlEwODA0bi1NVEFrbTFJUUt6ZUYzSEZPWTJieXRRQ0pxVDN4SDJuRk9NUdIBlgJBVV95cUxPZkJuSkVMWnJkTXg5ZDUwV0RJdEdqcG45ZEIydmRTSVVwdS1UdnhFaVk2YU9QaDZVZXJndkZrZ2FlbUNkTG5YV0thVG00c2MzN3JwSDM2NTE3VE1xVkxvYXBTcXFzandDMFI5dXJUN2ludVFUZ3g1a21Mb3ZCQy03UTliQUIycTZhNFViMGNySnhlb1h2cEVBMkZtOE9fUjgzczMwS2xfQnVHRmw5RVdZVkNIX0h3VEtfN1hyUlN3aXFacFZjWGc5RTdTRkRKVVFxaFljZ0xkUmhfSDhraVVxZ2JzeG1idkxBRnQ4NHhoOGlOLXJNTWVQam9SLU9JY25TaDJmS292T0d3YkhDSjdGXzFtWUFMUQ?oc=5" TargetMode="External" Id="rId16"/><Relationship Type="http://schemas.openxmlformats.org/officeDocument/2006/relationships/hyperlink" Target="https://news.google.com/rss/articles/CBMi6gFBVV95cUxOVV9zNy1WaG1teFlscngtRW44VjJpeXN6eElSYzZUVnFnd21vbEFFekFxckJCYTJXbXp1VHNmVjIycVVEbE1UdU92U2F0amh5eXFiRmhPZllpaF9ad05IY2ZZWjZXRkU3ZkhmVjg3UWFacFNudjFWaThSejNiV1BTV0VFYll6T2xNSkl3YzRTeGpUOFNjaFBRT05RY1pjeXQ4QTB6YTBwLWhpR1VQeVNhZ2tOY1VFeFZpY3RlT3JZSmwzT183UV9saFFCNjdTTVhyX0VlZ2JOOGRkMDItbmVpTGRYakVwZjJrb1E?oc=5" TargetMode="External" Id="rId17"/><Relationship Type="http://schemas.openxmlformats.org/officeDocument/2006/relationships/hyperlink" Target="https://news.google.com/rss/articles/CBMiyAFBVV95cUxPVVlEREZJc0o4MUtJRHJ5Yi0xdk12RFE3eUZkV2lWOUkzeVJxNXFndS1IUWJZQ2YwcXdPWHVCUkdoMEIwUGR4ckVmQk4tbDBnVmxTOUlsc0VueGg0Q3VfYm1pbWMzZlEtTnd5RWF0U19POFdLemtLQzdUZXFPSFpHY3BQNjBQTlRkUUx5Q2Fydi1YVWltUGlIbThJVjhvQW5tel9YakI4UzIyeE8wcUZoQUVCQ0x6WHlYOUJYVnlSUjBBdmJlVUxFdg?oc=5" TargetMode="External" Id="rId18"/><Relationship Type="http://schemas.openxmlformats.org/officeDocument/2006/relationships/hyperlink" Target="https://news.google.com/rss/articles/CBMioAFBVV95cUxPMFN0dzJlVFg4cVVqTkJrTWJrNlhtNm9EUURZNlM0eHlmMGlUOFVPdFFZbDdvVDVvUThLaHFSZ3BLRG1CRTdoUkpSd3pLb25YZVBfX0dheFZ5V3BHVVFRRmRYVkRQWEx2YV9hQmxVOGpNVXRUN0xEa1pVakNoNHZoMkhabDZsVGVyb045b1g2MFYtOTF1UGVyamxuUFo5bVhn?oc=5" TargetMode="External" Id="rId19"/><Relationship Type="http://schemas.openxmlformats.org/officeDocument/2006/relationships/hyperlink" Target="https://news.google.com/rss/articles/CBMiwAFBVV95cUxPVXFqdEtDTmRrSlZUa201VWpBU2xMbS1WZ2E1NFpoLVAzaGtkeXJkdW5DSE1meWhHT2R4Y1ZwQmhQSlgyR1UxX21CdmhiWXo0bDdUVGNtNjlNY1VjZXdMMFFiUklnaTE1a2pjaW9LV0QtN1YxQVBDTUpHWDJyMGhWb0RBWU1fZDJ2aW9kUUg1WF9haVA1dFRnVWt0dmNZUFBEMEJINzcyeS1SZFRZMXg0S0JHSWJMN2JwUnJDaDZJQmfSAcYBQVVfeXFMTzNtV3FRM0dwV2FhVVVCTTlpVzNIdXJWemhNMUJBWDhENGFpbnM2cThKZnZhb0twd0pnajJRZHY5dWhtTHUxaVR1SGFqMW5hczNMVm9KODdjYm1VRkdEMERraHlIcHloNVNvN0JPUnlZdU1hYl90R2VhZUZuY3JyRE43VGxNRGxKUjF6Tk82Y0tkMGhJQUxMM0NMMk9mbElmOFFQSWtmR3lWM3VsMUdNX3R4TGZVRmF2TTRwV0NVaGEyckJkYWdR?oc=5" TargetMode="External" Id="rId20"/><Relationship Type="http://schemas.openxmlformats.org/officeDocument/2006/relationships/hyperlink" Target="https://news.google.com/rss/articles/CBMilwFBVV95cUxOdFE3ZHg4QnV5OVNqekRJY0pkSVgwUEZfLWpzMmRlNDNUVzJKODBuRlNZZk9BQlhlemxhN0hXTVlad0Y0eGlHdnllLTY3UFJZLWxvUUZ2OXJoUkhkTzhwVUw0SjZEY3Q2a0xhZFlPTHBLRnNoc1p4ODE0WHVUNEJTYTNHcGxNcDQxTTI2LXY2SHE0Z1AxY0dN0gGkAUFVX3lxTE5GUmwzVkhIVl80RW45VzAwb25oemd5c2NkWFR4VFJOd3puVEc3N3h3UTJJRWJRQjNaZ1lLeG04OWpDWm9jUGE5Y2VNUGxNRFlHWHRka05TMmVXU1RIZWN6ZzBPYmM4blp2Z2Z0Z0VwRks1cFlLMTVwZFVlVUZnY0xZb1htdWFaVDNYb3FVYlJqWHhDOERNRFYwTHFyMHJpV0tNeGZM?oc=5" TargetMode="External" Id="rId21"/><Relationship Type="http://schemas.openxmlformats.org/officeDocument/2006/relationships/hyperlink" Target="https://news.google.com/rss/articles/CBMiwAFBVV95cUxPdUdTUTdaall5dFYxQm9TbHotSlVSNXRKYmNnVmJlRV9SNUh4VFFnMkZTeG01ZjdtR1VlVlpFWV95NUYwVEVUbzNHWXVEQ0d6VVVPaXFrWVFzQnRKOUl1UHFEamZwNjhCS1BuX3ZDdkV1U3ZjQU5fb1hXQUhFX2dFVzMzREZfOEVySzNSM3V5THc0aXhfZU5pZXhUMzYxSWxIdklEQlNhTWltMEVRMXgtSU5UZDNYdlJVMXIyU29Vdmk?oc=5" TargetMode="External" Id="rId22"/><Relationship Type="http://schemas.openxmlformats.org/officeDocument/2006/relationships/hyperlink" Target="https://news.google.com/rss/articles/CBMi-gFBVV95cUxObm1KZjJaQy1LM2RRRWdEYTZaZWhSSUptcmxpUDhqNmlialVxZk05OUdQaDE1c0w3Zzh2QzJoRzRqQ3YyMklKaVFVRkNQTURFYmhtVkpwckU4ZV9LMFhhc3RQcXk4b3hkTDBxd0gwWlk0dy1HRm4wMnE4dFJTNW15aDhTeHdzUUVsSFlUeXRBcGI4YUpUSGZHMlhvZkg2YWxyckxDWjl2VEJsY1hUNHJxQ2pGaUdGNkNYSXpZSWYxRVY0TjFkRzZrd2VOYnN4WjNJaHZFYVVpRzh3NVZELVVyQWFLMG5iVFkyTWNKdEFVOFBkTjdIeUhRWUZB0gH_AUFVX3lxTE5MLTFnMHRMVy1sb0ZtWTBVVVlLamV0S0tiOWNpdktQRDk0dXpRd3pHeGdtZkJRdTFQOExIYnpCTE51UjBoS3pOVzdYOXBqNVlOSWdqb3htZ3BIVEtydU81ZVd4N3RRcDhzRDJPOXB1dmVvRGZWMFJtb0ZUMXdPSDZFOENOVFRfY1lzOTBLbHlzOThMUFdWREdrQmFoM0kxZWQ2OC1BMHFzRTVDMUNuWno5UDhadzJyaWp2UDhwTl9lT2NXZk94NGhiNmlUS3lLemtvU1hBSmpRQ1NKdzFiY3N4V09LdkVLY283OTd4OTVVTmpHWnZibG9nYk1Ta2o3cw?oc=5" TargetMode="External" Id="rId23"/><Relationship Type="http://schemas.openxmlformats.org/officeDocument/2006/relationships/hyperlink" Target="https://news.google.com/rss/articles/CBMi9wFBVV95cUxPTFRINU9ZOWRoXzQ5LS1naU5uaV9QZHAydzRyMFAyenF2SXdQZE1lZTlmM2E4azlVUDRCcHg4dWNWZ1FrakkwR09PR1VpUm1yUDFPSjRmT3MwWUU5Q3FMWXJveHJzOUxGRXJ5eHh6Y0xOaTJITy1UVjE2YXFhcWRtZGJHUU95RXBobXJTNW1veHFiQUpjZU1BQ1lLWGlvWTFfdzJvRVhaa0Z0aWEtQ0FHQ1N3VEptYlV2aUE5ZkVqMlc1aHhYNXhSaFllOW8tTzItUTgtU3NhMGsyQ0NPSUFYMUNlZm0xcFBPdHVVNGJMNHhkeVNMYUMw?oc=5" TargetMode="External" Id="rId24"/><Relationship Type="http://schemas.openxmlformats.org/officeDocument/2006/relationships/hyperlink" Target="https://news.google.com/rss/articles/CBMizAFBVV95cUxOUlBRN3hYa1RJQVU5ajRWaHVEQ3ZHdnA0bFl0Qzhub3A2U1JvU2lhUW1ZT2RScHlwcHNPekRHaS0xb1hXNUZuU3BfdGQyRTRHWVhaWXh0emdydnozeGliOFFCa2NESkpXTjJjNDJibUI0b1NwOHUzZGhKX1ctbjZnbjlKa0dKWkZQUWJJYzZBeGYxaThRanZTTmRYY1NkZm54ZjVsS01uMDJMOGx2dkJYS016RVJZN3JBbzBya3ZWUk5RT1BPSHVWNFI1R0zSAdIBQVVfeXFMTXVtZ0huaFN6aUEtSm90Q2FMWl9aSDFDaDVRZnZKQlliSkNQNXIza1hfeFRvN1gtYVRFMVhYRkFsRnhPVDF4UGlLb3dmQUp3OF90TkhlUjd6WXFwZHY1eWllMmIxaGhoZXZMODd1TGRNamp4Y0t0V3RkRnZsNnQ0U195Wmp3djl1a1VkZGxmX1ZMOEFNVUNrRmNiX3hTcS1LRGp4bDhiX0YwVWV0cmhBMzNaT0d3NUo5OTM1dXNPcW1qb2VtQms2SUdVX0tUSkVNVzV3?oc=5" TargetMode="External" Id="rId25"/><Relationship Type="http://schemas.openxmlformats.org/officeDocument/2006/relationships/hyperlink" Target="https://news.google.com/rss/articles/CBMinwFBVV95cUxONGpDbDA1bzZXdnFwcnY2SlctLWt5RXBVcnAzSE1UVlZKeWFPRWZLZkN6QzByYkFkSlZrcEF3dUZDbm53T2dzY0JZTFg3eTFfeUYycnRDdXEzVXY0ZVRoR19ZNUFsNHFud1dQMi1ZTVVrbzUxNTFITi1DYVExazBxQ2pCRkhIb0w5b3B1WjBYMWZ1b1dJeXhXTjFyS3RSUFU?oc=5" TargetMode="External" Id="rId26"/><Relationship Type="http://schemas.openxmlformats.org/officeDocument/2006/relationships/hyperlink" Target="https://news.google.com/rss/articles/CBMiuwFBVV95cUxPSWNuak1WSm5WQ2RMa0pNSHluclg2UXFQSlhoNFNpaVRycmVzSXIyaDZfNXFKOWh0clgyNlJyb1Bncll4X3NGRFBmZDRDQ1ptOEV0VUtja0lXdDBWY0hORjd2TnRmRW5fUXZKMkpFb3ViQklTQnAwQ2pFQzc0VEU1TlJCTjZ6V20tSzFld3daQU5faHFZOGIzVGZZOWFfanlJSE9oXzRFSzJXNW1DaG1MY0tHVUJnSl9CT2pZ?oc=5" TargetMode="External" Id="rId27"/><Relationship Type="http://schemas.openxmlformats.org/officeDocument/2006/relationships/hyperlink" Target="https://news.google.com/rss/articles/CBMimgFBVV95cUxQaHItazVYWVhHdTRBX3MwN25KcUhoZl84aXgwMmFrYXdzOUdMWXp6UENYN196QTc2eFRuSWdFNU9jZkxHelFWc0N3ZTVHMXU4ZlBVZ2dRX0F4a0ktaWxxZEdpd0tmak14NTUzdjRoWmk5RFgtc3Y4WUEtRzR0TDNGUXRoMXZTbEsyOHJVWk1VekhFUzhmb21vc0RR?oc=5" TargetMode="External" Id="rId28"/><Relationship Type="http://schemas.openxmlformats.org/officeDocument/2006/relationships/hyperlink" Target="https://news.google.com/rss/articles/CBMi8wFBVV95cUxOUllvS1R2dEpBc19KdU5zZndKSTRrRWFKSDZNQkR1ZUl1b0RGRmhqZVBkcUJDUXhhLThHZTRGdjlReVk0WElFUWlERGtZMWZEbXpXOUctY3padVkwZWEzUXdXX19IczEyeHQyNW8yd0FEVXpOYlNkdHVaUFRISnZUM0J5ZGJESXo2WEtSOXJnRVN5UFdFdzZEVk9BQk9RdUxETVh5MnhRTFRWT2VkeVlJS3VYTTBuWmxYSkZ4T2JIaTRuYlY1c1laR1l1QXc4ZFAzWlNRYVZwUFBITXlJdWhOTmg4OENvaU9FOXcyNW5jYkJTczA?oc=5" TargetMode="External" Id="rId29"/><Relationship Type="http://schemas.openxmlformats.org/officeDocument/2006/relationships/hyperlink" Target="https://news.google.com/rss/articles/CBMi0AFBVV95cUxPTHhqUWFOdzNNcFF3NUQxVC1XbjBFMHpob0RzZUZfb0FBVWxQSDg2d2w2aGVOblZ0TGxURW1XeWVoNFlSbWExNDY3UWN0SVQwYVdYZ1pHMUQ1cGxTaTFxbGlEQ2o2emhVdDcxbmZ5RnE5MDMtSXZyaDZ5d3JkMjJsU3BTWlBvd1I1eDNVMkhUQVE1dS13MVBSeHMxNHpCa0VfVWZ6Y0tBSzhQYUYtMDBpMXQ2WkRjMDhKN2hteGUzU2phRmJZMnJKcVZZdkU5ZUdq?oc=5" TargetMode="External" Id="rId30"/><Relationship Type="http://schemas.openxmlformats.org/officeDocument/2006/relationships/hyperlink" Target="https://news.google.com/rss/articles/CBMiqAFBVV95cUxQNU9HYy1nODl0SWk0cnhuR3ZNTXp3dHluazF0NXJ2a0FiY1NHUS1PeWI1X1c2X09ka0FXWC1nbTZhOXdZTzh6T3FjbThMSHh2Tkk1d1dfcUs0X3Q5bXhMNUZqRFJhVjQwS2l6NzVoMHh3YVhvamRKbmhjTUxQdGJDazhMOWhpQWdlbmRKTHZORHRGeXdTODd2Rlo2M1FtN0dkOEZ1RDl1WW3SAa4BQVVfeXFMUEw3NkJsdllxRENIMHA0dFJYUl9aWHRTTmNyR0FKZDV5ZlhuODhHNFNVck5CRk9yWjBFTURFRld5VkxVWkhwb1JZOTNPOTFFWENiVmhQR3RzWVhkNF9TZXZNaldtMnhuTkNBUWhocFF4bE9HMnZPaG1sVXExU19ZOU4yaW9haUpFVXVnZ3hmd1RRVldTcEgzMkQtcFlrVDJqN3V1UEY4SU5zRkVPWll3?oc=5" TargetMode="External" Id="rId31"/><Relationship Type="http://schemas.openxmlformats.org/officeDocument/2006/relationships/hyperlink" Target="https://news.google.com/rss/articles/CBMizgFBVV95cUxQM1laLU9WQ1dtMXZOcW50alFuVHd1V3dqcTBCQ2M5aV9pNDFjUWJBSWdpT08wOEVUR0RPWGk4elpYZjFXc0tURUZDWlZNM2NhcjE2d3g4ZWlmSVZQdXphSXVOcG96Wk94dEpKMGlkYnpNMU4wTzduQ29QU1pmVlBEd1RIX2FYTHhXLWMyOTZEYnNUa2NvaThFNUFUU1ljTE43YUtpZ0pnR3UzTEtXQmRiZURNTmNERGlleWw0R1FOdGYxalRxZmdWLWZKVlo0QdIB0wFBVV95cUxPa1JFWlFFSmNTRDRlek1tS1VubWg0WjF6dzJzLWF5V0NwQnpwVlJpYWJEakF6Z1dMc0EwSktlcTVxc25KX3d2ZTVRVWp2SjR5NHpWajlVeGlaSHFYaEIzYjZ2VUhvYU43ODZEdEtseUpYcU0ydHRlM1JOWTdfRFNNZGhGT29XQUo1NkZfVE1WVnEtemhsSkhJZ284NzRtMVJKVTVOeTl6Z25PekUxdVZ0QUxtX2hCVWZsUnFmLThGM2p6TXRlM0lYT1RfSTE0TzRobFVz?oc=5" TargetMode="External" Id="rId32"/><Relationship Type="http://schemas.openxmlformats.org/officeDocument/2006/relationships/hyperlink" Target="https://news.google.com/rss/articles/CBMikAJBVV95cUxOMFlUOGxPbER6VGFzUWlYX1hkbGdNNlpHb2lIU1VlNTNhQ3Jvdm9TZ2Z6NHdhUzVhV25aNXBpT2hrUmt0SW9SVjJPZUJPOEtlVnJaVWtfUWdMWE9QdkJQV0E1ZVlDSzV4alhSOTZtR05SWEd0TEZfbFdWZnV2VGp0VFcyMmZnQVh6ZlhCbmpDTmY5NXNxZWwxWnZhV0xMUXJxdFNQbHNwWHB2LXc4cnJiVnFXeXJNX2lYc0lQZUd6MHRuOTM1TXlCek4td1JveFNnZU8wYnQxZVFaRWIxWWtOdUNCUTRHLW5hLWNueEUzcGJ5Tzc4NXpseUw3TFViZHJwZ0k2OGFEWGt0RnJ6V0RjaNIBlgJBVV95cUxNQXlWaURfa2owSFdwNGtDa2JvalN2M3RKYmlaYVl2d1M2QVV2TURNemU1dmlOMnVqa29EX0tqYm44OTNDUnc3NVpoSlU5Z2YtYU16T3AzNHlaWGFyMWkwNUJ6SDFHM1o0b3hla25rQkNvZ2t2cGo4c21oM0txVUdzeDhPTFRYOUVUN1BHSEt1ajROcTU4UFpJc3I4WmxIMnVCbGZKeGpYZXFMYnRRSXZqUjNVUHNNaWRaN2U3THZqWEtHYVEtS3FMVnRiRmNNR3p4UkpSekF5ZnJtM2wtUDEtNER2eGhhdl8ta3dBeE1EbS0wMlktSnhjaFhRUHQxalFncHk3WThfeEZrWVNPN1lzbm50dHVTQQ?oc=5" TargetMode="External" Id="rId33"/><Relationship Type="http://schemas.openxmlformats.org/officeDocument/2006/relationships/hyperlink" Target="https://news.google.com/rss/articles/CBMi7wFBVV95cUxQSkNEYmZ2aUc2RTdSbnFEMFFJaEVlYUh5RXBRa0Y5d1lnX2MzNGFqM051N19FSGFTc1BNUnN1VDdhak01Z1JULUNyZ1pDX19TNHZSY3hrZnc1ZXRNVVk3bWM5YU1uSHBtS2NCcGxmVFBOdjIwOEp6LUo0TVdkUWVMcmMzUWZuX3AtYUdPMVNleTFTN3hNSFhSelFLLS1NZXIzWW1NbWlnVDRGS3R4Qi01UWJfdXBic25ZMk1heUg0aXhRRkd4bVhWVmFzTlA0bmtDNGZfbGcxM0JaSkpxNC1UWThsY2o4VkRVcEpqUklQZ9IB7wFBVV95cUxQSkNEYmZ2aUc2RTdSbnFEMFFJaEVlYUh5RXBRa0Y5d1lnX2MzNGFqM051N19FSGFTc1BNUnN1VDdhak01Z1JULUNyZ1pDX19TNHZSY3hrZnc1ZXRNVVk3bWM5YU1uSHBtS2NCcGxmVFBOdjIwOEp6LUo0TVdkUWVMcmMzUWZuX3AtYUdPMVNleTFTN3hNSFhSelFLLS1NZXIzWW1NbWlnVDRGS3R4Qi01UWJfdXBic25ZMk1heUg0aXhRRkd4bVhWVmFzTlA0bmtDNGZfbGcxM0JaSkpxNC1UWThsY2o4VkRVcEpqUklQZw?oc=5" TargetMode="External" Id="rId34"/><Relationship Type="http://schemas.openxmlformats.org/officeDocument/2006/relationships/hyperlink" Target="https://news.google.com/rss/articles/CBMiugFBVV95cUxPS0VNUFhVZDJqeFJ4TC05UE54TXVoYVhZdkVDUkE0aFY1OXo5VDhabG9XZHJ6V2F3b3hBZk55WVBTbXM1RGpKMG5BWWtwV2ZaUWctb3JoWG9saE4yTTJFMG9YQUYzN1VnTjBLV3B3c3A2b2dQS1IzdmxOd0swZE9PTDY2UGxyZ2dVTkd3WHBjU2p2dFpDTTFSOVI3dlc1MDVmd0h0RWVTODF4ZmIyUDR4ekxSQmNNMW9MVUE?oc=5" TargetMode="External" Id="rId35"/><Relationship Type="http://schemas.openxmlformats.org/officeDocument/2006/relationships/hyperlink" Target="https://news.google.com/rss/articles/CBMiuAFBVV95cUxObWxhVDV4ZlIydzBlUDdmdzFaMGRMcWw5N3RjWHRSWnZKOU85V1BaM1pOVDJBU0NjcUcycEZ0a1lGdTFjT2JBU3hGRl8xV0tmRmN6Rk9pSmo2MTJXLW1sRTFEZXROZ2NyaWlOc25CajVNNlBBTWN1aTNrWk9rTDU0QlhJaUt4MHV0cDdwSUs4M1M0WEZGYUJxTWtUUDhJeUNRc1Z1NXhlZTRPZHFzZmgwQzlWQWNxeldN0gHAAUFVX3lxTE5jb2ZQVkFqMmdkV1pQR3ZUaFBnRnNEODlSbFdlOWpxNGUxVnlRTlZjX1JraXlkVlZhNjc0ektuZ0VpaVFfbkhwRFI2N3JaSEtKc0pkZ1RQRjFVS3hhQlFVSUJHdE0yODNqS1NJRXc5LU9mM19GMWc4ZjdfbXd5WnRZTWpqTDJ3eGs3NnUxNmdhOWg2S2YxS2FnUUdPOFZoQ1JBdElkQWZJaVBNVXNuRDB2c1dpSEpxaDVwWWdKOFo4LQ?oc=5" TargetMode="External" Id="rId36"/><Relationship Type="http://schemas.openxmlformats.org/officeDocument/2006/relationships/hyperlink" Target="https://news.google.com/rss/articles/CBMi0wFBVV95cUxOajRZeW5FeTk4NGJnOHFzaHlmWjd0WDk4NU9fWTVlLXJqWjhpUjVSaUR0UHZpOW9jN010OWhpQU1TakwyMlhSWlM4dFdYZnlXbnRsUzlQeW5FZnN2MThOLUNacHZCQ2RzNlkzaFZONzZTVXNPNlk2QmVZcnFJOGdRM3hPMDFGd1JiSEViZE1KN3pZRF9MN2NXcWo4amV4R1VMVmxkMmFxSDJXNXhSTDZXWHRaakpIdkIxR2VUVmVqLVdVWGkxN1ZtRnRTUmlQS1E1T1800gHYAUFVX3lxTE5tUW5DWXVQQzNNazEyRy1Jci1SeUNrSkNCOEc4OXBJZVR2NTluNUxidGtDNFZBSEttQkhHNEhOSE51ZE5taEZaa1JyX1NEZlZTRDZHWUtOdm5KdVR5d09wMmdsWDVCMlY1SlZhdGxFd09oWXpmUkc1YmRIdUVTa3duUWpLbkF4R09WdURRSER3WC1BYndqYno3cV9Fd2RJNXB6cjk1eUxTMTFISFhHOGcyRmpuaGNJUHlMU2tINDE5UjRHOTNualZLMFlITjA3Tk03RmV3a1owVA?oc=5" TargetMode="External" Id="rId37"/><Relationship Type="http://schemas.openxmlformats.org/officeDocument/2006/relationships/hyperlink" Target="https://news.google.com/rss/articles/CBMiqAFBVV95cUxNVUZMTHFlZ29pT1pfajJtbFVoTTNxWVIxZVZoRFhMVjdRSmxiWE1aakFXTTFDSGdtX2I1S1NPRGJYOHNwN2R3NDVtTlVoQUN4MzZjcU5pSnJHYTBSYVFmcGxTSGJMeEtlWnlITTYyUG9qaGROVDZsai0wVWRVU3NkazhLdGI1emlSamZLUW5DaUNxYzdWa3c2SU9RR3ZDaVgxaEJCYUVmN3c?oc=5" TargetMode="External" Id="rId38"/><Relationship Type="http://schemas.openxmlformats.org/officeDocument/2006/relationships/hyperlink" Target="https://news.google.com/rss/articles/CBMizgFBVV95cUxPbUh2RTZSdzNlNTlTY0U5M0NRNEc3a3c0SDExWmVuWlVOcVk5SFRfWVJKeTdOVEJicEFPWjdqZndIUmZjZ014V3VJd3hVRkxXc3hvQ1lYLS1QWXUyVmdNZUdxMWtuNXhway1Rd3pHOWV4SWN0WDBsX2IzNmpvVTJ4TGp1cWpzX3loMGppRU9XcVBUNkhNNzFoS1pYdTdnbUFzRVdwN0QySGU5WVF3QkhBT1FVeXppeWowR1FualM4QzRfV2xybm1yMXlaOFJ4dw?oc=5" TargetMode="External" Id="rId39"/><Relationship Type="http://schemas.openxmlformats.org/officeDocument/2006/relationships/hyperlink" Target="https://news.google.com/rss/articles/CBMitAFBVV95cUxQN25aS1ZxTW1tUkNIMkpGYTRyUDdKWVA5aGF1ZnRDY3dpZkRrbjBjWUtjRjVXbXhLRndScEdobk4yUW1mSi1mN1hzQ2poVDBlYWJvanJDVFFNNEl6c2k0aHVIWFJ5bHMzNG93c1JTQ0YyczFtTlMtR3NKMGhBT2pRVk1xSXNkYjJCMFhaTnB5Rk8tMDNCdzlVcjViZkR6azItdWt3MTE3S2VKcWZTb0RrSkdiUXc?oc=5" TargetMode="External" Id="rId40"/><Relationship Type="http://schemas.openxmlformats.org/officeDocument/2006/relationships/hyperlink" Target="https://news.google.com/rss/articles/CBMiqAFBVV95cUxQdGRnbS15V3NMMVNRaHdrMXFfV3JsTF9wYkdHMF8zX2EzVkFfeVpxdERoNWhQRTkyaU5QQXdYRURhb1A2OGlNdEw0TVE2ZDRBUzRvRWYzTVQxcHc0Q3pjWm5BRzBDSnJ5eHJIcGlQT01VN3BOVTNRem1KODdxSW4tdjFpVURDZlctcHZObHJBRVBMMnRyYy1JeFdUY2ZTYUNraHhHeVMtZ0PSAa4BQVVfeXFMTXYwM1cyTE54bGxybXNZdG4wTFVtOTNrdzV4QnNJTlNLRUdSdVhmaWRzV2hqc1o3d1dldU9kak1JTVF3LWJaWmQ2amdTSTZQY05VZzdQWmVkRnUxSV9UbGJjc0JJVk5Ldks4bVZZRkZMc25hcVFpYm10V2JEQ0dpWEFibG9PREdFNUVLeldWa3k1QmJVNVEtX1RKTWxReHNjcVJiWTR2eFRicjg4ODRn?oc=5" TargetMode="External" Id="rId41"/><Relationship Type="http://schemas.openxmlformats.org/officeDocument/2006/relationships/hyperlink" Target="https://news.google.com/rss/articles/CBMi0AFBVV95cUxQNXh0ZzJfRlFWVVNsUjdqSHpMbXBLQk15dnIzVFVUSmVzWl9LdTFGdUpfdl9NRUR2VWJhZlVWdFZQUjB2UGhQa1U5eFZsR24zXzFlUzZyYjItUm5mdm5PSjU2VFlHR08ydHc0VlY0M0ExcVRod3RQZ1A3N1lXZHVTVm0wWTBsNWt6M29TNEw0WG4xRkdFTkZCVDFDMll4dUtVRGw5S1FRZDlfQU5yQlZfQVMtdWU1SnhDMHpGc3d4MzFSQ3NXcDY0cGhYWlRpcnNR0gHWAUFVX3lxTE14dHdiUkVVMjFqenN3RWotZGhzcVdtazZnR3drb3BhX3BFMDhZTVMxOHdBQTR3VS0zQ3ZreFNldVF2bnNsWFhmVERjMVNVc3ZUTGxIbFJyX19qWTNWQXo0UmdHTU1ITmVfQ1dmOXpJb0xJZkdnWVJuYUdQamExbi1hRlpnTHFqRVpvOTFzTHF3RDE0YmRqYWd3Tk1FQ25ZUmszLWFwUENHOTk0enh2MzhTemxyLTMzRDBLRk1ILVJURnU2eHBRbDhtZWJnN0NRYjBMVVV6TGc?oc=5" TargetMode="External" Id="rId42"/><Relationship Type="http://schemas.openxmlformats.org/officeDocument/2006/relationships/hyperlink" Target="https://news.google.com/rss/articles/CBMisAFBVV95cUxNTVhwVWxMZ0EteGF2NHZ5ekpSamxCN24wVklBaFljblVtcWhNY1FLN0tpcjRuWWFIQmlRcEIycmY0eUthaVZLOUVOcjBuU21XR3pXdVphanhwdnp2a2dtY0tQSTllbll6dUpOOG1PcEducmhrSzR6blhxTlNHTnFRT0hETUdZcWhWM0xXTEJuMzE4Y01UYTM2alpOVnBEdW5ZaGUtZV9LQTJEeV9mM3gyaw?oc=5" TargetMode="External" Id="rId43"/><Relationship Type="http://schemas.openxmlformats.org/officeDocument/2006/relationships/hyperlink" Target="https://news.google.com/rss/articles/CBMikwFBVV95cUxPWmExdDBRYTNiejJZeGhPbEhsUElycDA1N2JLWUNSb0xKWFpGSi1vaEJSZURnemxYbjZwNkMxRm44M1d2cG9wTVhhLW1CYlowSm4xanZ5OV9tQzdIVFhrVTJ2RWpzLXlHUU1GSHJWYnh4QUtsV054dm1oYXRSd1QxTmQyR0pPX2N2b1hDSmg0WGxXS3M?oc=5" TargetMode="External" Id="rId44"/><Relationship Type="http://schemas.openxmlformats.org/officeDocument/2006/relationships/hyperlink" Target="https://news.google.com/rss/articles/CBMi0AFBVV95cUxOUVVIU2hUd1lTbTJOQWNJeUdXeENUbC02SEJ3M1JPTU1acnU2d2NHWmxucTB3Nk9MNVZjc29BUGprR2VSZzhZN2UyX01KdEdBWDBFQ3h6UVhVQlRtYnJaTE1TX0FGSTFvMGo5SlQ2RnVfNnM0TDJLTV9lVXFRRzhGMUQ4OTN6bXh3M0tPaGdLNmgxUVNFZzlxVjg3Uzg0enFlUE8welpMT1E3Z2NnWUhkcmxhZkNXUFg2R3FnajhTaFlKV3I3bmVqWG8wMHFmSHZq?oc=5" TargetMode="External" Id="rId45"/><Relationship Type="http://schemas.openxmlformats.org/officeDocument/2006/relationships/hyperlink" Target="https://news.google.com/rss/articles/CBMixwFBVV95cUxPUjYzTTdhbkI4NlczWmJKbWxMblNncjdaQnpoRzVQbTBjdEc2YW9hZk5rclZ6RXVIU2hJOGdpTkttMUE2cTFieVZ2ekg5QVJQbU1vWkg1cHFIMFRzYlVjM043SS02aUozQ2xQenQ3alZMZzJ6U1c5VmJJejk1NS1RdWhBcTNyeHBZaWhadi1UdlpJQ05rUWxBTkJaOEJtejBvNThXSXlnTVdSWWxhSXVVdG1vcGJpQkZFZmNSM1h3T2NuSDg1NEsw0gHKAUFVX3lxTE83QUF3N2RZejc1a2dBQVZQb1pmczFoWUpSeVYxNVhBRjFqRDlYMTdJTEZUdEhuQlpyUTJMUUI1T3JYaVlqQVlaN191YXRpNXRxb0FDNVROdnEyZlk5MWVFM0tvSUlLLVo4X3dJYzhsTjlUTkdWdDdUSncxdm1TQm5FbFgyWUwxSE9BSXRtb2ZtN04tNmJlQ01qWHNHWkF0TkNtZ3FhdkhyejRqVVhzSHBWQ2l1Y1d4cWlOQ3FYdm9IMC1iRWdqSVJGa1E?oc=5" TargetMode="External" Id="rId46"/><Relationship Type="http://schemas.openxmlformats.org/officeDocument/2006/relationships/hyperlink" Target="https://news.google.com/rss/articles/CBMi5AFBVV95cUxNbWJsU3AxVllaOFJDdW8zLWlrZzRVS0hmOWVoMjRfMmJreGRrUTVQSV9FY2tjTVpEbVh0VUZmVTE0SnkxVlFSdEg2cnhJNTJ3M1hiSWFNc3JTcFBWVUVJOXNzQ0VHQWpzb29ua3dMUlFqLVZQcFFLclZQM05RWUU4ZHZadU1oOHRaX0l0aURtb3plcWxWMlpOQ2txNk04eEZjWmdpTldkcy1UZno2cC1FcDE1N2ZIbVNxVUlmbDR6QkRTRk1OdVZQVl80Zlg2M3RBRTZaNFk5eXFlVm45WjhjeTBWUGzSAeoBQVVfeXFMUGhZYlJZNkJTZzJ6NEQ1cHFpb0JjdkQzUXo3REllM1Z2dmhEXzNldUthWmt5NVhnZlNERnV2VlBiMFUwenhQNUlkN28tVk9YeG9aLVg5UnZsdXlpX25nN1VBbUVxNVVaa2d5OHRMTkxDVlprbDRsanlzRzRHZ29ObzUyOVhaRVBwVlN6a1p1Xzc1WXV1cjdwVmtTNG1CUndXVEJlZWJoUm9EeUN0aWNVNUtUeHYxay00MTN4UlVqa091aHlpMnRCY2xjNUZyaGtQV3E1NzkydVp4U1h2MkRteHlicXBsc3NiV0F3?oc=5" TargetMode="External" Id="rId47"/><Relationship Type="http://schemas.openxmlformats.org/officeDocument/2006/relationships/hyperlink" Target="https://news.google.com/rss/articles/CBMiqwFBVV95cUxNNGJZT3NYN282ZGt5Zko1SWdmS2tLOW56MHctbGIwU0FFcGZnOXlXVHpuODhnbDk1Tlh6RlRVQ0s5eHNKYUxGZ3MyTHVEeGNreEg4U2owSEhtX1RFd0ZsVUFhUktkWUljWmpvR1J0VWhqRm1OVXdXZzZmUHdadUNmN3NFamVzMzIyaVBGMFYzRU1GNy14MGtMV042VlRPc1YwYXZLemtrUlFGWUXSAasBQVVfeXFMTTRiWU9zWDdvNmRreWZKNUlnZktrSzluejB3LWxiMFNBRXBmZzl5V1R6bjg4Z2w5NU5YekZUVUNLOXhzSmFMRmdzMkx1RHhja3hIOFNqMEhIbV9URXdGbFVBYVJLZFlJY1pqb0dSdFVoakZtTlV3V2c2ZlB3WnVDZjdzRWplczMyMmlQRjBWM0VNRjcteDBrTFdONlZUT3NWMGF2S3pra1JRRllF?oc=5" TargetMode="External" Id="rId48"/><Relationship Type="http://schemas.openxmlformats.org/officeDocument/2006/relationships/hyperlink" Target="https://news.google.com/rss/articles/CBMiigJBVV95cUxPWWg0dDRpcmtjNklEc0lVSG5lZWxUR2JXMF9EaDR5YWozMk1rMjZhU0hOQjhaR0lLMDZFYWNuNUxPV1NmdkdLTGRwMnRMVDVDNFlaSmpONU5qellPa0lVTjRfZ2FxWERCbVptWWc3WFlZazJTUlp0bW53U3QySDBHMW9Ic2g3djNHbS1oWV82NHVmWTQwaDNOU3UtWDFqRmtjSi1jZUgwczZ3dW16SHFYbXhieUZQWlZRV3ZnbVY0bjFyZXdyS1N6eG81QnU2c2l0dFNSdlRCVXFhdTdnSmN5WEdkQ1dGTXZiblVMUVRpX2NCLXA1bWxadmMySVFaZDcwY25EQVRyY3BHd9IBkgJBVV95cUxONzVPaXVRSE1WNE8teUkxaWRiR3JXMklmNk55OUx4YnlTX3lDLXQyaUx3ZXRtekFFcm9XbDlNMmt6NEJYeVpzNlJPRF9DQUVzSS0wbDZSTHE4QjJ4UDhCRTJNLVMxY1hRV3FoZFhpeGVqQkpFWHdqYzVQZHpIb24tckxGWWpMTHVtN0pQbXBfXzczMG1kRFVnN0ctWXdCbmhKNzV6YlV0dnNyQlFrX1hjZzd2bHhfa0tIZ3l3TDhqMnExTFVlcnIzci10cG1YSURiWUpvMEs5S2JNV3hZdmYydmRETGlKMGE3WGVrTC1YLWtGbFVfcG82MmNtZjZ1X0tGZEN2U1pyUkFVQWpPVEJ5d013?oc=5" TargetMode="External" Id="rId49"/><Relationship Type="http://schemas.openxmlformats.org/officeDocument/2006/relationships/hyperlink" Target="https://news.google.com/rss/articles/CBMiswFBVV95cUxNb21ZdGpsN3E4SGcySGthUXYtYmx1OWo5SVFPbXlTYU9XNlByUVMzU1UxMFRKSmtfamVkdUY5UGxmTnVzTGhCNlJuSFVMMU05Rm1fSjBCS3pBNkt4T3A1TGZEX3VxbVMtSG1ULVVJanYzTHdSejZ2X0RLRHJWVVdsTnR0Sk53NE91eVhvOXFSTUI1VW4wbUxDREVNeFRGS1JhcDg2R24zbG1CNUg3cW81NUJkUdIBuAFBVV95cUxOWkJwendRQnZud3htQlItMzRWemVaakFlMHBTdDJTdWVEMnE5dUhrV0MwVnFiSW1ZZlVrcFdDaUZiNGEzenZ1ZXpRNHVHVWFXY0xPVUNWaGZqTVByclBEMEQ2QVBHeXBycjdKaFlEUzJkRDl2bllRdDZjNmlacE5RRGxXZldYYkhPMm10MjFtckRSWklRM3lId1BkeEFyTTdvNDN1LXhTeG1CdXBxWnA2QW81d2xKS09u?oc=5" TargetMode="External" Id="rId50"/><Relationship Type="http://schemas.openxmlformats.org/officeDocument/2006/relationships/hyperlink" Target="https://news.google.com/rss/articles/CBMi6gFBVV95cUxQVmpfeVpRbWpoMXJWS3BUZUQtMXRSUXgweXpYTEdsTERjUVNUdWNtbWJTZHFzeDBhNTdvUVpDUVA4b19UMXVjYVpNZ09HbVd1VmhqRlRfeTNrYVp4LXR1YXRGaTI0V1pOdnYyVk0wWmlrd01PazZzQzIxQndjcGdDZlBmYUdfQ3BXSEdzMF9sZExrcXRNV1NFRGFfMGo1MVZ3S0JpU1lXbmNadFc2S0RWV3JOSzVxc1Q3MzAzV25jMTc2WDY0SU5jRkthRy1JVGQwQUNDZWRSWXVMVFBKaVRINXdsUnRKdHVHX2fSAe8BQVVfeXFMT054SUVmc0J6eEdQOWs4NzBLcGRoOExnZkEzTWpwMVFYeDBHZjBnYkJkTDF4WTI1d1UwMWFheFgwQWRJTHJCb3A0dGF0b3l5R01USkMwUmtiUktQWE4wWlluU1dhRDBvbVBfTHpUNFhzZ0gzTEN4WmtXOGVzRlo5U0RBb3g3aGRwNzRQdkdqcEhyOXlYYTc1eWJKQ3d0MS1FbkJxT1FmbUc0NXlId1Q3ZmRKYWtORWRmUlQ4eEpTQjhlbkVhQ2lqRWNQdUhwaHo1UHU4UEd0c0p0bU13aEprR2ZqUEFLdE5takk0RU5fWTQ?oc=5" TargetMode="External" Id="rId51"/><Relationship Type="http://schemas.openxmlformats.org/officeDocument/2006/relationships/hyperlink" Target="https://news.google.com/rss/articles/CBMimgJBVV95cUxPN3hVTktXNUNKT25YaFFQM052YXZtRFJhT2x1cmVuUlZ0SmZqWEM5VHlmcjJrcG03cFRiZHlmZzdKMjRiT1VOLUdBWFc1Y3V1REpYdzd0N2NXTFBMM0hVRExkZ3JjS2NZX3hObU5PTERMZmJ6VGVKSERCeEl2bmp4aFFYcXZINEplX3FCNGwtMzZxamJ2bzAwcTF4ZmVHa19UeUJPS1NfUW5FWHp6cGM5c2tjRGFoT2NMNXJQQmpHWk1VaUNqZkY3S2R1dlZLbVhpQXgzZUJlc05zdHpHQU85Mm13a1ZQMzZtUHc3WDNBS0tReWtVQmFiVHdWemtzLVFuM1JUN05wbm5fYlNpVjNDNEV0WVdMMGFOV1HSAZ8CQVVfeXFMTlgyVjJwSnZEQURZMTMxWFdXdGdJUHdhVXdxaUR3Q2g0RjVBaG1PazdmQmlfNU13NUVNUEQ4UVoyaWcxX015ZGFiUGdyc29LQzRXanMtODBZbGlVQVFTTV9sRmEzdHA4NFdOUENlU1F2WjkyMloyTWxyNzJvMkZRZU5HZ0xxTVpsOHowaVVYT2RqdGNGeHBMb2xkWUpaM0g4Tm5YaW5qcmRQRHpta0FUVlRvVVJhaEJvcHc3Qnl1WWhxMlQyaEFUTzVFZ3d1cDRBUm02VFpvUzNuWXFQQ3RPdTRVTzVOME5TeFZiUHYtcGFUQ2RPTklPbG9iZXVfek1PcHk4bVNsWmdtXzNIWGtuREtWZF9OLXRpSE1Ra0RLU1k?oc=5" TargetMode="External" Id="rId52"/><Relationship Type="http://schemas.openxmlformats.org/officeDocument/2006/relationships/hyperlink" Target="https://news.google.com/rss/articles/CBMiiAFBVV95cUxQUlBQZ05UZzh1NmlicUdQTnctWFVPYzRpM0ZlSkFzS1J0dUtybHQ0TTVnYW9VclNiS2RmWGdieUN2dlA2RGRBUWRIUzdBTlFhdXVTdzNyd29LRXJyVmZnSElwVmppOWtfTWZTWGJRMVk5eFppQUZuQThveExwUlVNREVabU56Z2xW?oc=5" TargetMode="External" Id="rId53"/><Relationship Type="http://schemas.openxmlformats.org/officeDocument/2006/relationships/hyperlink" Target="https://news.google.com/rss/articles/CBMigAJBVV95cUxPbU9JaC12Nkw0cWw0dF9Zdm9OMFVTVlNvTE5yMl9nZzZNT19vZW9ST0VIc2RydXM2SHNjMTk5cXZUOHFBR3p2b2c0czZCV0tBT01yaDNWbmx2d0JmMWlVVU01REdtb2JBU1F2SzFyNzRCVnpTSWI5ZGRDemJkMEpNZXBDajlpRFRJa0Y3cE42THh3OVlxOVluLUZMc3gxbFN3eDY2cHNTTUNCZnRockZtWG5xbEludEtUa25hNG1vbGJZcWhIejdLUVZuYUFtbVRlajNna3oyazBabVhONVBQR1ZfWjlwYldaZ29kWUtmeWlGN3l5eldiaFlFNHVLWU9v0gGGAkFVX3lxTE1tS3BXQ3ZsQmdiR3pWWW1wVVN4Nk1xSWZLOGNGMm5LMkVDV0tBTW1hMjBic1ZoOXhBbjlqRzlRRHJNdWxnVzVsa29LaHdobGxCZlJZVVFmakplM2sxOFhGVjVtTW9GbEFjRTRCWVRnbkFtQTF5Y3BUTHdCa3dsWnFlTkY5eXp1NUdwSWhENHJXSTIwcWxWNXFPRXRReHRIXzlIMWFaQ2VHZnF6UmtTeXFlX19EX3hJM0VibkZxSlhFVlVrNGRYRmdaQ1d3N3lvRlN0ejJWT0oyVkxqd2hhUHJEaEk3VENRQ09KQWoxUnpWVGM1N180NWt6cFRpOV9IRzRMYVBMQmc?oc=5" TargetMode="External" Id="rId54"/><Relationship Type="http://schemas.openxmlformats.org/officeDocument/2006/relationships/hyperlink" Target="https://news.google.com/rss/articles/CBMimgJBVV95cUxNd21PY0J0WWZSV3g3UHltVDBIU1BlbEdFSThGbXFsRUhiNFl3YW1OdXBzaDVYckczY3E4azlsSmJoek03S3pTRjNFVTRaTVdFLWJ5TUd0WkNiZlNMcHEwMEVrZTRZTFJQX0FFVW9qMU4ydmd6ZENkRlpNM1hOOUsxYWFhOTBtb3d5UXBQY29IaFpyWmM2dWtuTFFPOU1LNVZacVUzelVSam5majF0S3hCZ1I5S19XeFZBcm1qWkJsd2RYdDdYR2N5M1pZSkNpRzFDRG02Y1ZuOW1XRk5DWlk1Y0hoODdpZFFGSWlnTF84RUpHMEExUjNxdDZVZW1fVUhOcWUyc1daTExnTDFfVjB4SzVsby0xbFpTNHfSAZ8CQVVfeXFMT1FjTXE2VmZqUEhoeGdIZVVRM0FvcVN0OUN4VTM3T3FjOFZMVjRUNGtCWHVrTndxdDRUS2JkeTc5djhQRWJlSFEwby1tWllZWEFvMWhmY1lQcTJsZjlWb3lxSE5xNjJJS2o2b2RZc3NaS3VJVGMzZTBvb2UwdENJUU1FSEZMeU43STdfTHE0aVN3WjMwNlFqM2I1V29NbV9xVXBkaHNjWVpiNlNMZlBJbUp2RmxiWnJfRmZXb0YtRm5DaVhYREprVkNzdDNQRk5WejZIODhwSHU0WkZVLXpoSGRWQ1lZN3FmTUt6Ym5pT1BaMkJYazl6Q3pUNi01NHlmQ25ZRldyYWpjTHM4YU45ZzJzeU01Wl9YbUxpU25odkU?oc=5" TargetMode="External" Id="rId55"/><Relationship Type="http://schemas.openxmlformats.org/officeDocument/2006/relationships/hyperlink" Target="https://news.google.com/rss/articles/CBMipgFBVV95cUxNbHV1cExNaWdWTGxsMnRWVEVVbnROUGZqTHJCUEFEejNUSkdyeF8tVk01MEZZOTJsVXJIOXRCVXFuSTZ3amctV25wTTMyUEpnQnlfX29Gd2tEZG84WW1IMXYxQ3ZhSXd2TXFFb1IxRmx6Q0toYjVISEJ6SjcyQnhqQ0FoUkt6N1NqV296aU5TRzFQbS1ZYktENllKY2NscXVTVGE5YlZB?oc=5" TargetMode="External" Id="rId56"/><Relationship Type="http://schemas.openxmlformats.org/officeDocument/2006/relationships/hyperlink" Target="https://news.google.com/rss/articles/CBMigwJBVV95cUxQODRoS2dkTW5ybk9WdnFlU216MXdvdFdkWXZ1YVlWbFRvcjYyZDFYZG9KanZueFFXazEzQ1ljRURydm9MbWlMNmM1dmY2dHpucnlXOEIzNXdWRVNBc3JCR2FnZkhZMEMwLXlpVS16UmtvNWlKR3BDRFIxb1pIY0NQN3EzNXRlNGc2Vk5yV3EtX01JOG5lUXFmM3doeS15Ml85WWMtZmtlTkFCRjdmU0licG9DUDIyZjFqMzNUUTBjRG9MQV9FVGhlYjZJV0lYQnE1elJCb1RJZFhCN2VUWEpmeURfYTYtdmM3YlVpckdORG13VHMwXzVvUWh5OURiRkFkZWh30gGIAkFVX3lxTE1yUWV2R29fUFY5TGFZWUZLRTRlX3RTQ3R3cHN5dFpxRUVqVFllUDVZMFlQZkd3cXN5MUlCWlpNMl9ZQXJEdFNuRFBfZ0E4OFBSVGtWdGE1VWo2LUNyYVg0ZEN1Y2xZRnBEQnZ4QTNFOGhjVXNCSWlhdUJfc3IwNjR3N1dDdENxbGFMelRSTEJnM1paN1RRY1dMTDBQUEg3XzhXWVU5aFQxemRXZ3ZvZUhjbWg1Q3ZzWkEzZzJkeG9NZTUzWkRVa0FNVlRQX0lIT1ZZQmZtdkItczRDME9tUnlCUU84cnU5QmNVQy1nRi1LeXI5YTVwVDFxZENUYlkzUnI1YmJKRWRXWg?oc=5" TargetMode="External" Id="rId57"/><Relationship Type="http://schemas.openxmlformats.org/officeDocument/2006/relationships/hyperlink" Target="https://news.google.com/rss/articles/CBMi6wFBVV95cUxPY0hza1JGN3BpRjJoVWFmMVNNODM2eWYwMy1JRy0xSjFEaXQ1Rm5sRVpKZjRDUl9vQ0N5T1RJQkEzbGxDLU0zSHhrbWpmNDlHZjZzOTQta3ZNcmdrMFJDUnJERVlPbVh6NDhIbE1qTlpGd0pyVEVPZExjMVdaRjRQNE5abGdrMHdIcVBHUlAwR0NzVE1LY0MzRDR3UElya3NDZFBVMTludFdJbVFoVnZkSnIwZkhRbjhuV094QkN4cGRCRjRyWXUySk9KRkJtdFBHbzNuV25reTNzbTFkb0RsNXZiUEozMG9TYmtZ0gHwAUFVX3lxTE1OR25QeDU1ZW8tSjdraHBqNlZuU0xzUHhMTDVjNFp5M1JpY05KejVPNzI5clF2ZlRmaXFMX2FnUzNiaFhkS3hYdWNMSlhxTVZZZXg3TVZ3LWZnc19FUXl3SGs1bU5jNHc5bkcyZkdkdjBIbi1wbGRXcExtdG1qdms2Wkg4dEJ1YU1JRDhxYUVzbVpNM0hsMWFZX1pwaEQteWRfLVFkRFIyQXp4a2dKUEJQSGRYak5uckxublh2M1JxczdmYmZldE1DZ0NaRmVHZTRmN1hPeW1kMDBzQnYxZTAxLUl4UVd0XzI1b2VHUW1YUw?oc=5" TargetMode="External" Id="rId58"/><Relationship Type="http://schemas.openxmlformats.org/officeDocument/2006/relationships/hyperlink" Target="https://news.google.com/rss/articles/CBMigwJBVV95cUxOV0NNUHlXN193VWhlcWJONTl4M0taMm1wN0ZUcmRoOXZNZ1dhWkdjWjY5a3U3ZXJzNTlHRlM3NjZuY095QVZITERNU091VFVud1FYQmM1aXRVc1BnQ1NKSzlMNDJtMzFwdUpUenRjLThPZWJIRGxvWnRiYkdxSnlwYUIxS0NRWU9ERnJ4N1FhRGIxSUxWRm5USjRGdGtnWjRTOUtTUzJFVUoxNF9vS0ZtNVdSbm9icFZJRWM5UWp1MndBcmotY3FvNHlxeklhOElDaU5ZWUR0VG96MjVKZUpkSC1ZWW94NWU5d2czcW15OU1sXzljN0UxSTFIeUwxLVp4ZXVV0gGLAkFVX3lxTE1CaEZOVXM2WVpwS2RtSGNma1A2M1ExMklaUXR2eFZnU1RDVmZLV1hjTnFUQkJxNmJiamJPdU96a21udE13bm8xZ3g1LWdIRXhaekJITWJPMlJ4b0ZwM2hCSENsRV9QNjFWUTU5X1RDcjV1aXZHdkNBVkg4em1YalJPSV92SGJNUDdJWFNLWnZfSUNXTDhWSDBMX3FtbXd0aGlzVWVPMlpVbnV4VkJYY0U2RHRSU0doa3l2TktzZWRKdFBoMUtjUU9rWHl1UVlBZ1lyc2VCS2hGdkwxcXFFbERVQndQS2JTOHgtMmJuUEhVYlZSUXRTZGN0bW5NMzFmdVIwMlNzUlcyMkpjaw?oc=5" TargetMode="External" Id="rId59"/><Relationship Type="http://schemas.openxmlformats.org/officeDocument/2006/relationships/hyperlink" Target="https://news.google.com/rss/articles/CBMikAJBVV95cUxQbGQxcFFLUDN1THJXOVNaMEsydnpFQWJjQVZRWW9jNGJXczJxZDNpdElrOGx3bFluNFFCWVgyM1RQR0RUWFgwTGFCc3FaLTlBcTVGQ2JDRUNCVll4cFJ0V2pxVGw1TkJaTjZqSjE2VGZHZXdqR19talF2N085OGJBYjF3M1lCaWNlZjFLRGtaNUVBVHpIWi1mNXJaTE9iZVREdTkyQ0djMWNGdGNaZkV0WGlqOS1HTUJUcWRpSDZYTkc0VUVya1JBSEVzLUlibDhZUjJfS0JrdVdWTGJTYWJpTXVWeWRNdU8tSXZHQ25ybmtZQzlhR21mNzl5TlBtbzhNRnJmTFcxN2VWLUdJNEp4Q9IBlgJBVV95cUxONVlXWWJCbVhCZDBjM0ZhUDlEcnBWNVJUdTNGNjJXeXV4NlRpY2lwQlNmVFM5dDlwdVVEejdRX2MyZWFvbG1LLUJ1VGc1Zy1KamlfWHk3SHRiMlAtM0VBUjY2MHIwVzZyR3Jyc3ZMNnkxSTlLTUNHQ3hRNHdJRi00UEZ5TDNrS2p4UGVxUFhyX19RLUZSOXd1c2NzSm5LczdpRkY1UnFzRks3cjdBX2NWVXhVSkZoaXNfOGxvMXQwX3p3VVN2M2tVZTZmRDIyZ1FvN0tfTWF4LUt1ZXI2RTZkTGY1Zndpdkw2Y3djeUdNT2pwOU44Q1JXWHM0UkV0bEdTVWpaVTZ3SXA0SzZSTnYtWjBLMUxldw?oc=5" TargetMode="External" Id="rId60"/><Relationship Type="http://schemas.openxmlformats.org/officeDocument/2006/relationships/hyperlink" Target="https://news.google.com/rss/articles/CBMizwFBVV95cUxObjBpUzNFd25jMzZNSndqUjJ0LV9RNDVQWkZaVFBKenhPRTg4OW5OTk5EWmVZOGwtMGtRQTFHYnljU283ZUtZeWlMU3RSZk5SZXBRajUwOU84cUg5OHU2TXlWVDNqQ2s4WWhnNkJ3T21JTVBoYjN3US1ha3BKYWhOWnRONW82a0lPVTZ2SW85Rmx1OU5qaEJSUWFCTlhrWnIwbmRsRzFvZjY5VnFpbzIxZk9IUXFKblM4M2pVVEJ2UjI0X09aY1ZXcl9FUXBmR3fSAdYBQVVfeXFMUHA2MEw5RC1kWVgtWS13RkxSU1N4a19xbWdkaF9nTkxKWllpYjVmNmJWajhpXzVtVG9KUVBkLUNnNVZGOExHaFZZSmNMSzNjR2NfRFh5RWJoVWh5eEdITG1jdld0aHRCb082dF9NOTN0dG95enEzUDBLZmNwZzhEMlM3dUUzRWlXNGJPTVpHalh4Z1dBTmZjWlRXZlVCeVV3OWJhVGVrdTJPTER1c2tQUzNpSm5TWk9rckxEYTRKcWt0SzlwNlRzNzlWd2lFOVNMb2RBcG5yQQ?oc=5" TargetMode="External" Id="rId61"/><Relationship Type="http://schemas.openxmlformats.org/officeDocument/2006/relationships/hyperlink" Target="https://news.google.com/rss/articles/CBMinAFBVV95cUxOQV9MUFZMYjZpeHJPdWNZakczN2t4YXBFRGpoNV9meXNZVGxLby0yLWdpdkJ4N2t5c0JuRlNxMF9lNlRJb3RLWkpuSzNwX2ZqQ3J2Y1RoZ0RqdW1nY2diWXRrNkF0S01pYm80TUFtM2lLd3Y0UTZfUmFrdVA4NWYxWHAxeXdBaUc3SGJtZTBjUGdHRGJTMHU1RVktNmQ?oc=5" TargetMode="External" Id="rId62"/><Relationship Type="http://schemas.openxmlformats.org/officeDocument/2006/relationships/hyperlink" Target="https://news.google.com/rss/articles/CBMia0FVX3lxTFBBbmFLRldTRHpDM1JfX1ViYy15cGtDRHlKUnJCWmMyV2JRaU96UHIxYmh1Ui1DbmZaRVdsQWY3UHppNnZQNTl3em9zZk9aT0VSd0U1SHV6bTBIN1hMMlFlMUNIZlQxYTcyV2xB?oc=5" TargetMode="External" Id="rId63"/><Relationship Type="http://schemas.openxmlformats.org/officeDocument/2006/relationships/hyperlink" Target="https://news.google.com/rss/articles/CBMixAFBVV95cUxOdlkxQmUtVkxyRDN1NXZOTnNFLWo0RktDVDVRdno3aDVHbWhtQW1XSGZkYWNQN3JvV0lmZEF1LUJOSVZPNkY3SVVjalhRNEpJSlplQ25ERnMwNk11c2dMT3k3ZVNORWUyNk5wekM2MDJOYTNPQ2h1ZmcyWVNVeFh3eUl5Q3FfcDR4T3FaWDY1Y1l4TlJaU1R3Y2JFOEpLUmhBNVMyT1ZiQVoyY2hpRTV6TlBZdVNUSjJwR2cyTDZnLU5pT01U?oc=5" TargetMode="External" Id="rId64"/><Relationship Type="http://schemas.openxmlformats.org/officeDocument/2006/relationships/hyperlink" Target="https://news.google.com/rss/articles/CBMi-gFBVV95cUxPRkgtY1IxVGpfV29XQm02S0N2Y0pHMmVkUTUxbzU2QWR4Y1cteTVGeEVhOER4bzQ1SEF6cWhWclhZMjdQVnBXR0pza21XTVljVTNnRUhHOVBxb1dCaFVlODY5X1FlYzJ6VjBMSFFoM2N1MEFDNzc0cUN1R2pmanJfZFprdTltMDM1UWo3SWpYQjdIUVc1c180cGg5UEpTeFBERlJidzRwenVNS3huY215VF92RmRNN19ibHJSeVhialp0YnowbDJOQTMybjRnVjRsUWNYZXIwRzUyUVhKUjlTSWNjNXNaNUdxb3dYSjc3bUktaFZPX3hNeVRB?oc=5" TargetMode="External" Id="rId65"/><Relationship Type="http://schemas.openxmlformats.org/officeDocument/2006/relationships/hyperlink" Target="https://news.google.com/rss/articles/CBMitwFBVV95cUxNb1JiSks1MWQ0QkZhVExTS09SdWpoM3M3MkttUVJ2RFNPdHJfMG55RDRFcWs4Q1Q5UUQ4TG5SOVdDY0htUmUwNWVKNzJVTTl3Y01FYVppVW4tUDJlWUpudVQ4eHJFbV9JZG5GUWllRjBOM3dPTTZXZkxIWEMtcFZuWWExTGlPV2pwbGNpMThtU2xxSjhYeUo2dC1ZNTlaOFE2T01DM2pRWjFSNmUzVDdtcnBScDVpS1k?oc=5" TargetMode="External" Id="rId66"/><Relationship Type="http://schemas.openxmlformats.org/officeDocument/2006/relationships/hyperlink" Target="https://news.google.com/rss/articles/CBMi0AFBVV95cUxPWGZBRmlDeUJ2YWlaNjVHQXo2RnRkS2R3VlRrdEVNd0t2Ymg0Ri1qQi15dEI2NFdhYkRKSkVBejd6SzJZSS1FejBQcWNaNmY5UC1ZcUVqZ0U4djcxNk9BWHZmeEFQRjNrT2dmZEI5bkUxUlNMbk9HTk9Uam9zRGlDclI4bmNVOFNYMS0xQ2tQUm5SYjdvb2Vmb3NsaDFzcExOeWlRT3p0M05jbnk3VDlqQ0ZKaExWN09RdGp0ZVZUQVc2X0VxYVlKNjVZZDRlbWVv0gHXAUFVX3lxTE5GZHRLX2Y0cVZ4eUM3TUUtZ0dEMTd3Ml9senV2YWFkTmVXX3RndG5vZzRFN2xJNmZidi16ZHhVTllyLTJzcUExcWp5SDJJVXJnRUtpOF92WWNXMkNnN0ljVURlbVhwcENBZmFhYXBGNTRyazhwZ09FMURzd2dRSDI5dXZyTW1PYWlfa0FZV1RTRkRQQ3lfSFVFT3ZGSTZvMnVtS2VQck9yYTFxbmlfX2pOeUtEN0xybDBKeE9CU3A2T1RzVFNVNUM0dk8wanVnZHUwWGEwMTRV?oc=5" TargetMode="External" Id="rId67"/><Relationship Type="http://schemas.openxmlformats.org/officeDocument/2006/relationships/hyperlink" Target="https://news.google.com/rss/articles/CBMi2gFBVV95cUxOTUNleDZOV2xhaGc5dGw0blZrZlJpZUdzNkotZm5NXzdpN1Z5VVliMHYtblFjMGs0NENYZEx4YzNXWjVneTZNeXczc3oxZTJYRjZHRmpheXdCYWhyZFVyNS1tdUNVbHV1OS12eVNPSTA3LWZsdkNvZDcyR0tFOHd1d0xuWVhXazFQVDhpTjZlNDM4SmExbXdrLU1aZGh3X3ZZa202YW5yTjVVcTg2QXdyOGNXZ2tBYTdxT0hrZ3dHaXV6NGsxZTU2NnVWUTBfUkllWWdyUnRPZE5Pdw?oc=5" TargetMode="External" Id="rId68"/><Relationship Type="http://schemas.openxmlformats.org/officeDocument/2006/relationships/hyperlink" Target="https://news.google.com/rss/articles/CBMilwFBVV95cUxQUDZ3NVA0bnJIOEJLRTBoNjQ4ZTV4RkJxYzJwRzluYnN4emxHdE15NWZlbENiY0JfbzA5NElna1BERnk3UnF1MHk0RnVfY1Q0OUVXT29iYm9EVmxKN1k5d0dRMHd6M1M3TEZSNWpTNFRBSTlEV1M3UGdfNXVHMVhNOUthcFMzYjlEcU5UQUEycldMd1JTeFpN?oc=5" TargetMode="External" Id="rId69"/><Relationship Type="http://schemas.openxmlformats.org/officeDocument/2006/relationships/hyperlink" Target="https://news.google.com/rss/articles/CBMi0gFBVV95cUxOTkxWdW4yQXdPNm12MEU0dmYwN29LYl9tMjV3Zml3WmhvNXdpU3doc2h2bWEwcEE3cElFRkVIZUJjeTdTdXl3OWxZZ1luUG84LU9vbGRsVWNldnhPNWFWT2RTRUJMNUxaV3ZmWmxXQ2tHelJHMm5UdjFCSFpRNzlVYjcyR19ZZ3ZicVhrZVFITzAtQUZXaFRpZlBaOUpHOXhhelhURW1qUmhhbEJfREFOQ0hnSUJ4V3RHVHlTMHZwV1c0d2dHSm5UV0pseFJCMkJjaVHSAdoBQVVfeXFMTmx6S1hjeHJac2pGQjRHc0ZwMWw3c0R1Z3o0Sm5paS1VMG1ILW5ieWNnN3dXVUhwZFFVSm1YUmdTYURLdDdVUEpTSm1vaFJVSGQ3MEdqb3VOVUdVVHJGNGhSb3JRM2pwWm02aUEtd3oyN1ZUVG1XVC1iam1zTjlLY3VJa1BHeUNYc3V5NXFTOW5aVmRSOGI4WUNQdmxpT1hzcUFjMk5lQWlrd2lyZmZxLVNDMUtHbFVqNjEzR2Z0V3VRREJFcm9uRzl1WHB2cklZeXN1VU5FY29tUXc?oc=5" TargetMode="External" Id="rId70"/><Relationship Type="http://schemas.openxmlformats.org/officeDocument/2006/relationships/hyperlink" Target="https://news.google.com/rss/articles/CBMiuAFBVV95cUxQNmV5cmNlY2hydnc0SVZGcWdIVGZxWEhyUWU3QlE1M05YNUpMeWw3R0Q3Z2JWdUo3d2tSZHdjR1RRV1FQVlZOLURJTzBEOVJydkFXREtsUmpkeHFIemJOMW96Z3c1MElNVzlLdzVlcVEzX1N1OEhvTW10NFdOZkJUUm14RzU4Y2ZEOXAwWHZzY0lGbEpsY2FDWFZKZUZlZ0JDamZKRzJYcld5ejdHU0RDS2VnaS1iTmR2?oc=5" TargetMode="External" Id="rId71"/><Relationship Type="http://schemas.openxmlformats.org/officeDocument/2006/relationships/hyperlink" Target="https://news.google.com/rss/articles/CBMi5AFBVV95cUxOc2VwSFZ0a2liREdUT2hxM0Y5UWdEVlNUdTE3RXN5SjVxcDdRN0dJUWsyNVBNMWFzemI0MzROMzUzYkM4M3J2RHJVY1I3OXgtRmVMSUVQd0ItUEhtRW1OU0xhSmI2WGtuem9PWmFtandjYmhyVkxSQWEtZTlSdXh3ZjNCUUxocGlNV3V0dVFoOU9Zb21OejhpSGxyYXdYRU1FRWpjTy1rUWR6Vm1fYWJJYUItNy1MellJV3F5ZFdTakVvNENJOXpReGVjYzZxeEJvZWh6UmVUaVp5b0xjZWFacG1yTjA?oc=5" TargetMode="External" Id="rId72"/><Relationship Type="http://schemas.openxmlformats.org/officeDocument/2006/relationships/hyperlink" Target="https://news.google.com/rss/articles/CBMigwFBVV95cUxQSTZFTVlCQUxhUFBuSFltNS1VNFZFQTlPMU8xdU81cWc1RW5lU3dfRkdNYWhuZkNWQm53b1R5b1dxakVyN2tRYnRaQW9JRmJBQXFtU0o0WFVadVNMeGpvZFB4VnVPSFhtTVRtVGphU0NHRFY1WWxTVl9BbUR3YlI2TjhFOA?oc=5" TargetMode="External" Id="rId73"/><Relationship Type="http://schemas.openxmlformats.org/officeDocument/2006/relationships/hyperlink" Target="https://news.google.com/rss/articles/CBMirwFBVV95cUxPaE94ZzJ5dnQxdWVKWG1pRDVyUGRja0JfdEdSdXBnMzNLTjl1Q0ZhRUNfMDNmTWhRamdJQTJUZzNBdWNSWG5TYVp4OUQ3Z0p2bEpTTk9kZUVJY0thSk9IM19qSy1DVkNxOFR6SFphTEkxWHRuLVl1T1hVd1BDUnB1MFpaZ056anFvZDZhSWFDMUJ1V2czT3dNbnp0eU56MkMyYUtBMnZFQkxyVVN5OTBj0gG0AUFVX3lxTE9sdGR4dWFjdV8xTHpMMTFyeERSZEVjNWNBOFpNWW9DNkN2M0pnYkc0T08tVlFIQ1V2cnlrbmF6OGZwSnp2TDdsZmY5dTVadTNHdFRHdEs2cUpBQlRieFFud1hRS0daLUNzMTRrRUFfLVhXT2tFV1JVQ2t0VDJXQm1QZmFsWWZZMko5eHpBODE1V3dZVENIb3ZYMWk5aHU1b1QyUkd1ek13VkNOSS0zbHRzcmpycQ?oc=5" TargetMode="External" Id="rId74"/><Relationship Type="http://schemas.openxmlformats.org/officeDocument/2006/relationships/hyperlink" Target="https://news.google.com/rss/articles/CBMi0AFBVV95cUxNSE5fd2R2dlZMSHNPUEg2cnQ3WktSX1BzbUVuWnE5aVNkdlZjSzN5NkVXZzZHUE1MUldtRFdCRXYyX2l2WFo3allFekdTSW91VEl4RFVoWG1mZ2wxOHk0YmhNRXo0dmZfNkdUZUt0VGVGNmhsMkN1d0lCaGxDS2VSTFh0WGpmS2dHSVpfMWUycTZTVTZ4bjktU05VQ0FDOFZHVlBoNzhzUFYyNU9YSFZVUUM1WFg2VC1yMHFCZmJyMEZwWW9pNzNDWlZjSHNjQTRS0gHWAUFVX3lxTE44RkJWdG9HajgtbVZVSjlnQ1hPdF85akRSWF9BZTBpeGMzeXlNTDMwRXFpYk9QLVdfRlFMZ0xPYUI0MGpHZnVfWmZLdTJrNlVzeGpLOWdSOVNjV25EVVRBLTdqNTl4NXlGQzlucThWbWVyU1hxVGFNQ3M3bkthSnJYSTIwVW9TcEJsanhyV0lDNldtd3NmbE8wU0taeHpVUkM3RVBLQTZkYzkzMXB3dVdaSS1oMF9ndE1ZcUhXMHBiT2JjbkhyckJwQzdjZnIzLTJSelB4cUE?oc=5" TargetMode="External" Id="rId75"/><Relationship Type="http://schemas.openxmlformats.org/officeDocument/2006/relationships/hyperlink" Target="https://news.google.com/rss/articles/CBMivgFBVV95cUxPWXUzSV8xY1IwQmZCLVJRSWl5b29heE8zSWE0dUExaUFsR1pBaGNacFVaZVc5OXUzbFdwajRYMVBFZ2tad0IwWDVrMnEzeExrWktpMHRvWFlENnFybERmSlhLVzZsa1laa3k1Yll2aUVXbC13THhFOUhIV0NIX2pwcTVOSml5ckZJRjhIY3JlTVgxenlXR1owRmdGdDZkSnZSM0w1SDY0dGVGTHRzUDRjYTRfbjhqT2Zrek1HOEdB?oc=5" TargetMode="External" Id="rId76"/><Relationship Type="http://schemas.openxmlformats.org/officeDocument/2006/relationships/hyperlink" Target="https://news.google.com/rss/articles/CBMi4gFBVV95cUxOVDVaQWF1NThNeUhRc0VFTnB2b05IQ2FnNWxIcXRJQzBpdFZpUE5xcG9Fcl9nUHYyZFg1bWJia3VlMnlnUUtVYjhKQllaZVBGNU14c25FV2pOU1RxWkRtWDM3Tk9jVjZCaUMyM1AxanFfcjlrM25yZDhvdE1ld1VaZXRVX1FaU1RFbVhrUjNxa2V5RzRwbzFHQnRuLVlEX3UyOENmd3JyV3ZWMTRhcHk3Rmx0RkVpNGo3WkN4RkI5THVuMkFNc3dfdVJDQ1c3YzhNbklGbC1GNjZvSXZHbE9OVW930gHnAUFVX3lxTE8xa210QkM3Z3hZT2ZmNm5BNTYxeGY5Z2NvaWJJeXphNld1NVhNS21JbFhsNXk5VTA0cDl0dnVfVV9CS0RyRzRIWGt5VFp5VWhyVVJLU0VMbl9DRElidk5sRWRQQW1MU19BeVBvalEwMDBjWGRhQzVHOXFMR0RTSTRlTndjM3VSUWJWbU1XVjZjdVBGaHJST0NrYlRWcklYNVNjMDVyVWgzb2syRC1WeEJvVDBNRVl0Z3ZFS3p2ZkprR2VoZ2o5YWdWWDBsb2x6ZC1lLTRjZ0FmT01JMU5xdFpoYXc4eEJybw?oc=5" TargetMode="External" Id="rId77"/><Relationship Type="http://schemas.openxmlformats.org/officeDocument/2006/relationships/hyperlink" Target="https://news.google.com/rss/articles/CBMiyAFBVV95cUxNTnVicGVBYWdyRzFsWDhFWUEta25XYkdYeU9BUjgzX1BTckFUQkVmMHdSMXRmdWpuY0hHaDVTWW12S1lsZHFRUEZic1EwaUhvRXBoSGRweHZJMUdxRWhPMFl1bWtGOUxCb1UwMlNCVklnbmRuQXdMOTZSdmhSa0tDWUJVaDh3bk8zT0s4b0F2eW5EdHJtcF9aaXN3WDVWMV95UnhYdm9fR2JhWjFURG5fSDhuQkVNZjNFeGN4LXFZZ3Npb21aYlVWaNIBzgFBVV95cUxNSzlySjZEbkRFaU9SNW01TFkyemhFdHVBWDVHeUFHcTd2MGdCb2tZaFl4emxSaS1jbTRRaW5lOEcxUjlLdTFuRkJ4eEdqWm5uWTJBeWNVaWJMajhvS2gxZFh4OHhVbEoyS3gzWmpPQ3hyNGNuNWtkT1d4b09vNk1aNWVLRzZpZ3cwTEdrbWNhdHpxTmxuZlc5VklteERFeWhzUnNtZEZ0Q2YwQkhKNlBhcVhlNmpSZl9yeGJpVjFrUC15U1o2Y001QkpWR0EyUQ?oc=5" TargetMode="External" Id="rId78"/><Relationship Type="http://schemas.openxmlformats.org/officeDocument/2006/relationships/hyperlink" Target="https://news.google.com/rss/articles/CBMiyAFBVV95cUxPVlVZVElJT3lFZTdGNUlMbTFoN0p4REMzOGFHaE43SGFtN1dfZ1pyR01SN2ZLNTNCUEF6TW1zS3YwT016R0RCVTRXZUNYQUNYSW12Y1cwU2FCT2FnbGNEOVA4aTJZd3NiN0tuRG9RV2VmR3BOTWtvTmVyVnlJd3VPc3B4OHBMSjdSTDNqOG1yZWpWY2NQSWxDcDhyT2JGdmZLVEhLV2JSOXJsSXFVNFhQZ3h2ZEFmVlNYUGJQbUhERDI1TVc4MERKbdIBzgFBVV95cUxQYlZEQ3pWVk16Nkdwdm0wYThqLXBuODFNaDV6R3lwcVZxdjU0LVdxSkl0ZjVseW1XOU1lWDFZdTN0bHh2dzg5YW9fd05hZHRzc2RXZG84UHRCQm91NWlrMjUwSUgybldvdUNwbTE0b2NkTEVKWHVKeWlQQWdOVzl2bDhFYjhVSGltNlBJekJfNWNHVW1EN3FycnpabDZpSlQtaEN5cDM4RmJETHJPa19qM1JDbDNWZmMxZzAzN3pYLWQ3SkNrTWZwbmJtdHQ0UQ?oc=5" TargetMode="External" Id="rId79"/><Relationship Type="http://schemas.openxmlformats.org/officeDocument/2006/relationships/hyperlink" Target="https://news.google.com/rss/articles/CBMivwFBVV95cUxQaUVuSEo2MFlJdEl2TzJpb0FDR3QxUzQ2TnJaWVk3V09oMW8zV0w0S0NtZDRzUnZiN2RIRGQ3aElmeG5YelB5MVF3MElkYmFJQV9RX0ZMR2FsSUJzdDcydkVZeS1zZUJTSDZtYTdfTGI4cm1ES0JRTjFkd080YS1JbHNzOUFYQ2pwYjE1SEE5MkY3TXBLSE04d1BnOFZ0S3dnR1I0cjI3Yi0wUWxzSWxfZ19ydnNESlJIS0s1NFpVUdIBxwFBVV95cUxNOHRRcjNnTjFKcHlkWFI0eXBXZ2R3QmhQcGZzRXQ2OTVqdE1ZWlZrdGNBTEFlMzJtdlpJMTVPdFJpZ3pDaVRYd0Myd1FraUwtV1d5X29zM1pGNGJ1dVZ5OF82US1rRGRyMGR0UEFrb0RBQVFRRHNUR054UVdKYUJBTHhmYjhjWkVXZ1l3LWRtaWRPNTRDNXJacHpoNTYxN0Fxb3NnNHR0MzkxMmpibGdKY0hkeWh1UHNRUmZNUXdtWFdMT2hJVGhr?oc=5" TargetMode="External" Id="rId80"/><Relationship Type="http://schemas.openxmlformats.org/officeDocument/2006/relationships/hyperlink" Target="https://news.google.com/rss/articles/CBMizgFBVV95cUxNdXZYMVZYMnBNM1NZb2ZFTXVDOWY4d2Q3cmduREdRQ0Q0M2NQaFZKLUhXMWpXemo4T3plNkNpZi1mU2t5LUNzR1NwT0JrRnRMRmw2UW44eHAwLWlKSTZIcFFVYUVvN0NydGRxYUNSc2JETFYzWURhMmduSVFZQXJET1hncUF6akp1cFUtTTg5Ti02cmFmREltLW9nQVhmbnNlQW5DRjUwVTJyUDJwTG1sUXZiUmFPbnRIU2RVaWJiTG5abnIxRklsM29PeExsd9IB0wFBVV95cUxOM1pfWWdQVFpXTWZNLUZIdGtyZk5vWTI3NV9qTGZ6WkY5M2h3UUFmOWpNcHJSc1piNU1Mc1JKeEtxank5TVljYnduNlRRbVhwVDg1WlhLcURjOFJib0tzNTJhVktNTmVVRlRXbEZMNS1UaEJFdk1tV2dnS1gxVUg4UG1Lc0ZGV1c2ck5PRHhObmRuY21hQlZWT001YmQ2Yk51NVFKdDk0SUFZcURjLVJJaHpUQWJNak03ZzdjR1lBMzZnWWE3bEEzNmZUMExnSDFhVjNF?oc=5" TargetMode="External" Id="rId81"/><Relationship Type="http://schemas.openxmlformats.org/officeDocument/2006/relationships/hyperlink" Target="https://news.google.com/rss/articles/CBMi2gFBVV95cUxNWnc3WTlnUHR6SE1lczUxQnJBeVVCY3VvZjlmaF81czNtT3RkVlQ5MHE4Yl9ZeVI2c2RmWEo4OF9CRG9XWlJDcWt4X0xsTTBEUE0xSUtWc3lPV1U3d2tIYkVCZzRXWjRSU1JVbzRsdXBnSW0tNEpESTJkcVQwYUtBWHc0NnNNakY1NlRqcjQ5ZDBRellTQmQ3UW5odVVaMGo5c09TZkhNSWlmcjU3R2o3S1dGalhRTGx0b3dfWVRqeW1OU3kxOXR0T09CdWxrY25IcmViS1FNWGxpdw?oc=5" TargetMode="External" Id="rId82"/><Relationship Type="http://schemas.openxmlformats.org/officeDocument/2006/relationships/hyperlink" Target="https://news.google.com/rss/articles/CBMihgJBVV95cUxPX0pPd0U2TEdEbWRia2JMdmZDZklHMmRzcE1BT1p0SlBnWl9CT2NDRWZseFowN1M4MVpHNTcxWldjY2dscEZjSmVxVGNKcllmS0d4YUJMSEJQM3ZRdDRiejhGcmh0eFFZOTFRcXNBOTdXdXdqREJQVjh2bFlMN2g5TXlBS2JQYmlvcWpRcE1VdlJHSmVRaHZoNnJ2Y2hScFNyRDlsTThfTlM1NWVRNDNYY2k1RWJUT1gzNWpjVEpMSXdWQ2hoRjlHRTZwYU4tcGR4NGlrbGZya3kzeDcwdTVCSkZjTVRqZnJ2eDhpdURSNS1yYTZoX2ptSEcyQ28xTGFkYUR5N0pB0gGOAkFVX3lxTE9zSF80X0hRU2djcm8xTVFiRTJ6RkpVSVNNWXByTllORHFZeWUzRGxSLUFhNXE0OEFjZksyQkZNTUx1ZXdDVXZMYzU4Y2d2OHZHdGM4a2JuNnNEVkVZd0Y0dGdDaFZOLTVnSXNmUFQwY3JqRVJGX0x5QnBObUFWY3g4bng0TF9qdDI1d1Eya01OdXVlWERHMzA1ZWFVSUt2c1VKc3VZOC1SMVRoMDhMTTFlcllFRFJ4MlQ5dUlfZkxYTGNydGFSQi04QjF1SUNvV282VGxpbXFLMXgzb0M4dklQRDZ2WjZoa0MtSzVpVU1KRGYzZGNUUE9JYlY0ZDcySmhmMl85azdUUHRKMnlJUQ?oc=5" TargetMode="External" Id="rId83"/><Relationship Type="http://schemas.openxmlformats.org/officeDocument/2006/relationships/hyperlink" Target="https://news.google.com/rss/articles/CBMirAFBVV95cUxObW53cEVTY0FaWWVSb1VGcTlGSFE2c05SaTFxTGtaU2ZTNk4yaWw0YVZ2MHZTM3o4aHlDWEJXaGl2VXlmV2ZSUHhEQVNzc3BBUjg2NzBackZSWjczMWppQ1hqUUhJd0ZoU3pGSkVQMjBkWWdRaXVadVl1eDZ5aWpDRWJmeFNUZkZFdVM5a0RsRVh0bXhtX1ZPMjI5dUJSbU5KeE5vQWtOOVdpWFVR0gGyAUFVX3lxTE9wdFNDQkMtdkp2NEZnT3VJelQwUUQ0Qm1Bblk3azVwWERkeWpRdzlMVXZ2RUI1VUJQbzRxQnhucUlMNUJlS1RCQ2E3ekIzWHV0dUlyM19Vb2EwaVFRNWlvWFJNZ3dwWDEtVXZEbUlORmMxbXFpaGstQWItWkQtM0t4Ry15ZjNSMnBoRlRRSEFVd25zQThodDBfUEx6UFE0MHlEUVFmYUZHeHlONTdSdVFQa0E?oc=5" TargetMode="External" Id="rId84"/><Relationship Type="http://schemas.openxmlformats.org/officeDocument/2006/relationships/hyperlink" Target="https://news.google.com/rss/articles/CBMiggJBVV95cUxQUVVnVFprN1pwVWtldGFwam9RN2lqcVZPdDRPb3R0Tk84UmlicnBGWHlqanhVZ3JRRTFPcTliOE8xTkg0SkVqRFplanRfTHdDUXdpa3o3NGt3TmRIRHZ2NzZlU20zWHpTY1gtdGVuU1JEeXNvSU91M2QxUTJNMXNUVTczZWdKN0ZkSDBvUG9nOUE0X01GV3FjYU1ocDJuS1FzVW5lZ29DTG5wWEZPUS0yTWJyZGt4UVBLckowTTdtMXd5OGZFN2YwMGotelU3X0ZFRXNkalpydUtzN3lMamN2eWxoN2JYelhLY0V5dG1GeWppeFRNWjVzaTlMUlFsOGNqY1HSAYcCQVVfeXFMTnQ1TGxaT2xKNGpmMUw4dVpEeV84S19hclJFOGpRT1Q5V3BFSXFYZXR5YWZjYTdZSndVbFFZRUdSVldRekxQcVIwV3MyN1pxb24wTnFPZXQ1UmltTF8xSm9NeVhuc3JfTXZQeEpCVy1GbUNRbWI3M2NHTkhqYk03bXVLOGpVZ3g1Y3pMeE9oUkREWEhlZzNVZ3pNOVNlcGtfeG85UUk5M3A2SEVpR0Y1VWdlX2hreTlRV1p6VnVXSjNMUnZWYVhmSnh6T20tdDNKbUUyaHNhWS1tQVU2YXpBOGlTN3Y1QkVhRVQzWFJ4VU0tUHdfaWI5ekE1UnBZU09HdEs0bW1CTFE?oc=5" TargetMode="External" Id="rId85"/><Relationship Type="http://schemas.openxmlformats.org/officeDocument/2006/relationships/hyperlink" Target=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 TargetMode="External" Id="rId86"/><Relationship Type="http://schemas.openxmlformats.org/officeDocument/2006/relationships/hyperlink" Target="https://news.google.com/rss/articles/CBMi3gFBVV95cUxNaTRicEdpc2xjWnRrZGlDQmVHYUhyYlk5bE5VeU9FSWtwWEQ2MzFWMGtmeDJ3NFo2R0dEX3cwblVQemxEWFp0U3dwalVQTnFWOGlWb08zbGNVSlYyQzUtM244eWJPeGFXTHZMMm9RdVlHaTJqb0NJeFNiekM0TmxJbnhRSl82YWFUNlpyaWR0Q0NsMEVkb05jQXVOQTI1Vlpmb1FCZzVrcjcybUpJX1NON3dMRUVDbE9jV2FHQXd1OU1FRll5Rm40NVpkYmdlZTVpUFZ1b2dEb1VXU3FKaWc?oc=5" TargetMode="External" Id="rId87"/><Relationship Type="http://schemas.openxmlformats.org/officeDocument/2006/relationships/hyperlink" Target="https://news.google.com/rss/articles/CBMitAFBVV95cUxQU3dtUGJPa0pwTFhHeTkxNFhKWWlnbTFtcVRiMjYyN1NlZ1laMTZhSlZBV0NBLUpKakMxTzlZT05CNHE0dnBFaUV3cU1rSF9iUGQyOElBN0tZTnZpVnhjUGlzeDZ1R2RhWnN5X2ZwM2dzbGdOblBOYXVNU09wUk1JRDE4eXhxZVpTSnJpd2ZOem5YM3lrTUp1MGtuLS1lUjVqWDVlenZZOFYwU3NEQUVBR2xYb0I?oc=5" TargetMode="External" Id="rId88"/><Relationship Type="http://schemas.openxmlformats.org/officeDocument/2006/relationships/hyperlink" Target="https://news.google.com/rss/articles/CBMi7gFBVV95cUxNMU5FX0UzTWpiREVyN3EwaXhrRnhINWtxVWdIaEc5bER3YzdxcWxYUjhQMy1NSEg1czRRaVJ2Rm1HYmhHWC10SU5RLXVWdGdteHoyUlhtcHNSTnVFSG85a05IZTZlYWtwSkREd1htX0VteFFtQ3NxSVRuUGtDSE0xS2FLRDBhOHNBWXJqcTBiYnd1amZtX2ZfbGt1RFd3ZHdWNFdYV3Y1NGpIYldKOTl4a3VGbjNYWmNSSTV4WS04LU1RTWVRbk9mN2lNU0xQWTNVUy0yTUdYREstRDFsVWR2WFVmb1NFd05sTEZCMDF3?oc=5" TargetMode="External" Id="rId89"/><Relationship Type="http://schemas.openxmlformats.org/officeDocument/2006/relationships/hyperlink" Target="https://news.google.com/rss/articles/CBMi6wFBVV95cUxNcnQtTkdfR1VEMHhPMzFSOFpKVGlONkVRaWhxV3hPNEJFcTRXcEF1elRaRnhHUW4zWDJxZ1h3Rjh4X3hMbUlRcldBcHRWeGl6UFJTVHhFMm40TG1RWkVKd3RZc2ExZnhEeFlwN1RiVHE1UmozMjdKN2N2aUJpRUlrWjVSOEVXTUhQNlhlVzVsLTlud0NIcVMza0g1Q2RDaUJGbFpseG1ETWg2SzFzUUw2Z21yU0doUVpEU3VHWVpVeV8xX1FfSDZodFdTTlNPWXJFcjF3MVdVSm1ZTUtpSjA4UHRrX0xod1VTRWVr?oc=5" TargetMode="External" Id="rId90"/><Relationship Type="http://schemas.openxmlformats.org/officeDocument/2006/relationships/hyperlink" Target="https://news.google.com/rss/articles/CBMivAFBVV95cUxNZml0aVZ5bXdxS2ZKMUFLZWNlNlZRQm83cHFYN1RiUkN3THVtc2FDQkxOZG9EbnIxWWI5V05Gc2ZEZmwxVEk4amtKMUZjMlZxQmhoZTFneUkyQ2FGX1dTeDlBSTJISWZRNXhhYzJuUVlVNUFNcmgwR2VJcnppTndUMzRTT2ZmY3JOOGl5MmF5Q3ZrUmVmQ1ViLXdkWDZRNFJIWkI4RW0xc0xBUjR4bXpGZVpWZVIwU3JOLWNRWA?oc=5" TargetMode="External" Id="rId91"/><Relationship Type="http://schemas.openxmlformats.org/officeDocument/2006/relationships/hyperlink" Target="https://news.google.com/rss/articles/CBMi1AFBVV95cUxQUnVabTlNRnFrRHMyNFVFaW1GUVI0eW9qY1B2WVhLMkJvTXp4aEhXMjY1dzQ0MUs2THpaLW5CUElaTGxPTG9hOFpzbzlNVWM1Rm14eUpNM1JLV3RWUE54TTVZeUlVb1JHaTIwYlZLdzR5MGFSYk9aNm9Jekw1YXZrcTA2WVhvNERqb3F5a1d6WW9ObS1YOHd2NkdXaU1relNraUI0UFk5a3VaVnhWQjJ6bHVaSk44NFNaM0xoZWs0QkljZ3pObVBrSTl1SmZqdUhTNHpKNA?oc=5" TargetMode="External" Id="rId92"/><Relationship Type="http://schemas.openxmlformats.org/officeDocument/2006/relationships/hyperlink" Target="https://news.google.com/rss/articles/CBMiwgFBVV95cUxQbkdzUE9PMEFmYlU1ZzRVRWtMSUR2QnNYeGU1bkdMb3hrd1ppSko4ZnJaUHFfelhicHV1SFVWenMwR0hmcHp2cnZTVzhjWlYzT1M4MUQ1WEM5WGlDQV9RdktDZm9BYkIyVmFNRUtfVVhGNXRIVkFucFZVLWZxWkNGbHdKLUlVZ2NBcmhoUS14djducUE1LXlVSXhwUTRMZTZnM0NrOE9ObVZQZ0dlMGxnNzlpenN5VmRqaDN6cWdCVWZxdw?oc=5" TargetMode="External" Id="rId93"/><Relationship Type="http://schemas.openxmlformats.org/officeDocument/2006/relationships/hyperlink" Target="https://news.google.com/rss/articles/CBMibEFVX3lxTE0zZDB2ajBwYjVCYzNlTWRQRGJqRHdsTmhxbFVveVplSDBHaDBYeHhvSHp0ZFRDdk85RWNLYjZHMXZfWjVoZ05GcHR0VWt0OVZ0eFBhWlliY05xSXJvZW8zUFF3cThzMEd4REhYWA?oc=5" TargetMode="External" Id="rId94"/><Relationship Type="http://schemas.openxmlformats.org/officeDocument/2006/relationships/hyperlink" Target="https://news.google.com/rss/articles/CBMi0AFBVV95cUxQbGdZNlFsSXBfZ2dsT0xIcktzVW5MWjlHMnVhRUprczlGZzJRaF9PTUg2YjVzQ0NPdW9GSmJvbUVEOXJiVi0wTEJrV0ZCcmMwYURobUtRT2pySWZVRGFob1l3UHFOVWZQNXNtV2thbEVXWHpOb0JmNGNpQWFkVkdkOUtTdWFOSkNqTFFfbEVYdmhGeWdkLXlxZmVOLUFmb3JTaFNtaGNVdlNIdW13Q0J3VDUzYUZmTUFSQW5DeG85LWJYWnVkMHlzLXA1UHFwU250?oc=5" TargetMode="External" Id="rId95"/><Relationship Type="http://schemas.openxmlformats.org/officeDocument/2006/relationships/hyperlink" Target="https://news.google.com/rss/articles/CBMi2wFBVV95cUxPNVY4djR0M0xNQWI4dUltb0hiY0pBV0RERmduWkxPd05zT0xvWDR6TkI4UnFlWEpXQ2RoeUdzTmVCYTltSlBNWU1uelg5ZmhDLW9YaGNPLTJxeWNOUUk2QWhrd3VOZ2tkZWRtZTI1c3lHUW1qQXlRWUI5QzJ4bDg5a29rSnJ5R2tlbnJvQ3NRR2JNMzVEeG5ERmtNSmcwclc5TmdKVFZsVDlKQnM3QzN2c054Q1M2V2U3MmRKTmFOS2oySGh0dXJQRXpZQXoyaGJfdTVURHFDSW55QlE?oc=5" TargetMode="External" Id="rId96"/><Relationship Type="http://schemas.openxmlformats.org/officeDocument/2006/relationships/hyperlink" Target="https://news.google.com/rss/articles/CBMi-gFBVV95cUxNNE1sZEg3TnFab1JsUHF2XzliYkkwM3hMdjEzbk53X2V3LTVtUVJqV2dOS2NEQkgydldFWldrSDh6R0FPX1JQUkFjZ3JreE9ndTlDYmlTZDBadDVEeWViU3BTQlpiR3FtTnhPZTM4WkxOVGRnTlR2dEZqMWR3WGljb2lmY0R0TUJYYWFKMkhfVDFncm44Y0FWMWhMeTlZYWlzTWZxc0QzU2pPYUxLaVdRMGtMazRwYV9EeHVIMTB4SVdmX1RjcWpkOWVFdVZWTzJuUUl5TVBZLTVWMnNQRm1VZW5Ibk5mR2c5R3VBNzhFcEp1X3RvdmpEdXV30gH_AUFVX3lxTFBUQ0duZTRDbm5MOWpDR3NrSHNxUXF5X3dTT2RfNzRpbTNIVnRCZWlvRDlQLVZEZXU3U1VGaUFUTDRtLXF1T0NoN3VRZThDeFpta2VDai1Pb0tVSVZlRUhnRkxQcEplbmg2ZHVnM1A5V0I3TmZxYUhiV3JBOGd4bTlGVEtqeXNEMlpkLVYteW1zMGViMmx2TV83NTBHcUtQQlJzWTduWUw3cWJ3c0RSRTRNeGpKNUM4cllGa21ET0RmLWJhcXB2eG15b1o5cVRHb0RTTW9qRTN0d1NKMGFKLXFkODJHQ3F6dnh3bG44V0VBTXFuUXlJdzJRdk9oYWNMVQ?oc=5" TargetMode="External" Id="rId97"/><Relationship Type="http://schemas.openxmlformats.org/officeDocument/2006/relationships/hyperlink" Target="https://news.google.com/rss/articles/CBMiuwFBVV95cUxQUDZNMl9jaU1lRUEwUVBNUnhXa2RHQUprUy1pT3lxWURUNGZ1c1QtcTVBRmprSjBCZU5NM2xtdjZuWlgxNUMxQ1BfXzJNYjdjR0xoeTl3R3I4ZjJpV1NLVS1ZTG9UQUhzU0FvT0FHVXdrVlc0NXcxODRwamtoOEJSQnJLVG1zVHhKcGxHNFVYNnQyaG9oWjhpSHY0VjFLMWtVS1hPSW9mTW1rRVdMTVotalhyckRBeURjV0dJ?oc=5" TargetMode="External" Id="rId98"/><Relationship Type="http://schemas.openxmlformats.org/officeDocument/2006/relationships/hyperlink" Target="https://news.google.com/rss/articles/CBMi5AFBVV95cUxNREM5U0RlMEpDdjZ2ZUI5SE5rTjVrNUVCRFppeXBWLVdHS0VtSHR0cW1QWmhXbkRITHkwV3JIYVBxRkJWbEFodHgtWVlNRjktaU5TU1k2bXVZS1A0cGFINEJ6YWhZOGUweDhtTkJ1Yi1ja1FoVXNfU1Q2ZnhxSWZMMkk0TlVySmhudW1ZOEZvbW5mT05UUV9jZGxQbEY1UTdSSFRGMi12MGNMeGUtbnliUzFuOUx5WnlVdUt2WWdoeXZrSjdoTkJ2NUhUSVhrZ1Y0Uk8tOWVkdmdSemwtaEU2cDVMVHQ?oc=5" TargetMode="External" Id="rId99"/><Relationship Type="http://schemas.openxmlformats.org/officeDocument/2006/relationships/hyperlink" Target="https://news.google.com/rss/articles/CBMiigJBVV95cUxOZWxqMXZEZGVSWUJ0eVdGRjBnT1ZpQUxlNFBpdFQ4eGtyTU9zdkhmTFdNck9yeFRZY2JpZUgzZ3ZSREJieGd2ZEZiLXRITzRUb1dMekpsQmVCdnFSTWR3RjdwRXZQMFBMakF5MmlFTF9HWlFwSllMZzNBaTdJV1JMcUVicU93YXJ3QktaTFF6RnlkR18xMUlsSmZIQllRRU0wTUo2bFJVaGYyRVZ6eXZzcnNLSmJTc3M3TTRycGNZU0h4QkRHWl9fbXRoQ0dDYjB0NjdnQlRtemFQcTBLZmd2OGVzZWdRaTdpWUhUeTBwLUZkdzlBVElGQ2FsX3IzVkh5N2RSQjdDYnBYd9IBjwJBVV95cUxObnpMOVFET0pOYWt1cHJoWXE5R1d4Y2t5MFdtYU81QXV2OGlKWklrLVY0OTNHTk1pbHhTMlN1cGZ0eUNkb0ExbXZhTUJQZmVxNkpPUEl3ZXVQcjZNQmF1T1pueEE5ak53dXdZSzFTYlR5WmN6dW0xeFZJSDRrczRld1dWS2t5QTZFUVhVZUUxX045THpaQlFUbUlrUGpIOTdOZUxONFhRZGM0ZGNGVGVvLTFEb1NjMGZUa1hMcFRWT2h3T0cwdXRkTkJGc185N3hyLUVGUEZnVzUtVEY3eEFheWtCODJWSFJLX0s5bExvUXV2MEZESDEwSGxaYlZ6Ym1QUHY0TWcxYUZycjRLS2pJ?oc=5" TargetMode="External" Id="rId100"/><Relationship Type="http://schemas.openxmlformats.org/officeDocument/2006/relationships/hyperlink" Target="https://news.google.com/rss/articles/CBMiPkFVX3lxTE15aFBDQy1lOHpHNnVLU3dRM1lsWmNDMVRQNWJPcXBDSklxT1VIUnVxVDMwRHJsRTJtdmNLcEd3?oc=5" TargetMode="External" Id="rId101"/><Relationship Type="http://schemas.openxmlformats.org/officeDocument/2006/relationships/hyperlink" Target="https://news.google.com/rss/articles/CBMiugFBVV95cUxOQVhDNmVvaVR2emxWTVJfQ1ZHYlFnelh6S3BJQTF2d3kwMWY5T0JjQmo3T2t5ZDdrS0FtVmpXR1o2bWpPMjNUTHExY2RITEtBQmRuRlBOQTk0R0I3YUo5T0ZZODJmQUJPcGZSVWJKaU40REtvVTJ3U1dWS3BVU0ozbzdTNXl5bTdOZU9YMFE2Y0pqNlNleEtIZUhDNGRsNmJPV2RKNGNDRkkzUy1oX05iV05WZFg4UXNuSGc?oc=5" TargetMode="External" Id="rId102"/><Relationship Type="http://schemas.openxmlformats.org/officeDocument/2006/relationships/hyperlink" Target=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Q?oc=5" TargetMode="External" Id="rId103"/><Relationship Type="http://schemas.openxmlformats.org/officeDocument/2006/relationships/hyperlink" Target="https://news.google.com/rss/articles/CBMi1wFBVV95cUxQaHNMNE94WElpelJxRFNZMmFoS1p0a2lrZUFFa2Vla0JFb2psbEVOSW5HY2pCNjZ5VzBfa1lyem8zRktLVVduZ1hlc1E0aW0yQ0Fxb0ZSUFJZLWlMd3hKZjFqY1VaOTRSNGxpN3QzbVNvaFhoX2Zyc2JueHVtRWRyTkhkalBPZ2M1dWdwU2NFWURyTmFLUjFvV3NybkJiTVpQYy1Fd1dLMlRxRHFZWGNobWpUclFZQ184OGk2eFRqUFBaWF9sT1FiUlJ2SjdpWTZCT1ktVzhNdw?oc=5" TargetMode="External" Id="rId104"/><Relationship Type="http://schemas.openxmlformats.org/officeDocument/2006/relationships/hyperlink" Target="https://news.google.com/rss/articles/CBMiuAFBVV95cUxOdmJralJGWE1fLW5aS3pPVTJpWkN0SmhfVkpESTBaMzRZdzltRE1ISWlNOWdiZmZzSlFnTGhMSGFUYWM3eEJFV2R4UU9qZ3dFclBsOFdUZnNUdzFoU0FHZlVJdU5WTFQ2ckN1RTJid2ptZlMtV3A0MmhrWU9JejA1WU50R1VtTjVZTjZIblprWXZjWWx2Ykl3SHVDeDBNVGFHUzJfOU5Jb3ZleEJTUEt3dzFBeS1HXzlT?oc=5" TargetMode="External" Id="rId105"/><Relationship Type="http://schemas.openxmlformats.org/officeDocument/2006/relationships/hyperlink" Target="https://news.google.com/rss/articles/CBMi4AFBVV95cUxNcWx3OHlCVWF0Q2luOGtBZnNNWTBYQzhDUkxpM1R5Z28xa2xjdjRjZ2VoVGJrOFJZWEhOdE1WbWxhUFplWWRKUERXbld2NS1XQXZ4M0d3eFMxOVJFeGRvX3pKQUd0Rk0xN1FfTVl2c09PWmdCN1NLWGJZVnAzelViaVpKM3hacFpVZ1ZYd1dNNWJBd3ppOENxQ2dZN3dySF90dTFVY3FYRGxSLUcta09IVTRhWTNqS3dZOER6V0xLMTNCY1VkTllnNWZrYm9oV1FhQzBiZFhXa1hLQmFaNk5uRA?oc=5" TargetMode="External" Id="rId106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107"/><Relationship Type="http://schemas.openxmlformats.org/officeDocument/2006/relationships/hyperlink" Target="https://news.google.com/rss/articles/CBMivwFBVV95cUxNbUxQbk15WFNjZ1lwaGJEUnpSTTJJd0NVbFg1andHc01RVk9HZmNFX2QzSlQ3NnRHaFFab3ozcmdWdzFWbE9oX2pRMlBISnMxc2FtQWY3bEpPdDBBOWo0ZHR6VnlveGluUmVhZ1d6cWdWZHgyYTM1ZDA0bkJMQU93SHBlSXFJcVNrRVc5Q1BySVJlRjA2NzZ0cENhTU95cFVZR2E1eHo1VmRVTUNKWkNfNVJfa2VrRG5TWTU1Y2lucw?oc=5" TargetMode="External" Id="rId108"/><Relationship Type="http://schemas.openxmlformats.org/officeDocument/2006/relationships/hyperlink" Target="https://news.google.com/rss/articles/CBMihwJBVV95cUxPaEUxRHZBbkRBUzlydDJORXowU0dlVkQ0SEVlU0dhTTAzNExXbGlRMXVxR3Z0Yzk5aG4zSWE1Z01aUGZnNl9FaFhVZGd5bEplRDgxQzlJbko1bjZuS0htbm1fSGhCSEF1UzJjdFFZNUw3THJnM3hLZG5FNkJIYmZjbWd0UDlnMG9HZVd2MUhwRjF1YmRUaVpEUTZzY0Q0LXdRN3paR0s4QkRRbThLZGtTTW9jZGRjNFp4cVJFOTg1TE1yR3hFampYWmRwclZzTG1teGdZZzBCNVd2VHNNX0h6Vm5lMDdrSnhibFBORGxhblQyeUFVTHo5bzZ6UzFYWHA5d0tPaDh1MA?oc=5" TargetMode="External" Id="rId109"/><Relationship Type="http://schemas.openxmlformats.org/officeDocument/2006/relationships/hyperlink" Target="https://news.google.com/rss/articles/CBMihAJBVV95cUxObV9ZdXRJSENGN0ptRUN6SFJEUkp4X0xJX0NQYXN6NjJYMXJIOWVDaGxHVHp4RlhQTC1YZjdORW5taGN1akJVSXJwak84U1JsQ0lXUWRZRTJuM3JvNDZPY3paUzUwVmhINUJUZjRuYlZjbWNLS0xvaDdnRWt2TmN4QTd3bHZ1Z0RuaTdndTY4WWpPeXh1YXliaHdQOEd5VmExVnJIbHN1NnpqazF3SEZNQlViMDVhM0RZS2NQWTJjQkVINUN3VEhXblc5N3paTFRjcnJjVTZ6eWlIOGNhRTBXUkRFRDBMTHFiRG5RQnVZTndnRU16YVU2MV83Nkw0UWxzaDRFWA?oc=5" TargetMode="External" Id="rId110"/><Relationship Type="http://schemas.openxmlformats.org/officeDocument/2006/relationships/hyperlink" Target=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 TargetMode="External" Id="rId111"/><Relationship Type="http://schemas.openxmlformats.org/officeDocument/2006/relationships/hyperlink" Target="https://news.google.com/rss/articles/CBMidkFVX3lxTE14VHZsbnp5Q3dnTngtYXRSLXV2dnowdURVZlluN3NCMjBoaElXOWFhRWJ5eExhSlRQNlhtbm9SMGgtdWUxTEI1c2ZZUUJodlRFSDlJWkg0WlgxQTFrN010eFdXTERrSnFaMFNNSnNRRmx0NGk3MVE?oc=5" TargetMode="External" Id="rId112"/><Relationship Type="http://schemas.openxmlformats.org/officeDocument/2006/relationships/hyperlink" Target=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 TargetMode="External" Id="rId113"/><Relationship Type="http://schemas.openxmlformats.org/officeDocument/2006/relationships/hyperlink" Target="https://news.google.com/rss/articles/CBMiwAFBVV95cUxNS2ctOGI1ZUg2UF80cVJpU2FCRmFkNVF3OUdvU254ZS16Y05aU1dfT3o4ZXRMWGo5NXFqc1VKeU9wd1Y4M0dTSDVyemZzLWxIOTU4MVBWUUZkal9sc1lrWG1EY1V2czBON0dGWkhYUkc0YmNOYll2dzhUWFA5ZGlJbkxnekZtUVJtd1lCSE54cmdRSnBwRlBpeXdzb25aLXhCMHV5NlFfb1pZSDVYUzdRVXBWUzR0QWk1eDFpTnFoVkE?oc=5" TargetMode="External" Id="rId114"/><Relationship Type="http://schemas.openxmlformats.org/officeDocument/2006/relationships/hyperlink" Target=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 TargetMode="External" Id="rId115"/><Relationship Type="http://schemas.openxmlformats.org/officeDocument/2006/relationships/hyperlink" Target="https://news.google.com/rss/articles/CBMiiwFBVV95cUxOclNkVWQzN2J2MHNMc01iQmg3OUp1c0EwYmUySGdTbm94aTJjSUMwVnZHQzExWE1hMGNvcjFDVndjQ0tBXzZlMkZMSkNlUjVWb2NiV1h2dEZxVGhQRkdjZmlfbEpuN1lCM2tsa0swdGo4TFFIMDIzdDBjd3hGckNtdHZmVXlJcmx5bDNJ?oc=5" TargetMode="External" Id="rId116"/><Relationship Type="http://schemas.openxmlformats.org/officeDocument/2006/relationships/hyperlink" Target="https://news.google.com/rss/articles/CBMiigFBVV95cUxQMWUxakhUX0ZRR3Y5UUxxblp6eURHQ2k3V0daRTVVY1RGRGJCQ2dHbU5zcUVFNnY3T2ZpT09nMHNKcDdnOHA5T2dtcmhvSnFpLVhEVnhIN1Q0M2xfZ216RnRxdHVLNnAwWkVOdXUxQldhUU5hb3YxN3pxYWY3bEJ3TEhmRXBMUHF4TEE?oc=5" TargetMode="External" Id="rId117"/><Relationship Type="http://schemas.openxmlformats.org/officeDocument/2006/relationships/hyperlink" Target="https://news.google.com/rss/articles/CBMigwFBVV95cUxNMHFwSkVtRTVPQ0F5LUxyNzdnS3BZMGYwMXl2NVRXNkNXN3ktM2lKMVlPeEtPdU9XMWw4Nk1RQS1FTm9DM1ItdDNPZDRIa2lWc18tM0RxOFB6bndPYkFya0xvVzlkakM0cnBQTGtfd1o0MDU4VDhUSUtDU3RqaDR1S0NTaw?oc=5" TargetMode="External" Id="rId118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19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120"/><Relationship Type="http://schemas.openxmlformats.org/officeDocument/2006/relationships/hyperlink" Target="https://news.google.com/rss/articles/CBMiowFBVV95cUxQSlJoQ3Y4b1BtVE83ZDN5amthN0o5SXJZQlBwdzlkTXBwSUFGQmdwczNzenQ1aHQxdWMtQ1liaWdDV3hELUdMRXdfQXRwcXZoUG8zMmxwRUU5WHIzaVlBb3lROVRDOGJJWEsweTBvbkVPNWJvZl85Q3huaVJtZ2JtY1hHcV85N2UzTnlHZk03dEU2NjlFaHN1TU11TEVpTE5RV2Rn0gGqAUFVX3lxTE5kRGFuTUhWbFJHOVZuVlBlMXJkZzNsd0RUQXY2VlNoYl9nUlZZX1Q4ZmtpcUxmS0trMm5uZGlLd0RPT1hlWVBfTVhIdjJtZk9kVTF2ZkxNdWJ2SlhsV29TVEkxVTFIaWlxNXFCTnY0clVLeExrWWliWlMtcWRiVWFlMUQwZ09XdnVndHpWOUZ2aXJHTTJhbGpSRVV6c01OSkVOa2tCTVNHdzNB?oc=5" TargetMode="External" Id="rId121"/><Relationship Type="http://schemas.openxmlformats.org/officeDocument/2006/relationships/hyperlink" Target=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 TargetMode="External" Id="rId122"/><Relationship Type="http://schemas.openxmlformats.org/officeDocument/2006/relationships/hyperlink" Target=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 TargetMode="External" Id="rId123"/><Relationship Type="http://schemas.openxmlformats.org/officeDocument/2006/relationships/hyperlink" Target="https://news.google.com/rss/articles/CBMihAJBVV95cUxONnJMM3BTT1ZsdmNEZ3hLQlJRa2hqMWtuVUdyVzl3UnVOZFlqeTNRbWZJQTZxcjNTNFRSanZUb2Jtdll0OGhkQ2MzSjFxdUxWRlZVendyOHoyOW1YNmhWSkdSNUpMdFJTRnRKWGd6MEx0aWM4QzhiNVQ1SThIWUtBOWpSd3NteW5hQU1qblNiTEpqMWZBSzVLRElpSVRwdF8xTDdqX004UUEwTTFIdDFpaUl3bFNOMnFxLTN5czVsdWVXb2lpTzJZd1lfZVJvbE5ZWDlYR3RFOEVBUjJyaXZ0MHc5YnlDSS1PLUpWTk43UXYtNjQzYkx4WWU5N2xnVkVqU0FDZtIBiwJBVV95cUxNeVJHamZ4anZFR05lQjB3YzQzYkVfTy00WUE3X0Q3ellsNjc0M05uUGxiWGdULXhPb25KVktfeldvcVdIY28yZnY3ZGR6N3MyS1FNcU5VYk9vT0xNUS04M09BdkVKaUJyMkdoQ19GVmZLZUs5Wm5mRzJEeFRTUmJqVnYyelMyQlN0WUpfVktxam9xUXp0V1ExZ3VTQTF5RmQwdXU0a0hSYlVUTVBhbEF5WkFpU3g0UzJGeDNiaTNfeVVUaGV5c2lCbXltb2VNdF96cUNQWVRBeF9tdDRQT3RUMzhJbzlEWHVJLXF3VGx5dl9FbWNYdVhmT2diZWZHd2YwbEVSbTkzZ2xVdm8?oc=5" TargetMode="External" Id="rId124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125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126"/><Relationship Type="http://schemas.openxmlformats.org/officeDocument/2006/relationships/hyperlink" Target="https://news.google.com/rss/articles/CBMiO0FVX3lxTE9tYXdkQlN2Q3hJZDFFeGU1Y2dHcS1KQzc5ZWRaOHJldGlEQm1GUmVwRHFRdWd2SkRWUGRR?oc=5" TargetMode="External" Id="rId127"/><Relationship Type="http://schemas.openxmlformats.org/officeDocument/2006/relationships/hyperlink" Target=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 TargetMode="External" Id="rId128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129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130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21 of 21  •  Exit day — batch complete  •  Exit ~2026-10-28  •  Updated 28-Oct-2026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21/21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4" t="inlineStr">
        <is>
          <t>100%</t>
        </is>
      </c>
    </row>
    <row r="7">
      <c r="B7" s="6" t="inlineStr">
        <is>
          <t>CURRENT DAY</t>
        </is>
      </c>
      <c r="C7" s="7" t="n"/>
      <c r="E7" s="6" t="inlineStr">
        <is>
          <t>LAST SESSION</t>
        </is>
      </c>
      <c r="F7" s="7" t="n"/>
      <c r="H7" s="6" t="inlineStr">
        <is>
          <t>INVESTED</t>
        </is>
      </c>
      <c r="I7" s="7" t="n"/>
      <c r="K7" s="6" t="inlineStr">
        <is>
          <t>MARKET VALUE</t>
        </is>
      </c>
      <c r="L7" s="7" t="n"/>
    </row>
    <row r="8" ht="26" customHeight="1">
      <c r="B8" s="8" t="inlineStr">
        <is>
          <t>Day 21 / 21</t>
        </is>
      </c>
      <c r="C8" s="9" t="n"/>
      <c r="E8" s="8" t="inlineStr">
        <is>
          <t>2026-10-28</t>
        </is>
      </c>
      <c r="F8" s="9" t="n"/>
      <c r="H8" s="10">
        <f>'Daily Closes'!E16</f>
        <v/>
      </c>
      <c r="I8" s="9" t="n"/>
      <c r="K8" s="10">
        <f>'Daily Closes'!AB16</f>
        <v/>
      </c>
      <c r="L8" s="9" t="n"/>
    </row>
    <row r="9">
      <c r="B9" s="11" t="inlineStr">
        <is>
          <t>Exit day — batch complete</t>
        </is>
      </c>
      <c r="C9" s="9" t="n"/>
      <c r="E9" s="11" t="inlineStr">
        <is>
          <t>Exit ~2026-10-28</t>
        </is>
      </c>
      <c r="F9" s="9" t="n"/>
      <c r="H9" s="11" t="inlineStr">
        <is>
          <t>Qty × entry price</t>
        </is>
      </c>
      <c r="I9" s="9" t="n"/>
      <c r="K9" s="11" t="inlineStr">
        <is>
          <t>At latest close</t>
        </is>
      </c>
      <c r="L9" s="9" t="n"/>
    </row>
    <row r="11">
      <c r="B11" s="6" t="inlineStr">
        <is>
          <t>GROSS P&amp;L</t>
        </is>
      </c>
      <c r="C11" s="7" t="n"/>
      <c r="E11" s="6" t="inlineStr">
        <is>
          <t>GROSS RETURN</t>
        </is>
      </c>
      <c r="F11" s="7" t="n"/>
      <c r="H11" s="6" t="inlineStr">
        <is>
          <t>EST. COSTS</t>
        </is>
      </c>
      <c r="I11" s="7" t="n"/>
      <c r="K11" s="6" t="inlineStr">
        <is>
          <t>NET P&amp;L</t>
        </is>
      </c>
      <c r="L11" s="7" t="n"/>
    </row>
    <row r="12" ht="26" customHeight="1">
      <c r="B12" s="10">
        <f>'Daily Closes'!AD16</f>
        <v/>
      </c>
      <c r="C12" s="9" t="n"/>
      <c r="E12" s="12">
        <f>'Daily Closes'!AC16</f>
        <v/>
      </c>
      <c r="F12" s="9" t="n"/>
      <c r="H12" s="10">
        <f>'Daily Closes'!E16*0.006</f>
        <v/>
      </c>
      <c r="I12" s="9" t="n"/>
      <c r="K12" s="10">
        <f>B12-H12</f>
        <v/>
      </c>
      <c r="L12" s="9" t="n"/>
    </row>
    <row r="13">
      <c r="B13" s="11" t="inlineStr">
        <is>
          <t>Before costs</t>
        </is>
      </c>
      <c r="C13" s="9" t="n"/>
      <c r="E13" s="11" t="inlineStr">
        <is>
          <t>vs entry</t>
        </is>
      </c>
      <c r="F13" s="9" t="n"/>
      <c r="H13" s="11" t="inlineStr">
        <is>
          <t>0.6% round trip</t>
        </is>
      </c>
      <c r="I13" s="9" t="n"/>
      <c r="K13" s="11" t="inlineStr">
        <is>
          <t>After est. costs</t>
        </is>
      </c>
      <c r="L13" s="9" t="n"/>
    </row>
    <row r="15">
      <c r="B15" s="6" t="inlineStr">
        <is>
          <t>NIFTY 50</t>
        </is>
      </c>
      <c r="C15" s="7" t="n"/>
      <c r="E15" s="6" t="inlineStr">
        <is>
          <t>ALPHA vs NIFTY</t>
        </is>
      </c>
      <c r="F15" s="7" t="n"/>
      <c r="H15" s="6" t="inlineStr">
        <is>
          <t>WINNERS / LOSERS</t>
        </is>
      </c>
      <c r="I15" s="7" t="n"/>
      <c r="K15" s="6" t="inlineStr">
        <is>
          <t>MAX DRAWDOWN</t>
        </is>
      </c>
      <c r="L15" s="7" t="n"/>
    </row>
    <row r="16" ht="26" customHeight="1">
      <c r="B16" s="12" t="n">
        <v>-0.003573270705984455</v>
      </c>
      <c r="C16" s="9" t="n"/>
      <c r="E16" s="12" t="n">
        <v>-0.01081670664745867</v>
      </c>
      <c r="F16" s="9" t="n"/>
      <c r="H16" s="8" t="inlineStr">
        <is>
          <t>3 / 7</t>
        </is>
      </c>
      <c r="I16" s="9" t="n"/>
      <c r="K16" s="12" t="n">
        <v>-0.150584720878524</v>
      </c>
      <c r="L16" s="9" t="n"/>
    </row>
    <row r="17">
      <c r="B17" s="11" t="inlineStr">
        <is>
          <t>Same window</t>
        </is>
      </c>
      <c r="C17" s="9" t="n"/>
      <c r="E17" s="11" t="inlineStr">
        <is>
          <t>Gross return − Nifty</t>
        </is>
      </c>
      <c r="F17" s="9" t="n"/>
      <c r="H17" s="11" t="inlineStr">
        <is>
          <t>of 10 stocks</t>
        </is>
      </c>
      <c r="I17" s="9" t="n"/>
      <c r="K17" s="11" t="inlineStr">
        <is>
          <t>Peak-to-trough, portfolio</t>
        </is>
      </c>
      <c r="L17" s="9" t="n"/>
    </row>
    <row r="19">
      <c r="B19" s="13" t="inlineStr">
        <is>
          <t>STOCK LEAGUE TABLE (sorted by return)</t>
        </is>
      </c>
    </row>
    <row r="20">
      <c r="B20" s="14" t="inlineStr">
        <is>
          <t>Symbol</t>
        </is>
      </c>
      <c r="C20" s="14" t="inlineStr">
        <is>
          <t>Qty</t>
        </is>
      </c>
      <c r="D20" s="14" t="inlineStr">
        <is>
          <t>Entry ₹</t>
        </is>
      </c>
      <c r="E20" s="14" t="inlineStr">
        <is>
          <t>Last ₹</t>
        </is>
      </c>
      <c r="F20" s="14" t="inlineStr">
        <is>
          <t>Return %</t>
        </is>
      </c>
      <c r="G20" s="14" t="inlineStr">
        <is>
          <t>P&amp;L ₹</t>
        </is>
      </c>
      <c r="H20" s="14" t="inlineStr">
        <is>
          <t>Max gain %</t>
        </is>
      </c>
      <c r="I20" s="14" t="inlineStr">
        <is>
          <t>Max loss %</t>
        </is>
      </c>
      <c r="J20" s="14" t="inlineStr">
        <is>
          <t>Weight %</t>
        </is>
      </c>
      <c r="K20" s="14" t="inlineStr">
        <is>
          <t>Contrib %</t>
        </is>
      </c>
    </row>
    <row r="21">
      <c r="B21" s="15" t="inlineStr">
        <is>
          <t>ATHERENERG</t>
        </is>
      </c>
      <c r="C21" s="16" t="n">
        <v>10</v>
      </c>
      <c r="D21" s="17" t="n">
        <v>1460.2</v>
      </c>
      <c r="E21" s="17" t="n">
        <v>1650</v>
      </c>
      <c r="F21" s="18" t="n">
        <v>0.129982</v>
      </c>
      <c r="G21" s="19" t="n">
        <v>1898</v>
      </c>
      <c r="H21" s="18" t="n">
        <v>0.146418</v>
      </c>
      <c r="I21" s="18" t="n">
        <v>-0.054924</v>
      </c>
      <c r="J21" s="20" t="n">
        <v>0.104333</v>
      </c>
      <c r="K21" s="18" t="n">
        <v>0.013561</v>
      </c>
    </row>
    <row r="22">
      <c r="B22" s="21" t="inlineStr">
        <is>
          <t>ACUTAAS</t>
        </is>
      </c>
      <c r="C22" s="22" t="n">
        <v>4</v>
      </c>
      <c r="D22" s="23" t="n">
        <v>3290</v>
      </c>
      <c r="E22" s="23" t="n">
        <v>3710</v>
      </c>
      <c r="F22" s="24" t="n">
        <v>0.12766</v>
      </c>
      <c r="G22" s="25" t="n">
        <v>1680</v>
      </c>
      <c r="H22" s="24" t="n">
        <v>0.152979</v>
      </c>
      <c r="I22" s="24" t="n">
        <v>-0.070912</v>
      </c>
      <c r="J22" s="26" t="n">
        <v>0.09403</v>
      </c>
      <c r="K22" s="24" t="n">
        <v>0.012004</v>
      </c>
    </row>
    <row r="23">
      <c r="B23" s="15" t="inlineStr">
        <is>
          <t>LAURUSLABS</t>
        </is>
      </c>
      <c r="C23" s="16" t="n">
        <v>7</v>
      </c>
      <c r="D23" s="17" t="n">
        <v>2020.7</v>
      </c>
      <c r="E23" s="17" t="n">
        <v>2181.9</v>
      </c>
      <c r="F23" s="18" t="n">
        <v>0.079774</v>
      </c>
      <c r="G23" s="19" t="n">
        <v>1128.4</v>
      </c>
      <c r="H23" s="18" t="n">
        <v>0.079774</v>
      </c>
      <c r="I23" s="18" t="n">
        <v>-0.02509</v>
      </c>
      <c r="J23" s="20" t="n">
        <v>0.101067</v>
      </c>
      <c r="K23" s="18" t="n">
        <v>0.008063000000000001</v>
      </c>
    </row>
    <row r="24">
      <c r="B24" s="21" t="inlineStr">
        <is>
          <t>TDPOWERSYS</t>
        </is>
      </c>
      <c r="C24" s="22" t="n">
        <v>20</v>
      </c>
      <c r="D24" s="23" t="n">
        <v>719</v>
      </c>
      <c r="E24" s="23" t="n">
        <v>718.65</v>
      </c>
      <c r="F24" s="24" t="n">
        <v>-0.000487</v>
      </c>
      <c r="G24" s="25" t="n">
        <v>-7</v>
      </c>
      <c r="H24" s="24" t="n">
        <v>0.148331</v>
      </c>
      <c r="I24" s="24" t="n">
        <v>-0.110501</v>
      </c>
      <c r="J24" s="26" t="n">
        <v>0.102747</v>
      </c>
      <c r="K24" s="24" t="n">
        <v>-5e-05</v>
      </c>
    </row>
    <row r="25">
      <c r="B25" s="15" t="inlineStr">
        <is>
          <t>DIACABS</t>
        </is>
      </c>
      <c r="C25" s="16" t="n">
        <v>44</v>
      </c>
      <c r="D25" s="17" t="n">
        <v>336.9</v>
      </c>
      <c r="E25" s="17" t="n">
        <v>325.4</v>
      </c>
      <c r="F25" s="18" t="n">
        <v>-0.034135</v>
      </c>
      <c r="G25" s="19" t="n">
        <v>-506</v>
      </c>
      <c r="H25" s="18" t="n">
        <v>0.130751</v>
      </c>
      <c r="I25" s="18" t="n">
        <v>-0.064856</v>
      </c>
      <c r="J25" s="20" t="n">
        <v>0.105917</v>
      </c>
      <c r="K25" s="18" t="n">
        <v>-0.003615</v>
      </c>
    </row>
    <row r="26">
      <c r="B26" s="21" t="inlineStr">
        <is>
          <t>AEROFLEX</t>
        </is>
      </c>
      <c r="C26" s="22" t="n">
        <v>29</v>
      </c>
      <c r="D26" s="23" t="n">
        <v>511.3</v>
      </c>
      <c r="E26" s="23" t="n">
        <v>492.25</v>
      </c>
      <c r="F26" s="24" t="n">
        <v>-0.037258</v>
      </c>
      <c r="G26" s="25" t="n">
        <v>-552.45</v>
      </c>
      <c r="H26" s="24" t="n">
        <v>0.112263</v>
      </c>
      <c r="I26" s="24" t="n">
        <v>-0.128203</v>
      </c>
      <c r="J26" s="26" t="n">
        <v>0.105946</v>
      </c>
      <c r="K26" s="24" t="n">
        <v>-0.003947</v>
      </c>
    </row>
    <row r="27">
      <c r="B27" s="15" t="inlineStr">
        <is>
          <t>THANGAMAYL</t>
        </is>
      </c>
      <c r="C27" s="16" t="n">
        <v>2</v>
      </c>
      <c r="D27" s="17" t="n">
        <v>5010</v>
      </c>
      <c r="E27" s="17" t="n">
        <v>4680.5</v>
      </c>
      <c r="F27" s="18" t="n">
        <v>-0.06576799999999999</v>
      </c>
      <c r="G27" s="19" t="n">
        <v>-659</v>
      </c>
      <c r="H27" s="18" t="n">
        <v>0.038822</v>
      </c>
      <c r="I27" s="18" t="n">
        <v>-0.07495</v>
      </c>
      <c r="J27" s="20" t="n">
        <v>0.071594</v>
      </c>
      <c r="K27" s="18" t="n">
        <v>-0.004709</v>
      </c>
    </row>
    <row r="28">
      <c r="B28" s="21" t="inlineStr">
        <is>
          <t>RRKABEL</t>
        </is>
      </c>
      <c r="C28" s="22" t="n">
        <v>6</v>
      </c>
      <c r="D28" s="23" t="n">
        <v>2459.8</v>
      </c>
      <c r="E28" s="23" t="n">
        <v>2207.4</v>
      </c>
      <c r="F28" s="24" t="n">
        <v>-0.10261</v>
      </c>
      <c r="G28" s="25" t="n">
        <v>-1514.4</v>
      </c>
      <c r="H28" s="24" t="n">
        <v>0.134117</v>
      </c>
      <c r="I28" s="24" t="n">
        <v>-0.130011</v>
      </c>
      <c r="J28" s="26" t="n">
        <v>0.105454</v>
      </c>
      <c r="K28" s="24" t="n">
        <v>-0.010821</v>
      </c>
    </row>
    <row r="29">
      <c r="B29" s="15" t="inlineStr">
        <is>
          <t>KIRLOSENG</t>
        </is>
      </c>
      <c r="C29" s="16" t="n">
        <v>7</v>
      </c>
      <c r="D29" s="17" t="n">
        <v>2141.2</v>
      </c>
      <c r="E29" s="17" t="n">
        <v>1911.3</v>
      </c>
      <c r="F29" s="18" t="n">
        <v>-0.10737</v>
      </c>
      <c r="G29" s="19" t="n">
        <v>-1609.3</v>
      </c>
      <c r="H29" s="18" t="n">
        <v>0.121801</v>
      </c>
      <c r="I29" s="18" t="n">
        <v>-0.166495</v>
      </c>
      <c r="J29" s="20" t="n">
        <v>0.107094</v>
      </c>
      <c r="K29" s="18" t="n">
        <v>-0.011499</v>
      </c>
    </row>
    <row r="30">
      <c r="B30" s="21" t="inlineStr">
        <is>
          <t>E2E</t>
        </is>
      </c>
      <c r="C30" s="22" t="n">
        <v>23</v>
      </c>
      <c r="D30" s="23" t="n">
        <v>619.55</v>
      </c>
      <c r="E30" s="23" t="n">
        <v>538.15</v>
      </c>
      <c r="F30" s="24" t="n">
        <v>-0.131386</v>
      </c>
      <c r="G30" s="25" t="n">
        <v>-1872.2</v>
      </c>
      <c r="H30" s="24" t="n">
        <v>0.207812</v>
      </c>
      <c r="I30" s="24" t="n">
        <v>-0.131386</v>
      </c>
      <c r="J30" s="26" t="n">
        <v>0.101816</v>
      </c>
      <c r="K30" s="24" t="n">
        <v>-0.013377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21 of 21  •  Exit day — batch complete  •  Exit ~2026-10-28  •  Updated 28-Oct-2026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7" t="inlineStr">
        <is>
          <t>Closes from Day 0 (signal) to Day 21 (exit). Highlighted column = latest session. Grey = future session (projected date).</t>
        </is>
      </c>
    </row>
    <row r="4" ht="20" customHeight="1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28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29" t="inlineStr">
        <is>
          <t>Day 21</t>
        </is>
      </c>
      <c r="AB4" s="30" t="inlineStr">
        <is>
          <t>Last Close</t>
        </is>
      </c>
      <c r="AC4" s="30" t="inlineStr">
        <is>
          <t>Return %</t>
        </is>
      </c>
      <c r="AD4" s="30" t="inlineStr">
        <is>
          <t>P&amp;L ₹</t>
        </is>
      </c>
      <c r="AE4" s="30" t="inlineStr">
        <is>
          <t>Day Chg %</t>
        </is>
      </c>
      <c r="AF4" s="30" t="inlineStr">
        <is>
          <t>Trend</t>
        </is>
      </c>
    </row>
    <row r="5">
      <c r="A5" s="31" t="n"/>
      <c r="B5" s="31" t="n"/>
      <c r="C5" s="31" t="n"/>
      <c r="D5" s="31" t="n"/>
      <c r="E5" s="31" t="n"/>
      <c r="F5" s="32" t="inlineStr">
        <is>
          <t>28-Sep</t>
        </is>
      </c>
      <c r="G5" s="32" t="inlineStr">
        <is>
          <t>29-Sep</t>
        </is>
      </c>
      <c r="H5" s="32" t="inlineStr">
        <is>
          <t>30-Sep</t>
        </is>
      </c>
      <c r="I5" s="32" t="inlineStr">
        <is>
          <t>01-Oct</t>
        </is>
      </c>
      <c r="J5" s="32" t="inlineStr">
        <is>
          <t>02-Oct</t>
        </is>
      </c>
      <c r="K5" s="32" t="inlineStr">
        <is>
          <t>05-Oct</t>
        </is>
      </c>
      <c r="L5" s="32" t="inlineStr">
        <is>
          <t>06-Oct</t>
        </is>
      </c>
      <c r="M5" s="32" t="inlineStr">
        <is>
          <t>07-Oct</t>
        </is>
      </c>
      <c r="N5" s="32" t="inlineStr">
        <is>
          <t>08-Oct</t>
        </is>
      </c>
      <c r="O5" s="32" t="inlineStr">
        <is>
          <t>09-Oct</t>
        </is>
      </c>
      <c r="P5" s="32" t="inlineStr">
        <is>
          <t>12-Oct</t>
        </is>
      </c>
      <c r="Q5" s="32" t="inlineStr">
        <is>
          <t>13-Oct</t>
        </is>
      </c>
      <c r="R5" s="32" t="inlineStr">
        <is>
          <t>14-Oct</t>
        </is>
      </c>
      <c r="S5" s="32" t="inlineStr">
        <is>
          <t>15-Oct</t>
        </is>
      </c>
      <c r="T5" s="32" t="inlineStr">
        <is>
          <t>16-Oct</t>
        </is>
      </c>
      <c r="U5" s="32" t="inlineStr">
        <is>
          <t>19-Oct</t>
        </is>
      </c>
      <c r="V5" s="32" t="inlineStr">
        <is>
          <t>21-Oct</t>
        </is>
      </c>
      <c r="W5" s="32" t="inlineStr">
        <is>
          <t>22-Oct</t>
        </is>
      </c>
      <c r="X5" s="32" t="inlineStr">
        <is>
          <t>23-Oct</t>
        </is>
      </c>
      <c r="Y5" s="32" t="inlineStr">
        <is>
          <t>26-Oct</t>
        </is>
      </c>
      <c r="Z5" s="32" t="inlineStr">
        <is>
          <t>27-Oct</t>
        </is>
      </c>
      <c r="AA5" s="32" t="inlineStr">
        <is>
          <t>28-Oct</t>
        </is>
      </c>
      <c r="AB5" s="31" t="n"/>
      <c r="AC5" s="31" t="n"/>
      <c r="AD5" s="31" t="n"/>
      <c r="AE5" s="31" t="n"/>
      <c r="AF5" s="31" t="n"/>
    </row>
    <row r="6">
      <c r="A6" s="33" t="n">
        <v>1</v>
      </c>
      <c r="B6" s="15" t="inlineStr">
        <is>
          <t>TDPOWERSYS</t>
        </is>
      </c>
      <c r="C6" s="34" t="inlineStr">
        <is>
          <t>INE419M01035</t>
        </is>
      </c>
      <c r="D6" s="16" t="n">
        <v>20</v>
      </c>
      <c r="E6" s="35" t="n">
        <v>719</v>
      </c>
      <c r="F6" s="17" t="n">
        <v>722</v>
      </c>
      <c r="G6" s="17" t="n">
        <v>777.35</v>
      </c>
      <c r="H6" s="17" t="n">
        <v>786.05</v>
      </c>
      <c r="I6" s="17" t="n">
        <v>792.15</v>
      </c>
      <c r="J6" s="17" t="n">
        <v>792.15</v>
      </c>
      <c r="K6" s="17" t="n">
        <v>812.9</v>
      </c>
      <c r="L6" s="17" t="n">
        <v>816</v>
      </c>
      <c r="M6" s="17" t="n">
        <v>821.1</v>
      </c>
      <c r="N6" s="17" t="n">
        <v>793.5</v>
      </c>
      <c r="O6" s="17" t="n">
        <v>793.75</v>
      </c>
      <c r="P6" s="17" t="n">
        <v>825.65</v>
      </c>
      <c r="Q6" s="17" t="n">
        <v>797.85</v>
      </c>
      <c r="R6" s="17" t="n">
        <v>783.7</v>
      </c>
      <c r="S6" s="17" t="n">
        <v>734.75</v>
      </c>
      <c r="T6" s="17" t="n">
        <v>735.15</v>
      </c>
      <c r="U6" s="17" t="n">
        <v>737</v>
      </c>
      <c r="V6" s="17" t="n">
        <v>689.35</v>
      </c>
      <c r="W6" s="17" t="n">
        <v>673.4</v>
      </c>
      <c r="X6" s="17" t="n">
        <v>639.55</v>
      </c>
      <c r="Y6" s="17" t="n">
        <v>688.35</v>
      </c>
      <c r="Z6" s="17" t="n">
        <v>687.2</v>
      </c>
      <c r="AA6" s="36" t="n">
        <v>718.65</v>
      </c>
      <c r="AB6" s="35">
        <f>LOOKUP(2,1/(F6:AA6&lt;&gt;""),F6:AA6)</f>
        <v/>
      </c>
      <c r="AC6" s="37">
        <f>AB6/E6-1</f>
        <v/>
      </c>
      <c r="AD6" s="38">
        <f>D6*(AB6-E6)</f>
        <v/>
      </c>
      <c r="AE6" s="18">
        <f>IFERROR(AA6/Z6-1,0)</f>
        <v/>
      </c>
      <c r="AF6" s="33">
        <f>IF(AC6&gt;0,"▲ Up",IF(AC6&lt;0,"▼ Down","■ Flat"))</f>
        <v/>
      </c>
    </row>
    <row r="7">
      <c r="A7" s="39" t="n">
        <v>2</v>
      </c>
      <c r="B7" s="21" t="inlineStr">
        <is>
          <t>AEROFLEX</t>
        </is>
      </c>
      <c r="C7" s="40" t="inlineStr">
        <is>
          <t>INE024001021</t>
        </is>
      </c>
      <c r="D7" s="22" t="n">
        <v>29</v>
      </c>
      <c r="E7" s="41" t="n">
        <v>511.3</v>
      </c>
      <c r="F7" s="23" t="n">
        <v>513.4</v>
      </c>
      <c r="G7" s="23" t="n">
        <v>539.6</v>
      </c>
      <c r="H7" s="23" t="n">
        <v>536.6</v>
      </c>
      <c r="I7" s="23" t="n">
        <v>521.35</v>
      </c>
      <c r="J7" s="23" t="n">
        <v>521.35</v>
      </c>
      <c r="K7" s="23" t="n">
        <v>544.35</v>
      </c>
      <c r="L7" s="23" t="n">
        <v>560.75</v>
      </c>
      <c r="M7" s="23" t="n">
        <v>563.85</v>
      </c>
      <c r="N7" s="23" t="n">
        <v>529</v>
      </c>
      <c r="O7" s="23" t="n">
        <v>520.5</v>
      </c>
      <c r="P7" s="23" t="n">
        <v>567.9</v>
      </c>
      <c r="Q7" s="23" t="n">
        <v>557.6</v>
      </c>
      <c r="R7" s="23" t="n">
        <v>568.7</v>
      </c>
      <c r="S7" s="23" t="n">
        <v>510.95</v>
      </c>
      <c r="T7" s="23" t="n">
        <v>525.8</v>
      </c>
      <c r="U7" s="23" t="n">
        <v>505.2</v>
      </c>
      <c r="V7" s="23" t="n">
        <v>488.95</v>
      </c>
      <c r="W7" s="23" t="n">
        <v>479.45</v>
      </c>
      <c r="X7" s="23" t="n">
        <v>451.3</v>
      </c>
      <c r="Y7" s="23" t="n">
        <v>445.75</v>
      </c>
      <c r="Z7" s="23" t="n">
        <v>481.55</v>
      </c>
      <c r="AA7" s="36" t="n">
        <v>492.25</v>
      </c>
      <c r="AB7" s="35">
        <f>LOOKUP(2,1/(F7:AA7&lt;&gt;""),F7:AA7)</f>
        <v/>
      </c>
      <c r="AC7" s="37">
        <f>AB7/E7-1</f>
        <v/>
      </c>
      <c r="AD7" s="38">
        <f>D7*(AB7-E7)</f>
        <v/>
      </c>
      <c r="AE7" s="18">
        <f>IFERROR(AA7/Z7-1,0)</f>
        <v/>
      </c>
      <c r="AF7" s="33">
        <f>IF(AC7&gt;0,"▲ Up",IF(AC7&lt;0,"▼ Down","■ Flat"))</f>
        <v/>
      </c>
    </row>
    <row r="8">
      <c r="A8" s="33" t="n">
        <v>3</v>
      </c>
      <c r="B8" s="15" t="inlineStr">
        <is>
          <t>ATHERENERG</t>
        </is>
      </c>
      <c r="C8" s="34" t="inlineStr">
        <is>
          <t>INE0LEZ01016</t>
        </is>
      </c>
      <c r="D8" s="16" t="n">
        <v>10</v>
      </c>
      <c r="E8" s="35" t="n">
        <v>1460.2</v>
      </c>
      <c r="F8" s="17" t="n">
        <v>1454.9</v>
      </c>
      <c r="G8" s="17" t="n">
        <v>1407</v>
      </c>
      <c r="H8" s="17" t="n">
        <v>1425</v>
      </c>
      <c r="I8" s="17" t="n">
        <v>1406.1</v>
      </c>
      <c r="J8" s="17" t="n">
        <v>1406.1</v>
      </c>
      <c r="K8" s="17" t="n">
        <v>1409.9</v>
      </c>
      <c r="L8" s="17" t="n">
        <v>1446</v>
      </c>
      <c r="M8" s="17" t="n">
        <v>1455</v>
      </c>
      <c r="N8" s="17" t="n">
        <v>1406</v>
      </c>
      <c r="O8" s="17" t="n">
        <v>1434.4</v>
      </c>
      <c r="P8" s="17" t="n">
        <v>1511</v>
      </c>
      <c r="Q8" s="17" t="n">
        <v>1494.9</v>
      </c>
      <c r="R8" s="17" t="n">
        <v>1467</v>
      </c>
      <c r="S8" s="17" t="n">
        <v>1470</v>
      </c>
      <c r="T8" s="17" t="n">
        <v>1470</v>
      </c>
      <c r="U8" s="17" t="n">
        <v>1459</v>
      </c>
      <c r="V8" s="17" t="n">
        <v>1447.2</v>
      </c>
      <c r="W8" s="17" t="n">
        <v>1425.3</v>
      </c>
      <c r="X8" s="17" t="n">
        <v>1380</v>
      </c>
      <c r="Y8" s="17" t="n">
        <v>1575</v>
      </c>
      <c r="Z8" s="17" t="n">
        <v>1674</v>
      </c>
      <c r="AA8" s="36" t="n">
        <v>1650</v>
      </c>
      <c r="AB8" s="35">
        <f>LOOKUP(2,1/(F8:AA8&lt;&gt;""),F8:AA8)</f>
        <v/>
      </c>
      <c r="AC8" s="37">
        <f>AB8/E8-1</f>
        <v/>
      </c>
      <c r="AD8" s="38">
        <f>D8*(AB8-E8)</f>
        <v/>
      </c>
      <c r="AE8" s="18">
        <f>IFERROR(AA8/Z8-1,0)</f>
        <v/>
      </c>
      <c r="AF8" s="33">
        <f>IF(AC8&gt;0,"▲ Up",IF(AC8&lt;0,"▼ Down","■ Flat"))</f>
        <v/>
      </c>
    </row>
    <row r="9">
      <c r="A9" s="39" t="n">
        <v>4</v>
      </c>
      <c r="B9" s="21" t="inlineStr">
        <is>
          <t>THANGAMAYL</t>
        </is>
      </c>
      <c r="C9" s="40" t="inlineStr">
        <is>
          <t>INE085J01014</t>
        </is>
      </c>
      <c r="D9" s="22" t="n">
        <v>2</v>
      </c>
      <c r="E9" s="41" t="n">
        <v>5010</v>
      </c>
      <c r="F9" s="23" t="n">
        <v>5011.5</v>
      </c>
      <c r="G9" s="23" t="n">
        <v>5204.5</v>
      </c>
      <c r="H9" s="23" t="n">
        <v>5062</v>
      </c>
      <c r="I9" s="23" t="n">
        <v>4861</v>
      </c>
      <c r="J9" s="23" t="n">
        <v>4861</v>
      </c>
      <c r="K9" s="23" t="n">
        <v>4747</v>
      </c>
      <c r="L9" s="23" t="n">
        <v>4758.5</v>
      </c>
      <c r="M9" s="23" t="n">
        <v>4803</v>
      </c>
      <c r="N9" s="23" t="n">
        <v>4810.5</v>
      </c>
      <c r="O9" s="23" t="n">
        <v>4889.5</v>
      </c>
      <c r="P9" s="23" t="n">
        <v>4890.5</v>
      </c>
      <c r="Q9" s="23" t="n">
        <v>4900.5</v>
      </c>
      <c r="R9" s="23" t="n">
        <v>4849.5</v>
      </c>
      <c r="S9" s="23" t="n">
        <v>4791</v>
      </c>
      <c r="T9" s="23" t="n">
        <v>5098</v>
      </c>
      <c r="U9" s="23" t="n">
        <v>5017.5</v>
      </c>
      <c r="V9" s="23" t="n">
        <v>4860.5</v>
      </c>
      <c r="W9" s="23" t="n">
        <v>4782.5</v>
      </c>
      <c r="X9" s="23" t="n">
        <v>4690.5</v>
      </c>
      <c r="Y9" s="23" t="n">
        <v>4634.5</v>
      </c>
      <c r="Z9" s="23" t="n">
        <v>4762</v>
      </c>
      <c r="AA9" s="36" t="n">
        <v>4680.5</v>
      </c>
      <c r="AB9" s="35">
        <f>LOOKUP(2,1/(F9:AA9&lt;&gt;""),F9:AA9)</f>
        <v/>
      </c>
      <c r="AC9" s="37">
        <f>AB9/E9-1</f>
        <v/>
      </c>
      <c r="AD9" s="38">
        <f>D9*(AB9-E9)</f>
        <v/>
      </c>
      <c r="AE9" s="18">
        <f>IFERROR(AA9/Z9-1,0)</f>
        <v/>
      </c>
      <c r="AF9" s="33">
        <f>IF(AC9&gt;0,"▲ Up",IF(AC9&lt;0,"▼ Down","■ Flat"))</f>
        <v/>
      </c>
    </row>
    <row r="10">
      <c r="A10" s="33" t="n">
        <v>5</v>
      </c>
      <c r="B10" s="15" t="inlineStr">
        <is>
          <t>RRKABEL</t>
        </is>
      </c>
      <c r="C10" s="34" t="inlineStr">
        <is>
          <t>INE777K01022</t>
        </is>
      </c>
      <c r="D10" s="16" t="n">
        <v>6</v>
      </c>
      <c r="E10" s="35" t="n">
        <v>2459.8</v>
      </c>
      <c r="F10" s="17" t="n">
        <v>2459.8</v>
      </c>
      <c r="G10" s="17" t="n">
        <v>2523.2</v>
      </c>
      <c r="H10" s="17" t="n">
        <v>2518.6</v>
      </c>
      <c r="I10" s="17" t="n">
        <v>2518.2</v>
      </c>
      <c r="J10" s="17" t="n">
        <v>2518.2</v>
      </c>
      <c r="K10" s="17" t="n">
        <v>2648</v>
      </c>
      <c r="L10" s="17" t="n">
        <v>2789.7</v>
      </c>
      <c r="M10" s="17" t="n">
        <v>2722.5</v>
      </c>
      <c r="N10" s="17" t="n">
        <v>2696.4</v>
      </c>
      <c r="O10" s="17" t="n">
        <v>2705.6</v>
      </c>
      <c r="P10" s="17" t="n">
        <v>2721.5</v>
      </c>
      <c r="Q10" s="17" t="n">
        <v>2614.2</v>
      </c>
      <c r="R10" s="17" t="n">
        <v>2664.1</v>
      </c>
      <c r="S10" s="17" t="n">
        <v>2603.9</v>
      </c>
      <c r="T10" s="17" t="n">
        <v>2388</v>
      </c>
      <c r="U10" s="17" t="n">
        <v>2387.8</v>
      </c>
      <c r="V10" s="17" t="n">
        <v>2327.8</v>
      </c>
      <c r="W10" s="17" t="n">
        <v>2263.1</v>
      </c>
      <c r="X10" s="17" t="n">
        <v>2140</v>
      </c>
      <c r="Y10" s="17" t="n">
        <v>2182</v>
      </c>
      <c r="Z10" s="17" t="n">
        <v>2194.4</v>
      </c>
      <c r="AA10" s="36" t="n">
        <v>2207.4</v>
      </c>
      <c r="AB10" s="35">
        <f>LOOKUP(2,1/(F10:AA10&lt;&gt;""),F10:AA10)</f>
        <v/>
      </c>
      <c r="AC10" s="37">
        <f>AB10/E10-1</f>
        <v/>
      </c>
      <c r="AD10" s="38">
        <f>D10*(AB10-E10)</f>
        <v/>
      </c>
      <c r="AE10" s="18">
        <f>IFERROR(AA10/Z10-1,0)</f>
        <v/>
      </c>
      <c r="AF10" s="33">
        <f>IF(AC10&gt;0,"▲ Up",IF(AC10&lt;0,"▼ Down","■ Flat"))</f>
        <v/>
      </c>
    </row>
    <row r="11">
      <c r="A11" s="39" t="n">
        <v>6</v>
      </c>
      <c r="B11" s="21" t="inlineStr">
        <is>
          <t>ACUTAAS</t>
        </is>
      </c>
      <c r="C11" s="40" t="inlineStr">
        <is>
          <t>INE00FF01025</t>
        </is>
      </c>
      <c r="D11" s="22" t="n">
        <v>4</v>
      </c>
      <c r="E11" s="41" t="n">
        <v>3290</v>
      </c>
      <c r="F11" s="23" t="n">
        <v>3214.4</v>
      </c>
      <c r="G11" s="23" t="n">
        <v>3304.1</v>
      </c>
      <c r="H11" s="23" t="n">
        <v>3279.4</v>
      </c>
      <c r="I11" s="23" t="n">
        <v>3196.5</v>
      </c>
      <c r="J11" s="23" t="n">
        <v>3196.5</v>
      </c>
      <c r="K11" s="23" t="n">
        <v>3122.2</v>
      </c>
      <c r="L11" s="23" t="n">
        <v>3156.7</v>
      </c>
      <c r="M11" s="23" t="n">
        <v>3174.2</v>
      </c>
      <c r="N11" s="23" t="n">
        <v>3056.7</v>
      </c>
      <c r="O11" s="23" t="n">
        <v>3160.6</v>
      </c>
      <c r="P11" s="23" t="n">
        <v>3144.1</v>
      </c>
      <c r="Q11" s="23" t="n">
        <v>3176.7</v>
      </c>
      <c r="R11" s="23" t="n">
        <v>3160.5</v>
      </c>
      <c r="S11" s="23" t="n">
        <v>3132.5</v>
      </c>
      <c r="T11" s="23" t="n">
        <v>3206</v>
      </c>
      <c r="U11" s="23" t="n">
        <v>3253.4</v>
      </c>
      <c r="V11" s="23" t="n">
        <v>3152.4</v>
      </c>
      <c r="W11" s="23" t="n">
        <v>3215.3</v>
      </c>
      <c r="X11" s="23" t="n">
        <v>3137.7</v>
      </c>
      <c r="Y11" s="23" t="n">
        <v>3348.8</v>
      </c>
      <c r="Z11" s="23" t="n">
        <v>3793.3</v>
      </c>
      <c r="AA11" s="36" t="n">
        <v>3710</v>
      </c>
      <c r="AB11" s="35">
        <f>LOOKUP(2,1/(F11:AA11&lt;&gt;""),F11:AA11)</f>
        <v/>
      </c>
      <c r="AC11" s="37">
        <f>AB11/E11-1</f>
        <v/>
      </c>
      <c r="AD11" s="38">
        <f>D11*(AB11-E11)</f>
        <v/>
      </c>
      <c r="AE11" s="18">
        <f>IFERROR(AA11/Z11-1,0)</f>
        <v/>
      </c>
      <c r="AF11" s="33">
        <f>IF(AC11&gt;0,"▲ Up",IF(AC11&lt;0,"▼ Down","■ Flat"))</f>
        <v/>
      </c>
    </row>
    <row r="12">
      <c r="A12" s="33" t="n">
        <v>7</v>
      </c>
      <c r="B12" s="15" t="inlineStr">
        <is>
          <t>DIACABS</t>
        </is>
      </c>
      <c r="C12" s="34" t="inlineStr">
        <is>
          <t>INE989C01038</t>
        </is>
      </c>
      <c r="D12" s="16" t="n">
        <v>44</v>
      </c>
      <c r="E12" s="35" t="n">
        <v>336.9</v>
      </c>
      <c r="F12" s="17" t="n">
        <v>339.25</v>
      </c>
      <c r="G12" s="17" t="n">
        <v>352.05</v>
      </c>
      <c r="H12" s="17" t="n">
        <v>354.2</v>
      </c>
      <c r="I12" s="17" t="n">
        <v>345</v>
      </c>
      <c r="J12" s="17" t="n">
        <v>345</v>
      </c>
      <c r="K12" s="17" t="n">
        <v>350.8</v>
      </c>
      <c r="L12" s="17" t="n">
        <v>368.3</v>
      </c>
      <c r="M12" s="17" t="n">
        <v>369.15</v>
      </c>
      <c r="N12" s="17" t="n">
        <v>371.9</v>
      </c>
      <c r="O12" s="17" t="n">
        <v>380.95</v>
      </c>
      <c r="P12" s="17" t="n">
        <v>379.7</v>
      </c>
      <c r="Q12" s="17" t="n">
        <v>377.55</v>
      </c>
      <c r="R12" s="17" t="n">
        <v>378.75</v>
      </c>
      <c r="S12" s="17" t="n">
        <v>373.75</v>
      </c>
      <c r="T12" s="17" t="n">
        <v>362.4</v>
      </c>
      <c r="U12" s="17" t="n">
        <v>345.85</v>
      </c>
      <c r="V12" s="17" t="n">
        <v>337.85</v>
      </c>
      <c r="W12" s="17" t="n">
        <v>326.65</v>
      </c>
      <c r="X12" s="17" t="n">
        <v>315.05</v>
      </c>
      <c r="Y12" s="17" t="n">
        <v>325</v>
      </c>
      <c r="Z12" s="17" t="n">
        <v>334.7</v>
      </c>
      <c r="AA12" s="36" t="n">
        <v>325.4</v>
      </c>
      <c r="AB12" s="35">
        <f>LOOKUP(2,1/(F12:AA12&lt;&gt;""),F12:AA12)</f>
        <v/>
      </c>
      <c r="AC12" s="37">
        <f>AB12/E12-1</f>
        <v/>
      </c>
      <c r="AD12" s="38">
        <f>D12*(AB12-E12)</f>
        <v/>
      </c>
      <c r="AE12" s="18">
        <f>IFERROR(AA12/Z12-1,0)</f>
        <v/>
      </c>
      <c r="AF12" s="33">
        <f>IF(AC12&gt;0,"▲ Up",IF(AC12&lt;0,"▼ Down","■ Flat"))</f>
        <v/>
      </c>
    </row>
    <row r="13">
      <c r="A13" s="39" t="n">
        <v>8</v>
      </c>
      <c r="B13" s="21" t="inlineStr">
        <is>
          <t>KIRLOSENG</t>
        </is>
      </c>
      <c r="C13" s="40" t="inlineStr">
        <is>
          <t>INE146L01010</t>
        </is>
      </c>
      <c r="D13" s="22" t="n">
        <v>7</v>
      </c>
      <c r="E13" s="41" t="n">
        <v>2141.2</v>
      </c>
      <c r="F13" s="23" t="n">
        <v>2141.2</v>
      </c>
      <c r="G13" s="23" t="n">
        <v>2402</v>
      </c>
      <c r="H13" s="23" t="n">
        <v>2304.2</v>
      </c>
      <c r="I13" s="23" t="n">
        <v>2242.7</v>
      </c>
      <c r="J13" s="23" t="n">
        <v>2242.7</v>
      </c>
      <c r="K13" s="23" t="n">
        <v>2243.7</v>
      </c>
      <c r="L13" s="23" t="n">
        <v>2266.1</v>
      </c>
      <c r="M13" s="23" t="n">
        <v>2230.8</v>
      </c>
      <c r="N13" s="23" t="n">
        <v>2163</v>
      </c>
      <c r="O13" s="23" t="n">
        <v>2210.4</v>
      </c>
      <c r="P13" s="23" t="n">
        <v>2193</v>
      </c>
      <c r="Q13" s="23" t="n">
        <v>2180.8</v>
      </c>
      <c r="R13" s="23" t="n">
        <v>2148.3</v>
      </c>
      <c r="S13" s="23" t="n">
        <v>2066.3</v>
      </c>
      <c r="T13" s="23" t="n">
        <v>2025.6</v>
      </c>
      <c r="U13" s="23" t="n">
        <v>1973.2</v>
      </c>
      <c r="V13" s="23" t="n">
        <v>1908.7</v>
      </c>
      <c r="W13" s="23" t="n">
        <v>1869</v>
      </c>
      <c r="X13" s="23" t="n">
        <v>1784.7</v>
      </c>
      <c r="Y13" s="23" t="n">
        <v>1819.4</v>
      </c>
      <c r="Z13" s="23" t="n">
        <v>1888.4</v>
      </c>
      <c r="AA13" s="36" t="n">
        <v>1911.3</v>
      </c>
      <c r="AB13" s="35">
        <f>LOOKUP(2,1/(F13:AA13&lt;&gt;""),F13:AA13)</f>
        <v/>
      </c>
      <c r="AC13" s="37">
        <f>AB13/E13-1</f>
        <v/>
      </c>
      <c r="AD13" s="38">
        <f>D13*(AB13-E13)</f>
        <v/>
      </c>
      <c r="AE13" s="18">
        <f>IFERROR(AA13/Z13-1,0)</f>
        <v/>
      </c>
      <c r="AF13" s="33">
        <f>IF(AC13&gt;0,"▲ Up",IF(AC13&lt;0,"▼ Down","■ Flat"))</f>
        <v/>
      </c>
    </row>
    <row r="14">
      <c r="A14" s="33" t="n">
        <v>9</v>
      </c>
      <c r="B14" s="15" t="inlineStr">
        <is>
          <t>E2E</t>
        </is>
      </c>
      <c r="C14" s="34" t="inlineStr">
        <is>
          <t>INE255Z01027</t>
        </is>
      </c>
      <c r="D14" s="16" t="n">
        <v>23</v>
      </c>
      <c r="E14" s="35" t="n">
        <v>619.55</v>
      </c>
      <c r="F14" s="17" t="n">
        <v>625.9</v>
      </c>
      <c r="G14" s="17" t="n">
        <v>651.8</v>
      </c>
      <c r="H14" s="17" t="n">
        <v>650.5</v>
      </c>
      <c r="I14" s="17" t="n">
        <v>648</v>
      </c>
      <c r="J14" s="17" t="n">
        <v>648</v>
      </c>
      <c r="K14" s="17" t="n">
        <v>656.1</v>
      </c>
      <c r="L14" s="17" t="n">
        <v>688.9</v>
      </c>
      <c r="M14" s="17" t="n">
        <v>723.3</v>
      </c>
      <c r="N14" s="17" t="n">
        <v>714.15</v>
      </c>
      <c r="O14" s="17" t="n">
        <v>704.6</v>
      </c>
      <c r="P14" s="17" t="n">
        <v>735.55</v>
      </c>
      <c r="Q14" s="17" t="n">
        <v>735.75</v>
      </c>
      <c r="R14" s="17" t="n">
        <v>748.3</v>
      </c>
      <c r="S14" s="17" t="n">
        <v>710.9</v>
      </c>
      <c r="T14" s="17" t="n">
        <v>694.85</v>
      </c>
      <c r="U14" s="17" t="n">
        <v>660.15</v>
      </c>
      <c r="V14" s="17" t="n">
        <v>627.15</v>
      </c>
      <c r="W14" s="17" t="n">
        <v>595.8</v>
      </c>
      <c r="X14" s="17" t="n">
        <v>566.05</v>
      </c>
      <c r="Y14" s="17" t="n">
        <v>594.35</v>
      </c>
      <c r="Z14" s="17" t="n">
        <v>565.05</v>
      </c>
      <c r="AA14" s="36" t="n">
        <v>538.15</v>
      </c>
      <c r="AB14" s="35">
        <f>LOOKUP(2,1/(F14:AA14&lt;&gt;""),F14:AA14)</f>
        <v/>
      </c>
      <c r="AC14" s="37">
        <f>AB14/E14-1</f>
        <v/>
      </c>
      <c r="AD14" s="38">
        <f>D14*(AB14-E14)</f>
        <v/>
      </c>
      <c r="AE14" s="18">
        <f>IFERROR(AA14/Z14-1,0)</f>
        <v/>
      </c>
      <c r="AF14" s="33">
        <f>IF(AC14&gt;0,"▲ Up",IF(AC14&lt;0,"▼ Down","■ Flat"))</f>
        <v/>
      </c>
    </row>
    <row r="15">
      <c r="A15" s="39" t="n">
        <v>10</v>
      </c>
      <c r="B15" s="21" t="inlineStr">
        <is>
          <t>LAURUSLABS</t>
        </is>
      </c>
      <c r="C15" s="40" t="inlineStr">
        <is>
          <t>INE947Q01028</t>
        </is>
      </c>
      <c r="D15" s="22" t="n">
        <v>7</v>
      </c>
      <c r="E15" s="41" t="n">
        <v>2020.7</v>
      </c>
      <c r="F15" s="23" t="n">
        <v>2010.7</v>
      </c>
      <c r="G15" s="23" t="n">
        <v>1979</v>
      </c>
      <c r="H15" s="23" t="n">
        <v>1980</v>
      </c>
      <c r="I15" s="23" t="n">
        <v>1984</v>
      </c>
      <c r="J15" s="23" t="n">
        <v>1984</v>
      </c>
      <c r="K15" s="23" t="n">
        <v>1971.4</v>
      </c>
      <c r="L15" s="23" t="n">
        <v>2050</v>
      </c>
      <c r="M15" s="23" t="n">
        <v>2052.8</v>
      </c>
      <c r="N15" s="23" t="n">
        <v>1997.9</v>
      </c>
      <c r="O15" s="23" t="n">
        <v>2036.6</v>
      </c>
      <c r="P15" s="23" t="n">
        <v>2069.2</v>
      </c>
      <c r="Q15" s="23" t="n">
        <v>2059.4</v>
      </c>
      <c r="R15" s="23" t="n">
        <v>2036.9</v>
      </c>
      <c r="S15" s="23" t="n">
        <v>2018.5</v>
      </c>
      <c r="T15" s="23" t="n">
        <v>2060.1</v>
      </c>
      <c r="U15" s="23" t="n">
        <v>2069</v>
      </c>
      <c r="V15" s="23" t="n">
        <v>2012.5</v>
      </c>
      <c r="W15" s="23" t="n">
        <v>2002.5</v>
      </c>
      <c r="X15" s="23" t="n">
        <v>1970</v>
      </c>
      <c r="Y15" s="23" t="n">
        <v>2058.9</v>
      </c>
      <c r="Z15" s="23" t="n">
        <v>2142</v>
      </c>
      <c r="AA15" s="36" t="n">
        <v>2181.9</v>
      </c>
      <c r="AB15" s="35">
        <f>LOOKUP(2,1/(F15:AA15&lt;&gt;""),F15:AA15)</f>
        <v/>
      </c>
      <c r="AC15" s="37">
        <f>AB15/E15-1</f>
        <v/>
      </c>
      <c r="AD15" s="38">
        <f>D15*(AB15-E15)</f>
        <v/>
      </c>
      <c r="AE15" s="18">
        <f>IFERROR(AA15/Z15-1,0)</f>
        <v/>
      </c>
      <c r="AF15" s="33">
        <f>IF(AC15&gt;0,"▲ Up",IF(AC15&lt;0,"▼ Down","■ Flat"))</f>
        <v/>
      </c>
    </row>
    <row r="16">
      <c r="A16" s="42" t="inlineStr"/>
      <c r="B16" s="43" t="inlineStr">
        <is>
          <t>PORTFOLIO</t>
        </is>
      </c>
      <c r="C16" s="42" t="inlineStr"/>
      <c r="D16" s="44">
        <f>SUM(D6:D15)</f>
        <v/>
      </c>
      <c r="E16" s="45">
        <f>SUMPRODUCT(D6:D15,E6:E15)</f>
        <v/>
      </c>
      <c r="F16" s="45">
        <f>IF(COUNT(F6:F15)=0,"",SUMPRODUCT($D$6:$D$15,F6:F15))</f>
        <v/>
      </c>
      <c r="G16" s="45">
        <f>IF(COUNT(G6:G15)=0,"",SUMPRODUCT($D$6:$D$15,G6:G15))</f>
        <v/>
      </c>
      <c r="H16" s="45">
        <f>IF(COUNT(H6:H15)=0,"",SUMPRODUCT($D$6:$D$15,H6:H15))</f>
        <v/>
      </c>
      <c r="I16" s="45">
        <f>IF(COUNT(I6:I15)=0,"",SUMPRODUCT($D$6:$D$15,I6:I15))</f>
        <v/>
      </c>
      <c r="J16" s="45">
        <f>IF(COUNT(J6:J15)=0,"",SUMPRODUCT($D$6:$D$15,J6:J15))</f>
        <v/>
      </c>
      <c r="K16" s="45">
        <f>IF(COUNT(K6:K15)=0,"",SUMPRODUCT($D$6:$D$15,K6:K15))</f>
        <v/>
      </c>
      <c r="L16" s="45">
        <f>IF(COUNT(L6:L15)=0,"",SUMPRODUCT($D$6:$D$15,L6:L15))</f>
        <v/>
      </c>
      <c r="M16" s="45">
        <f>IF(COUNT(M6:M15)=0,"",SUMPRODUCT($D$6:$D$15,M6:M15))</f>
        <v/>
      </c>
      <c r="N16" s="45">
        <f>IF(COUNT(N6:N15)=0,"",SUMPRODUCT($D$6:$D$15,N6:N15))</f>
        <v/>
      </c>
      <c r="O16" s="45">
        <f>IF(COUNT(O6:O15)=0,"",SUMPRODUCT($D$6:$D$15,O6:O15))</f>
        <v/>
      </c>
      <c r="P16" s="45">
        <f>IF(COUNT(P6:P15)=0,"",SUMPRODUCT($D$6:$D$15,P6:P15))</f>
        <v/>
      </c>
      <c r="Q16" s="45">
        <f>IF(COUNT(Q6:Q15)=0,"",SUMPRODUCT($D$6:$D$15,Q6:Q15))</f>
        <v/>
      </c>
      <c r="R16" s="45">
        <f>IF(COUNT(R6:R15)=0,"",SUMPRODUCT($D$6:$D$15,R6:R15))</f>
        <v/>
      </c>
      <c r="S16" s="45">
        <f>IF(COUNT(S6:S15)=0,"",SUMPRODUCT($D$6:$D$15,S6:S15))</f>
        <v/>
      </c>
      <c r="T16" s="45">
        <f>IF(COUNT(T6:T15)=0,"",SUMPRODUCT($D$6:$D$15,T6:T15))</f>
        <v/>
      </c>
      <c r="U16" s="45">
        <f>IF(COUNT(U6:U15)=0,"",SUMPRODUCT($D$6:$D$15,U6:U15))</f>
        <v/>
      </c>
      <c r="V16" s="45">
        <f>IF(COUNT(V6:V15)=0,"",SUMPRODUCT($D$6:$D$15,V6:V15))</f>
        <v/>
      </c>
      <c r="W16" s="45">
        <f>IF(COUNT(W6:W15)=0,"",SUMPRODUCT($D$6:$D$15,W6:W15))</f>
        <v/>
      </c>
      <c r="X16" s="45">
        <f>IF(COUNT(X6:X15)=0,"",SUMPRODUCT($D$6:$D$15,X6:X15))</f>
        <v/>
      </c>
      <c r="Y16" s="45">
        <f>IF(COUNT(Y6:Y15)=0,"",SUMPRODUCT($D$6:$D$15,Y6:Y15))</f>
        <v/>
      </c>
      <c r="Z16" s="45">
        <f>IF(COUNT(Z6:Z15)=0,"",SUMPRODUCT($D$6:$D$15,Z6:Z15))</f>
        <v/>
      </c>
      <c r="AA16" s="45">
        <f>IF(COUNT(AA6:AA15)=0,"",SUMPRODUCT($D$6:$D$15,AA6:AA15))</f>
        <v/>
      </c>
      <c r="AB16" s="45">
        <f>SUMPRODUCT(D6:D15,AB6:AB15)</f>
        <v/>
      </c>
      <c r="AC16" s="46">
        <f>AB16/E16-1</f>
        <v/>
      </c>
      <c r="AD16" s="45">
        <f>SUM(AD6:AD15)</f>
        <v/>
      </c>
      <c r="AE16" s="42" t="inlineStr"/>
      <c r="AF16" s="42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7" t="inlineStr">
        <is>
          <t>Formulas link to 'Daily Closes' — edit a close there and this sheet updates.</t>
        </is>
      </c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14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29" t="inlineStr">
        <is>
          <t>Day 21</t>
        </is>
      </c>
    </row>
    <row r="5">
      <c r="F5" s="47">
        <f>'Daily Closes'!F5</f>
        <v/>
      </c>
      <c r="G5" s="47">
        <f>'Daily Closes'!G5</f>
        <v/>
      </c>
      <c r="H5" s="47">
        <f>'Daily Closes'!H5</f>
        <v/>
      </c>
      <c r="I5" s="47">
        <f>'Daily Closes'!I5</f>
        <v/>
      </c>
      <c r="J5" s="47">
        <f>'Daily Closes'!J5</f>
        <v/>
      </c>
      <c r="K5" s="47">
        <f>'Daily Closes'!K5</f>
        <v/>
      </c>
      <c r="L5" s="47">
        <f>'Daily Closes'!L5</f>
        <v/>
      </c>
      <c r="M5" s="47">
        <f>'Daily Closes'!M5</f>
        <v/>
      </c>
      <c r="N5" s="47">
        <f>'Daily Closes'!N5</f>
        <v/>
      </c>
      <c r="O5" s="47">
        <f>'Daily Closes'!O5</f>
        <v/>
      </c>
      <c r="P5" s="47">
        <f>'Daily Closes'!P5</f>
        <v/>
      </c>
      <c r="Q5" s="47">
        <f>'Daily Closes'!Q5</f>
        <v/>
      </c>
      <c r="R5" s="47">
        <f>'Daily Closes'!R5</f>
        <v/>
      </c>
      <c r="S5" s="47">
        <f>'Daily Closes'!S5</f>
        <v/>
      </c>
      <c r="T5" s="47">
        <f>'Daily Closes'!T5</f>
        <v/>
      </c>
      <c r="U5" s="47">
        <f>'Daily Closes'!U5</f>
        <v/>
      </c>
      <c r="V5" s="47">
        <f>'Daily Closes'!V5</f>
        <v/>
      </c>
      <c r="W5" s="47">
        <f>'Daily Closes'!W5</f>
        <v/>
      </c>
      <c r="X5" s="47">
        <f>'Daily Closes'!X5</f>
        <v/>
      </c>
      <c r="Y5" s="47">
        <f>'Daily Closes'!Y5</f>
        <v/>
      </c>
      <c r="Z5" s="47">
        <f>'Daily Closes'!Z5</f>
        <v/>
      </c>
      <c r="AA5" s="47">
        <f>'Daily Closes'!AA5</f>
        <v/>
      </c>
    </row>
    <row r="6">
      <c r="A6" s="48">
        <f>'Daily Closes'!A6</f>
        <v/>
      </c>
      <c r="B6" s="15">
        <f>'Daily Closes'!B6</f>
        <v/>
      </c>
      <c r="C6" s="49">
        <f>'Daily Closes'!C6</f>
        <v/>
      </c>
      <c r="D6" s="48">
        <f>'Daily Closes'!D6</f>
        <v/>
      </c>
      <c r="E6" s="17">
        <f>'Daily Closes'!E6</f>
        <v/>
      </c>
      <c r="F6" s="33" t="inlineStr">
        <is>
          <t>—</t>
        </is>
      </c>
      <c r="G6" s="18">
        <f>IF('Daily Closes'!G6="","",'Daily Closes'!G6/$E6-1)</f>
        <v/>
      </c>
      <c r="H6" s="18">
        <f>IF('Daily Closes'!H6="","",'Daily Closes'!H6/$E6-1)</f>
        <v/>
      </c>
      <c r="I6" s="18">
        <f>IF('Daily Closes'!I6="","",'Daily Closes'!I6/$E6-1)</f>
        <v/>
      </c>
      <c r="J6" s="18">
        <f>IF('Daily Closes'!J6="","",'Daily Closes'!J6/$E6-1)</f>
        <v/>
      </c>
      <c r="K6" s="18">
        <f>IF('Daily Closes'!K6="","",'Daily Closes'!K6/$E6-1)</f>
        <v/>
      </c>
      <c r="L6" s="18">
        <f>IF('Daily Closes'!L6="","",'Daily Closes'!L6/$E6-1)</f>
        <v/>
      </c>
      <c r="M6" s="18">
        <f>IF('Daily Closes'!M6="","",'Daily Closes'!M6/$E6-1)</f>
        <v/>
      </c>
      <c r="N6" s="18">
        <f>IF('Daily Closes'!N6="","",'Daily Closes'!N6/$E6-1)</f>
        <v/>
      </c>
      <c r="O6" s="18">
        <f>IF('Daily Closes'!O6="","",'Daily Closes'!O6/$E6-1)</f>
        <v/>
      </c>
      <c r="P6" s="18">
        <f>IF('Daily Closes'!P6="","",'Daily Closes'!P6/$E6-1)</f>
        <v/>
      </c>
      <c r="Q6" s="18">
        <f>IF('Daily Closes'!Q6="","",'Daily Closes'!Q6/$E6-1)</f>
        <v/>
      </c>
      <c r="R6" s="18">
        <f>IF('Daily Closes'!R6="","",'Daily Closes'!R6/$E6-1)</f>
        <v/>
      </c>
      <c r="S6" s="18">
        <f>IF('Daily Closes'!S6="","",'Daily Closes'!S6/$E6-1)</f>
        <v/>
      </c>
      <c r="T6" s="18">
        <f>IF('Daily Closes'!T6="","",'Daily Closes'!T6/$E6-1)</f>
        <v/>
      </c>
      <c r="U6" s="18">
        <f>IF('Daily Closes'!U6="","",'Daily Closes'!U6/$E6-1)</f>
        <v/>
      </c>
      <c r="V6" s="18">
        <f>IF('Daily Closes'!V6="","",'Daily Closes'!V6/$E6-1)</f>
        <v/>
      </c>
      <c r="W6" s="18">
        <f>IF('Daily Closes'!W6="","",'Daily Closes'!W6/$E6-1)</f>
        <v/>
      </c>
      <c r="X6" s="18">
        <f>IF('Daily Closes'!X6="","",'Daily Closes'!X6/$E6-1)</f>
        <v/>
      </c>
      <c r="Y6" s="18">
        <f>IF('Daily Closes'!Y6="","",'Daily Closes'!Y6/$E6-1)</f>
        <v/>
      </c>
      <c r="Z6" s="18">
        <f>IF('Daily Closes'!Z6="","",'Daily Closes'!Z6/$E6-1)</f>
        <v/>
      </c>
      <c r="AA6" s="18">
        <f>IF('Daily Closes'!AA6="","",'Daily Closes'!AA6/$E6-1)</f>
        <v/>
      </c>
    </row>
    <row r="7">
      <c r="A7" s="48">
        <f>'Daily Closes'!A7</f>
        <v/>
      </c>
      <c r="B7" s="15">
        <f>'Daily Closes'!B7</f>
        <v/>
      </c>
      <c r="C7" s="49">
        <f>'Daily Closes'!C7</f>
        <v/>
      </c>
      <c r="D7" s="48">
        <f>'Daily Closes'!D7</f>
        <v/>
      </c>
      <c r="E7" s="17">
        <f>'Daily Closes'!E7</f>
        <v/>
      </c>
      <c r="F7" s="33" t="inlineStr">
        <is>
          <t>—</t>
        </is>
      </c>
      <c r="G7" s="18">
        <f>IF('Daily Closes'!G7="","",'Daily Closes'!G7/$E7-1)</f>
        <v/>
      </c>
      <c r="H7" s="18">
        <f>IF('Daily Closes'!H7="","",'Daily Closes'!H7/$E7-1)</f>
        <v/>
      </c>
      <c r="I7" s="18">
        <f>IF('Daily Closes'!I7="","",'Daily Closes'!I7/$E7-1)</f>
        <v/>
      </c>
      <c r="J7" s="18">
        <f>IF('Daily Closes'!J7="","",'Daily Closes'!J7/$E7-1)</f>
        <v/>
      </c>
      <c r="K7" s="18">
        <f>IF('Daily Closes'!K7="","",'Daily Closes'!K7/$E7-1)</f>
        <v/>
      </c>
      <c r="L7" s="18">
        <f>IF('Daily Closes'!L7="","",'Daily Closes'!L7/$E7-1)</f>
        <v/>
      </c>
      <c r="M7" s="18">
        <f>IF('Daily Closes'!M7="","",'Daily Closes'!M7/$E7-1)</f>
        <v/>
      </c>
      <c r="N7" s="18">
        <f>IF('Daily Closes'!N7="","",'Daily Closes'!N7/$E7-1)</f>
        <v/>
      </c>
      <c r="O7" s="18">
        <f>IF('Daily Closes'!O7="","",'Daily Closes'!O7/$E7-1)</f>
        <v/>
      </c>
      <c r="P7" s="18">
        <f>IF('Daily Closes'!P7="","",'Daily Closes'!P7/$E7-1)</f>
        <v/>
      </c>
      <c r="Q7" s="18">
        <f>IF('Daily Closes'!Q7="","",'Daily Closes'!Q7/$E7-1)</f>
        <v/>
      </c>
      <c r="R7" s="18">
        <f>IF('Daily Closes'!R7="","",'Daily Closes'!R7/$E7-1)</f>
        <v/>
      </c>
      <c r="S7" s="18">
        <f>IF('Daily Closes'!S7="","",'Daily Closes'!S7/$E7-1)</f>
        <v/>
      </c>
      <c r="T7" s="18">
        <f>IF('Daily Closes'!T7="","",'Daily Closes'!T7/$E7-1)</f>
        <v/>
      </c>
      <c r="U7" s="18">
        <f>IF('Daily Closes'!U7="","",'Daily Closes'!U7/$E7-1)</f>
        <v/>
      </c>
      <c r="V7" s="18">
        <f>IF('Daily Closes'!V7="","",'Daily Closes'!V7/$E7-1)</f>
        <v/>
      </c>
      <c r="W7" s="18">
        <f>IF('Daily Closes'!W7="","",'Daily Closes'!W7/$E7-1)</f>
        <v/>
      </c>
      <c r="X7" s="18">
        <f>IF('Daily Closes'!X7="","",'Daily Closes'!X7/$E7-1)</f>
        <v/>
      </c>
      <c r="Y7" s="18">
        <f>IF('Daily Closes'!Y7="","",'Daily Closes'!Y7/$E7-1)</f>
        <v/>
      </c>
      <c r="Z7" s="18">
        <f>IF('Daily Closes'!Z7="","",'Daily Closes'!Z7/$E7-1)</f>
        <v/>
      </c>
      <c r="AA7" s="18">
        <f>IF('Daily Closes'!AA7="","",'Daily Closes'!AA7/$E7-1)</f>
        <v/>
      </c>
    </row>
    <row r="8">
      <c r="A8" s="48">
        <f>'Daily Closes'!A8</f>
        <v/>
      </c>
      <c r="B8" s="15">
        <f>'Daily Closes'!B8</f>
        <v/>
      </c>
      <c r="C8" s="49">
        <f>'Daily Closes'!C8</f>
        <v/>
      </c>
      <c r="D8" s="48">
        <f>'Daily Closes'!D8</f>
        <v/>
      </c>
      <c r="E8" s="17">
        <f>'Daily Closes'!E8</f>
        <v/>
      </c>
      <c r="F8" s="33" t="inlineStr">
        <is>
          <t>—</t>
        </is>
      </c>
      <c r="G8" s="18">
        <f>IF('Daily Closes'!G8="","",'Daily Closes'!G8/$E8-1)</f>
        <v/>
      </c>
      <c r="H8" s="18">
        <f>IF('Daily Closes'!H8="","",'Daily Closes'!H8/$E8-1)</f>
        <v/>
      </c>
      <c r="I8" s="18">
        <f>IF('Daily Closes'!I8="","",'Daily Closes'!I8/$E8-1)</f>
        <v/>
      </c>
      <c r="J8" s="18">
        <f>IF('Daily Closes'!J8="","",'Daily Closes'!J8/$E8-1)</f>
        <v/>
      </c>
      <c r="K8" s="18">
        <f>IF('Daily Closes'!K8="","",'Daily Closes'!K8/$E8-1)</f>
        <v/>
      </c>
      <c r="L8" s="18">
        <f>IF('Daily Closes'!L8="","",'Daily Closes'!L8/$E8-1)</f>
        <v/>
      </c>
      <c r="M8" s="18">
        <f>IF('Daily Closes'!M8="","",'Daily Closes'!M8/$E8-1)</f>
        <v/>
      </c>
      <c r="N8" s="18">
        <f>IF('Daily Closes'!N8="","",'Daily Closes'!N8/$E8-1)</f>
        <v/>
      </c>
      <c r="O8" s="18">
        <f>IF('Daily Closes'!O8="","",'Daily Closes'!O8/$E8-1)</f>
        <v/>
      </c>
      <c r="P8" s="18">
        <f>IF('Daily Closes'!P8="","",'Daily Closes'!P8/$E8-1)</f>
        <v/>
      </c>
      <c r="Q8" s="18">
        <f>IF('Daily Closes'!Q8="","",'Daily Closes'!Q8/$E8-1)</f>
        <v/>
      </c>
      <c r="R8" s="18">
        <f>IF('Daily Closes'!R8="","",'Daily Closes'!R8/$E8-1)</f>
        <v/>
      </c>
      <c r="S8" s="18">
        <f>IF('Daily Closes'!S8="","",'Daily Closes'!S8/$E8-1)</f>
        <v/>
      </c>
      <c r="T8" s="18">
        <f>IF('Daily Closes'!T8="","",'Daily Closes'!T8/$E8-1)</f>
        <v/>
      </c>
      <c r="U8" s="18">
        <f>IF('Daily Closes'!U8="","",'Daily Closes'!U8/$E8-1)</f>
        <v/>
      </c>
      <c r="V8" s="18">
        <f>IF('Daily Closes'!V8="","",'Daily Closes'!V8/$E8-1)</f>
        <v/>
      </c>
      <c r="W8" s="18">
        <f>IF('Daily Closes'!W8="","",'Daily Closes'!W8/$E8-1)</f>
        <v/>
      </c>
      <c r="X8" s="18">
        <f>IF('Daily Closes'!X8="","",'Daily Closes'!X8/$E8-1)</f>
        <v/>
      </c>
      <c r="Y8" s="18">
        <f>IF('Daily Closes'!Y8="","",'Daily Closes'!Y8/$E8-1)</f>
        <v/>
      </c>
      <c r="Z8" s="18">
        <f>IF('Daily Closes'!Z8="","",'Daily Closes'!Z8/$E8-1)</f>
        <v/>
      </c>
      <c r="AA8" s="18">
        <f>IF('Daily Closes'!AA8="","",'Daily Closes'!AA8/$E8-1)</f>
        <v/>
      </c>
    </row>
    <row r="9">
      <c r="A9" s="48">
        <f>'Daily Closes'!A9</f>
        <v/>
      </c>
      <c r="B9" s="15">
        <f>'Daily Closes'!B9</f>
        <v/>
      </c>
      <c r="C9" s="49">
        <f>'Daily Closes'!C9</f>
        <v/>
      </c>
      <c r="D9" s="48">
        <f>'Daily Closes'!D9</f>
        <v/>
      </c>
      <c r="E9" s="17">
        <f>'Daily Closes'!E9</f>
        <v/>
      </c>
      <c r="F9" s="33" t="inlineStr">
        <is>
          <t>—</t>
        </is>
      </c>
      <c r="G9" s="18">
        <f>IF('Daily Closes'!G9="","",'Daily Closes'!G9/$E9-1)</f>
        <v/>
      </c>
      <c r="H9" s="18">
        <f>IF('Daily Closes'!H9="","",'Daily Closes'!H9/$E9-1)</f>
        <v/>
      </c>
      <c r="I9" s="18">
        <f>IF('Daily Closes'!I9="","",'Daily Closes'!I9/$E9-1)</f>
        <v/>
      </c>
      <c r="J9" s="18">
        <f>IF('Daily Closes'!J9="","",'Daily Closes'!J9/$E9-1)</f>
        <v/>
      </c>
      <c r="K9" s="18">
        <f>IF('Daily Closes'!K9="","",'Daily Closes'!K9/$E9-1)</f>
        <v/>
      </c>
      <c r="L9" s="18">
        <f>IF('Daily Closes'!L9="","",'Daily Closes'!L9/$E9-1)</f>
        <v/>
      </c>
      <c r="M9" s="18">
        <f>IF('Daily Closes'!M9="","",'Daily Closes'!M9/$E9-1)</f>
        <v/>
      </c>
      <c r="N9" s="18">
        <f>IF('Daily Closes'!N9="","",'Daily Closes'!N9/$E9-1)</f>
        <v/>
      </c>
      <c r="O9" s="18">
        <f>IF('Daily Closes'!O9="","",'Daily Closes'!O9/$E9-1)</f>
        <v/>
      </c>
      <c r="P9" s="18">
        <f>IF('Daily Closes'!P9="","",'Daily Closes'!P9/$E9-1)</f>
        <v/>
      </c>
      <c r="Q9" s="18">
        <f>IF('Daily Closes'!Q9="","",'Daily Closes'!Q9/$E9-1)</f>
        <v/>
      </c>
      <c r="R9" s="18">
        <f>IF('Daily Closes'!R9="","",'Daily Closes'!R9/$E9-1)</f>
        <v/>
      </c>
      <c r="S9" s="18">
        <f>IF('Daily Closes'!S9="","",'Daily Closes'!S9/$E9-1)</f>
        <v/>
      </c>
      <c r="T9" s="18">
        <f>IF('Daily Closes'!T9="","",'Daily Closes'!T9/$E9-1)</f>
        <v/>
      </c>
      <c r="U9" s="18">
        <f>IF('Daily Closes'!U9="","",'Daily Closes'!U9/$E9-1)</f>
        <v/>
      </c>
      <c r="V9" s="18">
        <f>IF('Daily Closes'!V9="","",'Daily Closes'!V9/$E9-1)</f>
        <v/>
      </c>
      <c r="W9" s="18">
        <f>IF('Daily Closes'!W9="","",'Daily Closes'!W9/$E9-1)</f>
        <v/>
      </c>
      <c r="X9" s="18">
        <f>IF('Daily Closes'!X9="","",'Daily Closes'!X9/$E9-1)</f>
        <v/>
      </c>
      <c r="Y9" s="18">
        <f>IF('Daily Closes'!Y9="","",'Daily Closes'!Y9/$E9-1)</f>
        <v/>
      </c>
      <c r="Z9" s="18">
        <f>IF('Daily Closes'!Z9="","",'Daily Closes'!Z9/$E9-1)</f>
        <v/>
      </c>
      <c r="AA9" s="18">
        <f>IF('Daily Closes'!AA9="","",'Daily Closes'!AA9/$E9-1)</f>
        <v/>
      </c>
    </row>
    <row r="10">
      <c r="A10" s="48">
        <f>'Daily Closes'!A10</f>
        <v/>
      </c>
      <c r="B10" s="15">
        <f>'Daily Closes'!B10</f>
        <v/>
      </c>
      <c r="C10" s="49">
        <f>'Daily Closes'!C10</f>
        <v/>
      </c>
      <c r="D10" s="48">
        <f>'Daily Closes'!D10</f>
        <v/>
      </c>
      <c r="E10" s="17">
        <f>'Daily Closes'!E10</f>
        <v/>
      </c>
      <c r="F10" s="33" t="inlineStr">
        <is>
          <t>—</t>
        </is>
      </c>
      <c r="G10" s="18">
        <f>IF('Daily Closes'!G10="","",'Daily Closes'!G10/$E10-1)</f>
        <v/>
      </c>
      <c r="H10" s="18">
        <f>IF('Daily Closes'!H10="","",'Daily Closes'!H10/$E10-1)</f>
        <v/>
      </c>
      <c r="I10" s="18">
        <f>IF('Daily Closes'!I10="","",'Daily Closes'!I10/$E10-1)</f>
        <v/>
      </c>
      <c r="J10" s="18">
        <f>IF('Daily Closes'!J10="","",'Daily Closes'!J10/$E10-1)</f>
        <v/>
      </c>
      <c r="K10" s="18">
        <f>IF('Daily Closes'!K10="","",'Daily Closes'!K10/$E10-1)</f>
        <v/>
      </c>
      <c r="L10" s="18">
        <f>IF('Daily Closes'!L10="","",'Daily Closes'!L10/$E10-1)</f>
        <v/>
      </c>
      <c r="M10" s="18">
        <f>IF('Daily Closes'!M10="","",'Daily Closes'!M10/$E10-1)</f>
        <v/>
      </c>
      <c r="N10" s="18">
        <f>IF('Daily Closes'!N10="","",'Daily Closes'!N10/$E10-1)</f>
        <v/>
      </c>
      <c r="O10" s="18">
        <f>IF('Daily Closes'!O10="","",'Daily Closes'!O10/$E10-1)</f>
        <v/>
      </c>
      <c r="P10" s="18">
        <f>IF('Daily Closes'!P10="","",'Daily Closes'!P10/$E10-1)</f>
        <v/>
      </c>
      <c r="Q10" s="18">
        <f>IF('Daily Closes'!Q10="","",'Daily Closes'!Q10/$E10-1)</f>
        <v/>
      </c>
      <c r="R10" s="18">
        <f>IF('Daily Closes'!R10="","",'Daily Closes'!R10/$E10-1)</f>
        <v/>
      </c>
      <c r="S10" s="18">
        <f>IF('Daily Closes'!S10="","",'Daily Closes'!S10/$E10-1)</f>
        <v/>
      </c>
      <c r="T10" s="18">
        <f>IF('Daily Closes'!T10="","",'Daily Closes'!T10/$E10-1)</f>
        <v/>
      </c>
      <c r="U10" s="18">
        <f>IF('Daily Closes'!U10="","",'Daily Closes'!U10/$E10-1)</f>
        <v/>
      </c>
      <c r="V10" s="18">
        <f>IF('Daily Closes'!V10="","",'Daily Closes'!V10/$E10-1)</f>
        <v/>
      </c>
      <c r="W10" s="18">
        <f>IF('Daily Closes'!W10="","",'Daily Closes'!W10/$E10-1)</f>
        <v/>
      </c>
      <c r="X10" s="18">
        <f>IF('Daily Closes'!X10="","",'Daily Closes'!X10/$E10-1)</f>
        <v/>
      </c>
      <c r="Y10" s="18">
        <f>IF('Daily Closes'!Y10="","",'Daily Closes'!Y10/$E10-1)</f>
        <v/>
      </c>
      <c r="Z10" s="18">
        <f>IF('Daily Closes'!Z10="","",'Daily Closes'!Z10/$E10-1)</f>
        <v/>
      </c>
      <c r="AA10" s="18">
        <f>IF('Daily Closes'!AA10="","",'Daily Closes'!AA10/$E10-1)</f>
        <v/>
      </c>
    </row>
    <row r="11">
      <c r="A11" s="48">
        <f>'Daily Closes'!A11</f>
        <v/>
      </c>
      <c r="B11" s="15">
        <f>'Daily Closes'!B11</f>
        <v/>
      </c>
      <c r="C11" s="49">
        <f>'Daily Closes'!C11</f>
        <v/>
      </c>
      <c r="D11" s="48">
        <f>'Daily Closes'!D11</f>
        <v/>
      </c>
      <c r="E11" s="17">
        <f>'Daily Closes'!E11</f>
        <v/>
      </c>
      <c r="F11" s="33" t="inlineStr">
        <is>
          <t>—</t>
        </is>
      </c>
      <c r="G11" s="18">
        <f>IF('Daily Closes'!G11="","",'Daily Closes'!G11/$E11-1)</f>
        <v/>
      </c>
      <c r="H11" s="18">
        <f>IF('Daily Closes'!H11="","",'Daily Closes'!H11/$E11-1)</f>
        <v/>
      </c>
      <c r="I11" s="18">
        <f>IF('Daily Closes'!I11="","",'Daily Closes'!I11/$E11-1)</f>
        <v/>
      </c>
      <c r="J11" s="18">
        <f>IF('Daily Closes'!J11="","",'Daily Closes'!J11/$E11-1)</f>
        <v/>
      </c>
      <c r="K11" s="18">
        <f>IF('Daily Closes'!K11="","",'Daily Closes'!K11/$E11-1)</f>
        <v/>
      </c>
      <c r="L11" s="18">
        <f>IF('Daily Closes'!L11="","",'Daily Closes'!L11/$E11-1)</f>
        <v/>
      </c>
      <c r="M11" s="18">
        <f>IF('Daily Closes'!M11="","",'Daily Closes'!M11/$E11-1)</f>
        <v/>
      </c>
      <c r="N11" s="18">
        <f>IF('Daily Closes'!N11="","",'Daily Closes'!N11/$E11-1)</f>
        <v/>
      </c>
      <c r="O11" s="18">
        <f>IF('Daily Closes'!O11="","",'Daily Closes'!O11/$E11-1)</f>
        <v/>
      </c>
      <c r="P11" s="18">
        <f>IF('Daily Closes'!P11="","",'Daily Closes'!P11/$E11-1)</f>
        <v/>
      </c>
      <c r="Q11" s="18">
        <f>IF('Daily Closes'!Q11="","",'Daily Closes'!Q11/$E11-1)</f>
        <v/>
      </c>
      <c r="R11" s="18">
        <f>IF('Daily Closes'!R11="","",'Daily Closes'!R11/$E11-1)</f>
        <v/>
      </c>
      <c r="S11" s="18">
        <f>IF('Daily Closes'!S11="","",'Daily Closes'!S11/$E11-1)</f>
        <v/>
      </c>
      <c r="T11" s="18">
        <f>IF('Daily Closes'!T11="","",'Daily Closes'!T11/$E11-1)</f>
        <v/>
      </c>
      <c r="U11" s="18">
        <f>IF('Daily Closes'!U11="","",'Daily Closes'!U11/$E11-1)</f>
        <v/>
      </c>
      <c r="V11" s="18">
        <f>IF('Daily Closes'!V11="","",'Daily Closes'!V11/$E11-1)</f>
        <v/>
      </c>
      <c r="W11" s="18">
        <f>IF('Daily Closes'!W11="","",'Daily Closes'!W11/$E11-1)</f>
        <v/>
      </c>
      <c r="X11" s="18">
        <f>IF('Daily Closes'!X11="","",'Daily Closes'!X11/$E11-1)</f>
        <v/>
      </c>
      <c r="Y11" s="18">
        <f>IF('Daily Closes'!Y11="","",'Daily Closes'!Y11/$E11-1)</f>
        <v/>
      </c>
      <c r="Z11" s="18">
        <f>IF('Daily Closes'!Z11="","",'Daily Closes'!Z11/$E11-1)</f>
        <v/>
      </c>
      <c r="AA11" s="18">
        <f>IF('Daily Closes'!AA11="","",'Daily Closes'!AA11/$E11-1)</f>
        <v/>
      </c>
    </row>
    <row r="12">
      <c r="A12" s="48">
        <f>'Daily Closes'!A12</f>
        <v/>
      </c>
      <c r="B12" s="15">
        <f>'Daily Closes'!B12</f>
        <v/>
      </c>
      <c r="C12" s="49">
        <f>'Daily Closes'!C12</f>
        <v/>
      </c>
      <c r="D12" s="48">
        <f>'Daily Closes'!D12</f>
        <v/>
      </c>
      <c r="E12" s="17">
        <f>'Daily Closes'!E12</f>
        <v/>
      </c>
      <c r="F12" s="33" t="inlineStr">
        <is>
          <t>—</t>
        </is>
      </c>
      <c r="G12" s="18">
        <f>IF('Daily Closes'!G12="","",'Daily Closes'!G12/$E12-1)</f>
        <v/>
      </c>
      <c r="H12" s="18">
        <f>IF('Daily Closes'!H12="","",'Daily Closes'!H12/$E12-1)</f>
        <v/>
      </c>
      <c r="I12" s="18">
        <f>IF('Daily Closes'!I12="","",'Daily Closes'!I12/$E12-1)</f>
        <v/>
      </c>
      <c r="J12" s="18">
        <f>IF('Daily Closes'!J12="","",'Daily Closes'!J12/$E12-1)</f>
        <v/>
      </c>
      <c r="K12" s="18">
        <f>IF('Daily Closes'!K12="","",'Daily Closes'!K12/$E12-1)</f>
        <v/>
      </c>
      <c r="L12" s="18">
        <f>IF('Daily Closes'!L12="","",'Daily Closes'!L12/$E12-1)</f>
        <v/>
      </c>
      <c r="M12" s="18">
        <f>IF('Daily Closes'!M12="","",'Daily Closes'!M12/$E12-1)</f>
        <v/>
      </c>
      <c r="N12" s="18">
        <f>IF('Daily Closes'!N12="","",'Daily Closes'!N12/$E12-1)</f>
        <v/>
      </c>
      <c r="O12" s="18">
        <f>IF('Daily Closes'!O12="","",'Daily Closes'!O12/$E12-1)</f>
        <v/>
      </c>
      <c r="P12" s="18">
        <f>IF('Daily Closes'!P12="","",'Daily Closes'!P12/$E12-1)</f>
        <v/>
      </c>
      <c r="Q12" s="18">
        <f>IF('Daily Closes'!Q12="","",'Daily Closes'!Q12/$E12-1)</f>
        <v/>
      </c>
      <c r="R12" s="18">
        <f>IF('Daily Closes'!R12="","",'Daily Closes'!R12/$E12-1)</f>
        <v/>
      </c>
      <c r="S12" s="18">
        <f>IF('Daily Closes'!S12="","",'Daily Closes'!S12/$E12-1)</f>
        <v/>
      </c>
      <c r="T12" s="18">
        <f>IF('Daily Closes'!T12="","",'Daily Closes'!T12/$E12-1)</f>
        <v/>
      </c>
      <c r="U12" s="18">
        <f>IF('Daily Closes'!U12="","",'Daily Closes'!U12/$E12-1)</f>
        <v/>
      </c>
      <c r="V12" s="18">
        <f>IF('Daily Closes'!V12="","",'Daily Closes'!V12/$E12-1)</f>
        <v/>
      </c>
      <c r="W12" s="18">
        <f>IF('Daily Closes'!W12="","",'Daily Closes'!W12/$E12-1)</f>
        <v/>
      </c>
      <c r="X12" s="18">
        <f>IF('Daily Closes'!X12="","",'Daily Closes'!X12/$E12-1)</f>
        <v/>
      </c>
      <c r="Y12" s="18">
        <f>IF('Daily Closes'!Y12="","",'Daily Closes'!Y12/$E12-1)</f>
        <v/>
      </c>
      <c r="Z12" s="18">
        <f>IF('Daily Closes'!Z12="","",'Daily Closes'!Z12/$E12-1)</f>
        <v/>
      </c>
      <c r="AA12" s="18">
        <f>IF('Daily Closes'!AA12="","",'Daily Closes'!AA12/$E12-1)</f>
        <v/>
      </c>
    </row>
    <row r="13">
      <c r="A13" s="48">
        <f>'Daily Closes'!A13</f>
        <v/>
      </c>
      <c r="B13" s="15">
        <f>'Daily Closes'!B13</f>
        <v/>
      </c>
      <c r="C13" s="49">
        <f>'Daily Closes'!C13</f>
        <v/>
      </c>
      <c r="D13" s="48">
        <f>'Daily Closes'!D13</f>
        <v/>
      </c>
      <c r="E13" s="17">
        <f>'Daily Closes'!E13</f>
        <v/>
      </c>
      <c r="F13" s="33" t="inlineStr">
        <is>
          <t>—</t>
        </is>
      </c>
      <c r="G13" s="18">
        <f>IF('Daily Closes'!G13="","",'Daily Closes'!G13/$E13-1)</f>
        <v/>
      </c>
      <c r="H13" s="18">
        <f>IF('Daily Closes'!H13="","",'Daily Closes'!H13/$E13-1)</f>
        <v/>
      </c>
      <c r="I13" s="18">
        <f>IF('Daily Closes'!I13="","",'Daily Closes'!I13/$E13-1)</f>
        <v/>
      </c>
      <c r="J13" s="18">
        <f>IF('Daily Closes'!J13="","",'Daily Closes'!J13/$E13-1)</f>
        <v/>
      </c>
      <c r="K13" s="18">
        <f>IF('Daily Closes'!K13="","",'Daily Closes'!K13/$E13-1)</f>
        <v/>
      </c>
      <c r="L13" s="18">
        <f>IF('Daily Closes'!L13="","",'Daily Closes'!L13/$E13-1)</f>
        <v/>
      </c>
      <c r="M13" s="18">
        <f>IF('Daily Closes'!M13="","",'Daily Closes'!M13/$E13-1)</f>
        <v/>
      </c>
      <c r="N13" s="18">
        <f>IF('Daily Closes'!N13="","",'Daily Closes'!N13/$E13-1)</f>
        <v/>
      </c>
      <c r="O13" s="18">
        <f>IF('Daily Closes'!O13="","",'Daily Closes'!O13/$E13-1)</f>
        <v/>
      </c>
      <c r="P13" s="18">
        <f>IF('Daily Closes'!P13="","",'Daily Closes'!P13/$E13-1)</f>
        <v/>
      </c>
      <c r="Q13" s="18">
        <f>IF('Daily Closes'!Q13="","",'Daily Closes'!Q13/$E13-1)</f>
        <v/>
      </c>
      <c r="R13" s="18">
        <f>IF('Daily Closes'!R13="","",'Daily Closes'!R13/$E13-1)</f>
        <v/>
      </c>
      <c r="S13" s="18">
        <f>IF('Daily Closes'!S13="","",'Daily Closes'!S13/$E13-1)</f>
        <v/>
      </c>
      <c r="T13" s="18">
        <f>IF('Daily Closes'!T13="","",'Daily Closes'!T13/$E13-1)</f>
        <v/>
      </c>
      <c r="U13" s="18">
        <f>IF('Daily Closes'!U13="","",'Daily Closes'!U13/$E13-1)</f>
        <v/>
      </c>
      <c r="V13" s="18">
        <f>IF('Daily Closes'!V13="","",'Daily Closes'!V13/$E13-1)</f>
        <v/>
      </c>
      <c r="W13" s="18">
        <f>IF('Daily Closes'!W13="","",'Daily Closes'!W13/$E13-1)</f>
        <v/>
      </c>
      <c r="X13" s="18">
        <f>IF('Daily Closes'!X13="","",'Daily Closes'!X13/$E13-1)</f>
        <v/>
      </c>
      <c r="Y13" s="18">
        <f>IF('Daily Closes'!Y13="","",'Daily Closes'!Y13/$E13-1)</f>
        <v/>
      </c>
      <c r="Z13" s="18">
        <f>IF('Daily Closes'!Z13="","",'Daily Closes'!Z13/$E13-1)</f>
        <v/>
      </c>
      <c r="AA13" s="18">
        <f>IF('Daily Closes'!AA13="","",'Daily Closes'!AA13/$E13-1)</f>
        <v/>
      </c>
    </row>
    <row r="14">
      <c r="A14" s="48">
        <f>'Daily Closes'!A14</f>
        <v/>
      </c>
      <c r="B14" s="15">
        <f>'Daily Closes'!B14</f>
        <v/>
      </c>
      <c r="C14" s="49">
        <f>'Daily Closes'!C14</f>
        <v/>
      </c>
      <c r="D14" s="48">
        <f>'Daily Closes'!D14</f>
        <v/>
      </c>
      <c r="E14" s="17">
        <f>'Daily Closes'!E14</f>
        <v/>
      </c>
      <c r="F14" s="33" t="inlineStr">
        <is>
          <t>—</t>
        </is>
      </c>
      <c r="G14" s="18">
        <f>IF('Daily Closes'!G14="","",'Daily Closes'!G14/$E14-1)</f>
        <v/>
      </c>
      <c r="H14" s="18">
        <f>IF('Daily Closes'!H14="","",'Daily Closes'!H14/$E14-1)</f>
        <v/>
      </c>
      <c r="I14" s="18">
        <f>IF('Daily Closes'!I14="","",'Daily Closes'!I14/$E14-1)</f>
        <v/>
      </c>
      <c r="J14" s="18">
        <f>IF('Daily Closes'!J14="","",'Daily Closes'!J14/$E14-1)</f>
        <v/>
      </c>
      <c r="K14" s="18">
        <f>IF('Daily Closes'!K14="","",'Daily Closes'!K14/$E14-1)</f>
        <v/>
      </c>
      <c r="L14" s="18">
        <f>IF('Daily Closes'!L14="","",'Daily Closes'!L14/$E14-1)</f>
        <v/>
      </c>
      <c r="M14" s="18">
        <f>IF('Daily Closes'!M14="","",'Daily Closes'!M14/$E14-1)</f>
        <v/>
      </c>
      <c r="N14" s="18">
        <f>IF('Daily Closes'!N14="","",'Daily Closes'!N14/$E14-1)</f>
        <v/>
      </c>
      <c r="O14" s="18">
        <f>IF('Daily Closes'!O14="","",'Daily Closes'!O14/$E14-1)</f>
        <v/>
      </c>
      <c r="P14" s="18">
        <f>IF('Daily Closes'!P14="","",'Daily Closes'!P14/$E14-1)</f>
        <v/>
      </c>
      <c r="Q14" s="18">
        <f>IF('Daily Closes'!Q14="","",'Daily Closes'!Q14/$E14-1)</f>
        <v/>
      </c>
      <c r="R14" s="18">
        <f>IF('Daily Closes'!R14="","",'Daily Closes'!R14/$E14-1)</f>
        <v/>
      </c>
      <c r="S14" s="18">
        <f>IF('Daily Closes'!S14="","",'Daily Closes'!S14/$E14-1)</f>
        <v/>
      </c>
      <c r="T14" s="18">
        <f>IF('Daily Closes'!T14="","",'Daily Closes'!T14/$E14-1)</f>
        <v/>
      </c>
      <c r="U14" s="18">
        <f>IF('Daily Closes'!U14="","",'Daily Closes'!U14/$E14-1)</f>
        <v/>
      </c>
      <c r="V14" s="18">
        <f>IF('Daily Closes'!V14="","",'Daily Closes'!V14/$E14-1)</f>
        <v/>
      </c>
      <c r="W14" s="18">
        <f>IF('Daily Closes'!W14="","",'Daily Closes'!W14/$E14-1)</f>
        <v/>
      </c>
      <c r="X14" s="18">
        <f>IF('Daily Closes'!X14="","",'Daily Closes'!X14/$E14-1)</f>
        <v/>
      </c>
      <c r="Y14" s="18">
        <f>IF('Daily Closes'!Y14="","",'Daily Closes'!Y14/$E14-1)</f>
        <v/>
      </c>
      <c r="Z14" s="18">
        <f>IF('Daily Closes'!Z14="","",'Daily Closes'!Z14/$E14-1)</f>
        <v/>
      </c>
      <c r="AA14" s="18">
        <f>IF('Daily Closes'!AA14="","",'Daily Closes'!AA14/$E14-1)</f>
        <v/>
      </c>
    </row>
    <row r="15">
      <c r="A15" s="48">
        <f>'Daily Closes'!A15</f>
        <v/>
      </c>
      <c r="B15" s="15">
        <f>'Daily Closes'!B15</f>
        <v/>
      </c>
      <c r="C15" s="49">
        <f>'Daily Closes'!C15</f>
        <v/>
      </c>
      <c r="D15" s="48">
        <f>'Daily Closes'!D15</f>
        <v/>
      </c>
      <c r="E15" s="17">
        <f>'Daily Closes'!E15</f>
        <v/>
      </c>
      <c r="F15" s="33" t="inlineStr">
        <is>
          <t>—</t>
        </is>
      </c>
      <c r="G15" s="18">
        <f>IF('Daily Closes'!G15="","",'Daily Closes'!G15/$E15-1)</f>
        <v/>
      </c>
      <c r="H15" s="18">
        <f>IF('Daily Closes'!H15="","",'Daily Closes'!H15/$E15-1)</f>
        <v/>
      </c>
      <c r="I15" s="18">
        <f>IF('Daily Closes'!I15="","",'Daily Closes'!I15/$E15-1)</f>
        <v/>
      </c>
      <c r="J15" s="18">
        <f>IF('Daily Closes'!J15="","",'Daily Closes'!J15/$E15-1)</f>
        <v/>
      </c>
      <c r="K15" s="18">
        <f>IF('Daily Closes'!K15="","",'Daily Closes'!K15/$E15-1)</f>
        <v/>
      </c>
      <c r="L15" s="18">
        <f>IF('Daily Closes'!L15="","",'Daily Closes'!L15/$E15-1)</f>
        <v/>
      </c>
      <c r="M15" s="18">
        <f>IF('Daily Closes'!M15="","",'Daily Closes'!M15/$E15-1)</f>
        <v/>
      </c>
      <c r="N15" s="18">
        <f>IF('Daily Closes'!N15="","",'Daily Closes'!N15/$E15-1)</f>
        <v/>
      </c>
      <c r="O15" s="18">
        <f>IF('Daily Closes'!O15="","",'Daily Closes'!O15/$E15-1)</f>
        <v/>
      </c>
      <c r="P15" s="18">
        <f>IF('Daily Closes'!P15="","",'Daily Closes'!P15/$E15-1)</f>
        <v/>
      </c>
      <c r="Q15" s="18">
        <f>IF('Daily Closes'!Q15="","",'Daily Closes'!Q15/$E15-1)</f>
        <v/>
      </c>
      <c r="R15" s="18">
        <f>IF('Daily Closes'!R15="","",'Daily Closes'!R15/$E15-1)</f>
        <v/>
      </c>
      <c r="S15" s="18">
        <f>IF('Daily Closes'!S15="","",'Daily Closes'!S15/$E15-1)</f>
        <v/>
      </c>
      <c r="T15" s="18">
        <f>IF('Daily Closes'!T15="","",'Daily Closes'!T15/$E15-1)</f>
        <v/>
      </c>
      <c r="U15" s="18">
        <f>IF('Daily Closes'!U15="","",'Daily Closes'!U15/$E15-1)</f>
        <v/>
      </c>
      <c r="V15" s="18">
        <f>IF('Daily Closes'!V15="","",'Daily Closes'!V15/$E15-1)</f>
        <v/>
      </c>
      <c r="W15" s="18">
        <f>IF('Daily Closes'!W15="","",'Daily Closes'!W15/$E15-1)</f>
        <v/>
      </c>
      <c r="X15" s="18">
        <f>IF('Daily Closes'!X15="","",'Daily Closes'!X15/$E15-1)</f>
        <v/>
      </c>
      <c r="Y15" s="18">
        <f>IF('Daily Closes'!Y15="","",'Daily Closes'!Y15/$E15-1)</f>
        <v/>
      </c>
      <c r="Z15" s="18">
        <f>IF('Daily Closes'!Z15="","",'Daily Closes'!Z15/$E15-1)</f>
        <v/>
      </c>
      <c r="AA15" s="18">
        <f>IF('Daily Closes'!AA15="","",'Daily Closes'!AA15/$E15-1)</f>
        <v/>
      </c>
    </row>
    <row r="16">
      <c r="B16" s="15" t="inlineStr">
        <is>
          <t>PORTFOLIO</t>
        </is>
      </c>
      <c r="G16" s="46">
        <f>IF('Daily Closes'!G16="","",'Daily Closes'!G16/'Daily Closes'!$E$16-1)</f>
        <v/>
      </c>
      <c r="H16" s="46">
        <f>IF('Daily Closes'!H16="","",'Daily Closes'!H16/'Daily Closes'!$E$16-1)</f>
        <v/>
      </c>
      <c r="I16" s="46">
        <f>IF('Daily Closes'!I16="","",'Daily Closes'!I16/'Daily Closes'!$E$16-1)</f>
        <v/>
      </c>
      <c r="J16" s="46">
        <f>IF('Daily Closes'!J16="","",'Daily Closes'!J16/'Daily Closes'!$E$16-1)</f>
        <v/>
      </c>
      <c r="K16" s="46">
        <f>IF('Daily Closes'!K16="","",'Daily Closes'!K16/'Daily Closes'!$E$16-1)</f>
        <v/>
      </c>
      <c r="L16" s="46">
        <f>IF('Daily Closes'!L16="","",'Daily Closes'!L16/'Daily Closes'!$E$16-1)</f>
        <v/>
      </c>
      <c r="M16" s="46">
        <f>IF('Daily Closes'!M16="","",'Daily Closes'!M16/'Daily Closes'!$E$16-1)</f>
        <v/>
      </c>
      <c r="N16" s="46">
        <f>IF('Daily Closes'!N16="","",'Daily Closes'!N16/'Daily Closes'!$E$16-1)</f>
        <v/>
      </c>
      <c r="O16" s="46">
        <f>IF('Daily Closes'!O16="","",'Daily Closes'!O16/'Daily Closes'!$E$16-1)</f>
        <v/>
      </c>
      <c r="P16" s="46">
        <f>IF('Daily Closes'!P16="","",'Daily Closes'!P16/'Daily Closes'!$E$16-1)</f>
        <v/>
      </c>
      <c r="Q16" s="46">
        <f>IF('Daily Closes'!Q16="","",'Daily Closes'!Q16/'Daily Closes'!$E$16-1)</f>
        <v/>
      </c>
      <c r="R16" s="46">
        <f>IF('Daily Closes'!R16="","",'Daily Closes'!R16/'Daily Closes'!$E$16-1)</f>
        <v/>
      </c>
      <c r="S16" s="46">
        <f>IF('Daily Closes'!S16="","",'Daily Closes'!S16/'Daily Closes'!$E$16-1)</f>
        <v/>
      </c>
      <c r="T16" s="46">
        <f>IF('Daily Closes'!T16="","",'Daily Closes'!T16/'Daily Closes'!$E$16-1)</f>
        <v/>
      </c>
      <c r="U16" s="46">
        <f>IF('Daily Closes'!U16="","",'Daily Closes'!U16/'Daily Closes'!$E$16-1)</f>
        <v/>
      </c>
      <c r="V16" s="46">
        <f>IF('Daily Closes'!V16="","",'Daily Closes'!V16/'Daily Closes'!$E$16-1)</f>
        <v/>
      </c>
      <c r="W16" s="46">
        <f>IF('Daily Closes'!W16="","",'Daily Closes'!W16/'Daily Closes'!$E$16-1)</f>
        <v/>
      </c>
      <c r="X16" s="46">
        <f>IF('Daily Closes'!X16="","",'Daily Closes'!X16/'Daily Closes'!$E$16-1)</f>
        <v/>
      </c>
      <c r="Y16" s="46">
        <f>IF('Daily Closes'!Y16="","",'Daily Closes'!Y16/'Daily Closes'!$E$16-1)</f>
        <v/>
      </c>
      <c r="Z16" s="46">
        <f>IF('Daily Closes'!Z16="","",'Daily Closes'!Z16/'Daily Closes'!$E$16-1)</f>
        <v/>
      </c>
      <c r="AA16" s="46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14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29" t="inlineStr">
        <is>
          <t>Day 21</t>
        </is>
      </c>
    </row>
    <row r="6">
      <c r="A6" s="48">
        <f>'Daily Closes'!A6</f>
        <v/>
      </c>
      <c r="B6" s="15">
        <f>'Daily Closes'!B6</f>
        <v/>
      </c>
      <c r="C6" s="49">
        <f>'Daily Closes'!C6</f>
        <v/>
      </c>
      <c r="D6" s="48">
        <f>'Daily Closes'!D6</f>
        <v/>
      </c>
      <c r="E6" s="17">
        <f>'Daily Closes'!E6</f>
        <v/>
      </c>
      <c r="F6" s="33" t="inlineStr">
        <is>
          <t>—</t>
        </is>
      </c>
      <c r="G6" s="19">
        <f>IF('Daily Closes'!G6="","",$D6*('Daily Closes'!G6-$E6))</f>
        <v/>
      </c>
      <c r="H6" s="19">
        <f>IF('Daily Closes'!H6="","",$D6*('Daily Closes'!H6-$E6))</f>
        <v/>
      </c>
      <c r="I6" s="19">
        <f>IF('Daily Closes'!I6="","",$D6*('Daily Closes'!I6-$E6))</f>
        <v/>
      </c>
      <c r="J6" s="19">
        <f>IF('Daily Closes'!J6="","",$D6*('Daily Closes'!J6-$E6))</f>
        <v/>
      </c>
      <c r="K6" s="19">
        <f>IF('Daily Closes'!K6="","",$D6*('Daily Closes'!K6-$E6))</f>
        <v/>
      </c>
      <c r="L6" s="19">
        <f>IF('Daily Closes'!L6="","",$D6*('Daily Closes'!L6-$E6))</f>
        <v/>
      </c>
      <c r="M6" s="19">
        <f>IF('Daily Closes'!M6="","",$D6*('Daily Closes'!M6-$E6))</f>
        <v/>
      </c>
      <c r="N6" s="19">
        <f>IF('Daily Closes'!N6="","",$D6*('Daily Closes'!N6-$E6))</f>
        <v/>
      </c>
      <c r="O6" s="19">
        <f>IF('Daily Closes'!O6="","",$D6*('Daily Closes'!O6-$E6))</f>
        <v/>
      </c>
      <c r="P6" s="19">
        <f>IF('Daily Closes'!P6="","",$D6*('Daily Closes'!P6-$E6))</f>
        <v/>
      </c>
      <c r="Q6" s="19">
        <f>IF('Daily Closes'!Q6="","",$D6*('Daily Closes'!Q6-$E6))</f>
        <v/>
      </c>
      <c r="R6" s="19">
        <f>IF('Daily Closes'!R6="","",$D6*('Daily Closes'!R6-$E6))</f>
        <v/>
      </c>
      <c r="S6" s="19">
        <f>IF('Daily Closes'!S6="","",$D6*('Daily Closes'!S6-$E6))</f>
        <v/>
      </c>
      <c r="T6" s="19">
        <f>IF('Daily Closes'!T6="","",$D6*('Daily Closes'!T6-$E6))</f>
        <v/>
      </c>
      <c r="U6" s="19">
        <f>IF('Daily Closes'!U6="","",$D6*('Daily Closes'!U6-$E6))</f>
        <v/>
      </c>
      <c r="V6" s="19">
        <f>IF('Daily Closes'!V6="","",$D6*('Daily Closes'!V6-$E6))</f>
        <v/>
      </c>
      <c r="W6" s="19">
        <f>IF('Daily Closes'!W6="","",$D6*('Daily Closes'!W6-$E6))</f>
        <v/>
      </c>
      <c r="X6" s="19">
        <f>IF('Daily Closes'!X6="","",$D6*('Daily Closes'!X6-$E6))</f>
        <v/>
      </c>
      <c r="Y6" s="19">
        <f>IF('Daily Closes'!Y6="","",$D6*('Daily Closes'!Y6-$E6))</f>
        <v/>
      </c>
      <c r="Z6" s="19">
        <f>IF('Daily Closes'!Z6="","",$D6*('Daily Closes'!Z6-$E6))</f>
        <v/>
      </c>
      <c r="AA6" s="19">
        <f>IF('Daily Closes'!AA6="","",$D6*('Daily Closes'!AA6-$E6))</f>
        <v/>
      </c>
    </row>
    <row r="7">
      <c r="A7" s="48">
        <f>'Daily Closes'!A7</f>
        <v/>
      </c>
      <c r="B7" s="15">
        <f>'Daily Closes'!B7</f>
        <v/>
      </c>
      <c r="C7" s="49">
        <f>'Daily Closes'!C7</f>
        <v/>
      </c>
      <c r="D7" s="48">
        <f>'Daily Closes'!D7</f>
        <v/>
      </c>
      <c r="E7" s="17">
        <f>'Daily Closes'!E7</f>
        <v/>
      </c>
      <c r="F7" s="33" t="inlineStr">
        <is>
          <t>—</t>
        </is>
      </c>
      <c r="G7" s="19">
        <f>IF('Daily Closes'!G7="","",$D7*('Daily Closes'!G7-$E7))</f>
        <v/>
      </c>
      <c r="H7" s="19">
        <f>IF('Daily Closes'!H7="","",$D7*('Daily Closes'!H7-$E7))</f>
        <v/>
      </c>
      <c r="I7" s="19">
        <f>IF('Daily Closes'!I7="","",$D7*('Daily Closes'!I7-$E7))</f>
        <v/>
      </c>
      <c r="J7" s="19">
        <f>IF('Daily Closes'!J7="","",$D7*('Daily Closes'!J7-$E7))</f>
        <v/>
      </c>
      <c r="K7" s="19">
        <f>IF('Daily Closes'!K7="","",$D7*('Daily Closes'!K7-$E7))</f>
        <v/>
      </c>
      <c r="L7" s="19">
        <f>IF('Daily Closes'!L7="","",$D7*('Daily Closes'!L7-$E7))</f>
        <v/>
      </c>
      <c r="M7" s="19">
        <f>IF('Daily Closes'!M7="","",$D7*('Daily Closes'!M7-$E7))</f>
        <v/>
      </c>
      <c r="N7" s="19">
        <f>IF('Daily Closes'!N7="","",$D7*('Daily Closes'!N7-$E7))</f>
        <v/>
      </c>
      <c r="O7" s="19">
        <f>IF('Daily Closes'!O7="","",$D7*('Daily Closes'!O7-$E7))</f>
        <v/>
      </c>
      <c r="P7" s="19">
        <f>IF('Daily Closes'!P7="","",$D7*('Daily Closes'!P7-$E7))</f>
        <v/>
      </c>
      <c r="Q7" s="19">
        <f>IF('Daily Closes'!Q7="","",$D7*('Daily Closes'!Q7-$E7))</f>
        <v/>
      </c>
      <c r="R7" s="19">
        <f>IF('Daily Closes'!R7="","",$D7*('Daily Closes'!R7-$E7))</f>
        <v/>
      </c>
      <c r="S7" s="19">
        <f>IF('Daily Closes'!S7="","",$D7*('Daily Closes'!S7-$E7))</f>
        <v/>
      </c>
      <c r="T7" s="19">
        <f>IF('Daily Closes'!T7="","",$D7*('Daily Closes'!T7-$E7))</f>
        <v/>
      </c>
      <c r="U7" s="19">
        <f>IF('Daily Closes'!U7="","",$D7*('Daily Closes'!U7-$E7))</f>
        <v/>
      </c>
      <c r="V7" s="19">
        <f>IF('Daily Closes'!V7="","",$D7*('Daily Closes'!V7-$E7))</f>
        <v/>
      </c>
      <c r="W7" s="19">
        <f>IF('Daily Closes'!W7="","",$D7*('Daily Closes'!W7-$E7))</f>
        <v/>
      </c>
      <c r="X7" s="19">
        <f>IF('Daily Closes'!X7="","",$D7*('Daily Closes'!X7-$E7))</f>
        <v/>
      </c>
      <c r="Y7" s="19">
        <f>IF('Daily Closes'!Y7="","",$D7*('Daily Closes'!Y7-$E7))</f>
        <v/>
      </c>
      <c r="Z7" s="19">
        <f>IF('Daily Closes'!Z7="","",$D7*('Daily Closes'!Z7-$E7))</f>
        <v/>
      </c>
      <c r="AA7" s="19">
        <f>IF('Daily Closes'!AA7="","",$D7*('Daily Closes'!AA7-$E7))</f>
        <v/>
      </c>
    </row>
    <row r="8">
      <c r="A8" s="48">
        <f>'Daily Closes'!A8</f>
        <v/>
      </c>
      <c r="B8" s="15">
        <f>'Daily Closes'!B8</f>
        <v/>
      </c>
      <c r="C8" s="49">
        <f>'Daily Closes'!C8</f>
        <v/>
      </c>
      <c r="D8" s="48">
        <f>'Daily Closes'!D8</f>
        <v/>
      </c>
      <c r="E8" s="17">
        <f>'Daily Closes'!E8</f>
        <v/>
      </c>
      <c r="F8" s="33" t="inlineStr">
        <is>
          <t>—</t>
        </is>
      </c>
      <c r="G8" s="19">
        <f>IF('Daily Closes'!G8="","",$D8*('Daily Closes'!G8-$E8))</f>
        <v/>
      </c>
      <c r="H8" s="19">
        <f>IF('Daily Closes'!H8="","",$D8*('Daily Closes'!H8-$E8))</f>
        <v/>
      </c>
      <c r="I8" s="19">
        <f>IF('Daily Closes'!I8="","",$D8*('Daily Closes'!I8-$E8))</f>
        <v/>
      </c>
      <c r="J8" s="19">
        <f>IF('Daily Closes'!J8="","",$D8*('Daily Closes'!J8-$E8))</f>
        <v/>
      </c>
      <c r="K8" s="19">
        <f>IF('Daily Closes'!K8="","",$D8*('Daily Closes'!K8-$E8))</f>
        <v/>
      </c>
      <c r="L8" s="19">
        <f>IF('Daily Closes'!L8="","",$D8*('Daily Closes'!L8-$E8))</f>
        <v/>
      </c>
      <c r="M8" s="19">
        <f>IF('Daily Closes'!M8="","",$D8*('Daily Closes'!M8-$E8))</f>
        <v/>
      </c>
      <c r="N8" s="19">
        <f>IF('Daily Closes'!N8="","",$D8*('Daily Closes'!N8-$E8))</f>
        <v/>
      </c>
      <c r="O8" s="19">
        <f>IF('Daily Closes'!O8="","",$D8*('Daily Closes'!O8-$E8))</f>
        <v/>
      </c>
      <c r="P8" s="19">
        <f>IF('Daily Closes'!P8="","",$D8*('Daily Closes'!P8-$E8))</f>
        <v/>
      </c>
      <c r="Q8" s="19">
        <f>IF('Daily Closes'!Q8="","",$D8*('Daily Closes'!Q8-$E8))</f>
        <v/>
      </c>
      <c r="R8" s="19">
        <f>IF('Daily Closes'!R8="","",$D8*('Daily Closes'!R8-$E8))</f>
        <v/>
      </c>
      <c r="S8" s="19">
        <f>IF('Daily Closes'!S8="","",$D8*('Daily Closes'!S8-$E8))</f>
        <v/>
      </c>
      <c r="T8" s="19">
        <f>IF('Daily Closes'!T8="","",$D8*('Daily Closes'!T8-$E8))</f>
        <v/>
      </c>
      <c r="U8" s="19">
        <f>IF('Daily Closes'!U8="","",$D8*('Daily Closes'!U8-$E8))</f>
        <v/>
      </c>
      <c r="V8" s="19">
        <f>IF('Daily Closes'!V8="","",$D8*('Daily Closes'!V8-$E8))</f>
        <v/>
      </c>
      <c r="W8" s="19">
        <f>IF('Daily Closes'!W8="","",$D8*('Daily Closes'!W8-$E8))</f>
        <v/>
      </c>
      <c r="X8" s="19">
        <f>IF('Daily Closes'!X8="","",$D8*('Daily Closes'!X8-$E8))</f>
        <v/>
      </c>
      <c r="Y8" s="19">
        <f>IF('Daily Closes'!Y8="","",$D8*('Daily Closes'!Y8-$E8))</f>
        <v/>
      </c>
      <c r="Z8" s="19">
        <f>IF('Daily Closes'!Z8="","",$D8*('Daily Closes'!Z8-$E8))</f>
        <v/>
      </c>
      <c r="AA8" s="19">
        <f>IF('Daily Closes'!AA8="","",$D8*('Daily Closes'!AA8-$E8))</f>
        <v/>
      </c>
    </row>
    <row r="9">
      <c r="A9" s="48">
        <f>'Daily Closes'!A9</f>
        <v/>
      </c>
      <c r="B9" s="15">
        <f>'Daily Closes'!B9</f>
        <v/>
      </c>
      <c r="C9" s="49">
        <f>'Daily Closes'!C9</f>
        <v/>
      </c>
      <c r="D9" s="48">
        <f>'Daily Closes'!D9</f>
        <v/>
      </c>
      <c r="E9" s="17">
        <f>'Daily Closes'!E9</f>
        <v/>
      </c>
      <c r="F9" s="33" t="inlineStr">
        <is>
          <t>—</t>
        </is>
      </c>
      <c r="G9" s="19">
        <f>IF('Daily Closes'!G9="","",$D9*('Daily Closes'!G9-$E9))</f>
        <v/>
      </c>
      <c r="H9" s="19">
        <f>IF('Daily Closes'!H9="","",$D9*('Daily Closes'!H9-$E9))</f>
        <v/>
      </c>
      <c r="I9" s="19">
        <f>IF('Daily Closes'!I9="","",$D9*('Daily Closes'!I9-$E9))</f>
        <v/>
      </c>
      <c r="J9" s="19">
        <f>IF('Daily Closes'!J9="","",$D9*('Daily Closes'!J9-$E9))</f>
        <v/>
      </c>
      <c r="K9" s="19">
        <f>IF('Daily Closes'!K9="","",$D9*('Daily Closes'!K9-$E9))</f>
        <v/>
      </c>
      <c r="L9" s="19">
        <f>IF('Daily Closes'!L9="","",$D9*('Daily Closes'!L9-$E9))</f>
        <v/>
      </c>
      <c r="M9" s="19">
        <f>IF('Daily Closes'!M9="","",$D9*('Daily Closes'!M9-$E9))</f>
        <v/>
      </c>
      <c r="N9" s="19">
        <f>IF('Daily Closes'!N9="","",$D9*('Daily Closes'!N9-$E9))</f>
        <v/>
      </c>
      <c r="O9" s="19">
        <f>IF('Daily Closes'!O9="","",$D9*('Daily Closes'!O9-$E9))</f>
        <v/>
      </c>
      <c r="P9" s="19">
        <f>IF('Daily Closes'!P9="","",$D9*('Daily Closes'!P9-$E9))</f>
        <v/>
      </c>
      <c r="Q9" s="19">
        <f>IF('Daily Closes'!Q9="","",$D9*('Daily Closes'!Q9-$E9))</f>
        <v/>
      </c>
      <c r="R9" s="19">
        <f>IF('Daily Closes'!R9="","",$D9*('Daily Closes'!R9-$E9))</f>
        <v/>
      </c>
      <c r="S9" s="19">
        <f>IF('Daily Closes'!S9="","",$D9*('Daily Closes'!S9-$E9))</f>
        <v/>
      </c>
      <c r="T9" s="19">
        <f>IF('Daily Closes'!T9="","",$D9*('Daily Closes'!T9-$E9))</f>
        <v/>
      </c>
      <c r="U9" s="19">
        <f>IF('Daily Closes'!U9="","",$D9*('Daily Closes'!U9-$E9))</f>
        <v/>
      </c>
      <c r="V9" s="19">
        <f>IF('Daily Closes'!V9="","",$D9*('Daily Closes'!V9-$E9))</f>
        <v/>
      </c>
      <c r="W9" s="19">
        <f>IF('Daily Closes'!W9="","",$D9*('Daily Closes'!W9-$E9))</f>
        <v/>
      </c>
      <c r="X9" s="19">
        <f>IF('Daily Closes'!X9="","",$D9*('Daily Closes'!X9-$E9))</f>
        <v/>
      </c>
      <c r="Y9" s="19">
        <f>IF('Daily Closes'!Y9="","",$D9*('Daily Closes'!Y9-$E9))</f>
        <v/>
      </c>
      <c r="Z9" s="19">
        <f>IF('Daily Closes'!Z9="","",$D9*('Daily Closes'!Z9-$E9))</f>
        <v/>
      </c>
      <c r="AA9" s="19">
        <f>IF('Daily Closes'!AA9="","",$D9*('Daily Closes'!AA9-$E9))</f>
        <v/>
      </c>
    </row>
    <row r="10">
      <c r="A10" s="48">
        <f>'Daily Closes'!A10</f>
        <v/>
      </c>
      <c r="B10" s="15">
        <f>'Daily Closes'!B10</f>
        <v/>
      </c>
      <c r="C10" s="49">
        <f>'Daily Closes'!C10</f>
        <v/>
      </c>
      <c r="D10" s="48">
        <f>'Daily Closes'!D10</f>
        <v/>
      </c>
      <c r="E10" s="17">
        <f>'Daily Closes'!E10</f>
        <v/>
      </c>
      <c r="F10" s="33" t="inlineStr">
        <is>
          <t>—</t>
        </is>
      </c>
      <c r="G10" s="19">
        <f>IF('Daily Closes'!G10="","",$D10*('Daily Closes'!G10-$E10))</f>
        <v/>
      </c>
      <c r="H10" s="19">
        <f>IF('Daily Closes'!H10="","",$D10*('Daily Closes'!H10-$E10))</f>
        <v/>
      </c>
      <c r="I10" s="19">
        <f>IF('Daily Closes'!I10="","",$D10*('Daily Closes'!I10-$E10))</f>
        <v/>
      </c>
      <c r="J10" s="19">
        <f>IF('Daily Closes'!J10="","",$D10*('Daily Closes'!J10-$E10))</f>
        <v/>
      </c>
      <c r="K10" s="19">
        <f>IF('Daily Closes'!K10="","",$D10*('Daily Closes'!K10-$E10))</f>
        <v/>
      </c>
      <c r="L10" s="19">
        <f>IF('Daily Closes'!L10="","",$D10*('Daily Closes'!L10-$E10))</f>
        <v/>
      </c>
      <c r="M10" s="19">
        <f>IF('Daily Closes'!M10="","",$D10*('Daily Closes'!M10-$E10))</f>
        <v/>
      </c>
      <c r="N10" s="19">
        <f>IF('Daily Closes'!N10="","",$D10*('Daily Closes'!N10-$E10))</f>
        <v/>
      </c>
      <c r="O10" s="19">
        <f>IF('Daily Closes'!O10="","",$D10*('Daily Closes'!O10-$E10))</f>
        <v/>
      </c>
      <c r="P10" s="19">
        <f>IF('Daily Closes'!P10="","",$D10*('Daily Closes'!P10-$E10))</f>
        <v/>
      </c>
      <c r="Q10" s="19">
        <f>IF('Daily Closes'!Q10="","",$D10*('Daily Closes'!Q10-$E10))</f>
        <v/>
      </c>
      <c r="R10" s="19">
        <f>IF('Daily Closes'!R10="","",$D10*('Daily Closes'!R10-$E10))</f>
        <v/>
      </c>
      <c r="S10" s="19">
        <f>IF('Daily Closes'!S10="","",$D10*('Daily Closes'!S10-$E10))</f>
        <v/>
      </c>
      <c r="T10" s="19">
        <f>IF('Daily Closes'!T10="","",$D10*('Daily Closes'!T10-$E10))</f>
        <v/>
      </c>
      <c r="U10" s="19">
        <f>IF('Daily Closes'!U10="","",$D10*('Daily Closes'!U10-$E10))</f>
        <v/>
      </c>
      <c r="V10" s="19">
        <f>IF('Daily Closes'!V10="","",$D10*('Daily Closes'!V10-$E10))</f>
        <v/>
      </c>
      <c r="W10" s="19">
        <f>IF('Daily Closes'!W10="","",$D10*('Daily Closes'!W10-$E10))</f>
        <v/>
      </c>
      <c r="X10" s="19">
        <f>IF('Daily Closes'!X10="","",$D10*('Daily Closes'!X10-$E10))</f>
        <v/>
      </c>
      <c r="Y10" s="19">
        <f>IF('Daily Closes'!Y10="","",$D10*('Daily Closes'!Y10-$E10))</f>
        <v/>
      </c>
      <c r="Z10" s="19">
        <f>IF('Daily Closes'!Z10="","",$D10*('Daily Closes'!Z10-$E10))</f>
        <v/>
      </c>
      <c r="AA10" s="19">
        <f>IF('Daily Closes'!AA10="","",$D10*('Daily Closes'!AA10-$E10))</f>
        <v/>
      </c>
    </row>
    <row r="11">
      <c r="A11" s="48">
        <f>'Daily Closes'!A11</f>
        <v/>
      </c>
      <c r="B11" s="15">
        <f>'Daily Closes'!B11</f>
        <v/>
      </c>
      <c r="C11" s="49">
        <f>'Daily Closes'!C11</f>
        <v/>
      </c>
      <c r="D11" s="48">
        <f>'Daily Closes'!D11</f>
        <v/>
      </c>
      <c r="E11" s="17">
        <f>'Daily Closes'!E11</f>
        <v/>
      </c>
      <c r="F11" s="33" t="inlineStr">
        <is>
          <t>—</t>
        </is>
      </c>
      <c r="G11" s="19">
        <f>IF('Daily Closes'!G11="","",$D11*('Daily Closes'!G11-$E11))</f>
        <v/>
      </c>
      <c r="H11" s="19">
        <f>IF('Daily Closes'!H11="","",$D11*('Daily Closes'!H11-$E11))</f>
        <v/>
      </c>
      <c r="I11" s="19">
        <f>IF('Daily Closes'!I11="","",$D11*('Daily Closes'!I11-$E11))</f>
        <v/>
      </c>
      <c r="J11" s="19">
        <f>IF('Daily Closes'!J11="","",$D11*('Daily Closes'!J11-$E11))</f>
        <v/>
      </c>
      <c r="K11" s="19">
        <f>IF('Daily Closes'!K11="","",$D11*('Daily Closes'!K11-$E11))</f>
        <v/>
      </c>
      <c r="L11" s="19">
        <f>IF('Daily Closes'!L11="","",$D11*('Daily Closes'!L11-$E11))</f>
        <v/>
      </c>
      <c r="M11" s="19">
        <f>IF('Daily Closes'!M11="","",$D11*('Daily Closes'!M11-$E11))</f>
        <v/>
      </c>
      <c r="N11" s="19">
        <f>IF('Daily Closes'!N11="","",$D11*('Daily Closes'!N11-$E11))</f>
        <v/>
      </c>
      <c r="O11" s="19">
        <f>IF('Daily Closes'!O11="","",$D11*('Daily Closes'!O11-$E11))</f>
        <v/>
      </c>
      <c r="P11" s="19">
        <f>IF('Daily Closes'!P11="","",$D11*('Daily Closes'!P11-$E11))</f>
        <v/>
      </c>
      <c r="Q11" s="19">
        <f>IF('Daily Closes'!Q11="","",$D11*('Daily Closes'!Q11-$E11))</f>
        <v/>
      </c>
      <c r="R11" s="19">
        <f>IF('Daily Closes'!R11="","",$D11*('Daily Closes'!R11-$E11))</f>
        <v/>
      </c>
      <c r="S11" s="19">
        <f>IF('Daily Closes'!S11="","",$D11*('Daily Closes'!S11-$E11))</f>
        <v/>
      </c>
      <c r="T11" s="19">
        <f>IF('Daily Closes'!T11="","",$D11*('Daily Closes'!T11-$E11))</f>
        <v/>
      </c>
      <c r="U11" s="19">
        <f>IF('Daily Closes'!U11="","",$D11*('Daily Closes'!U11-$E11))</f>
        <v/>
      </c>
      <c r="V11" s="19">
        <f>IF('Daily Closes'!V11="","",$D11*('Daily Closes'!V11-$E11))</f>
        <v/>
      </c>
      <c r="W11" s="19">
        <f>IF('Daily Closes'!W11="","",$D11*('Daily Closes'!W11-$E11))</f>
        <v/>
      </c>
      <c r="X11" s="19">
        <f>IF('Daily Closes'!X11="","",$D11*('Daily Closes'!X11-$E11))</f>
        <v/>
      </c>
      <c r="Y11" s="19">
        <f>IF('Daily Closes'!Y11="","",$D11*('Daily Closes'!Y11-$E11))</f>
        <v/>
      </c>
      <c r="Z11" s="19">
        <f>IF('Daily Closes'!Z11="","",$D11*('Daily Closes'!Z11-$E11))</f>
        <v/>
      </c>
      <c r="AA11" s="19">
        <f>IF('Daily Closes'!AA11="","",$D11*('Daily Closes'!AA11-$E11))</f>
        <v/>
      </c>
    </row>
    <row r="12">
      <c r="A12" s="48">
        <f>'Daily Closes'!A12</f>
        <v/>
      </c>
      <c r="B12" s="15">
        <f>'Daily Closes'!B12</f>
        <v/>
      </c>
      <c r="C12" s="49">
        <f>'Daily Closes'!C12</f>
        <v/>
      </c>
      <c r="D12" s="48">
        <f>'Daily Closes'!D12</f>
        <v/>
      </c>
      <c r="E12" s="17">
        <f>'Daily Closes'!E12</f>
        <v/>
      </c>
      <c r="F12" s="33" t="inlineStr">
        <is>
          <t>—</t>
        </is>
      </c>
      <c r="G12" s="19">
        <f>IF('Daily Closes'!G12="","",$D12*('Daily Closes'!G12-$E12))</f>
        <v/>
      </c>
      <c r="H12" s="19">
        <f>IF('Daily Closes'!H12="","",$D12*('Daily Closes'!H12-$E12))</f>
        <v/>
      </c>
      <c r="I12" s="19">
        <f>IF('Daily Closes'!I12="","",$D12*('Daily Closes'!I12-$E12))</f>
        <v/>
      </c>
      <c r="J12" s="19">
        <f>IF('Daily Closes'!J12="","",$D12*('Daily Closes'!J12-$E12))</f>
        <v/>
      </c>
      <c r="K12" s="19">
        <f>IF('Daily Closes'!K12="","",$D12*('Daily Closes'!K12-$E12))</f>
        <v/>
      </c>
      <c r="L12" s="19">
        <f>IF('Daily Closes'!L12="","",$D12*('Daily Closes'!L12-$E12))</f>
        <v/>
      </c>
      <c r="M12" s="19">
        <f>IF('Daily Closes'!M12="","",$D12*('Daily Closes'!M12-$E12))</f>
        <v/>
      </c>
      <c r="N12" s="19">
        <f>IF('Daily Closes'!N12="","",$D12*('Daily Closes'!N12-$E12))</f>
        <v/>
      </c>
      <c r="O12" s="19">
        <f>IF('Daily Closes'!O12="","",$D12*('Daily Closes'!O12-$E12))</f>
        <v/>
      </c>
      <c r="P12" s="19">
        <f>IF('Daily Closes'!P12="","",$D12*('Daily Closes'!P12-$E12))</f>
        <v/>
      </c>
      <c r="Q12" s="19">
        <f>IF('Daily Closes'!Q12="","",$D12*('Daily Closes'!Q12-$E12))</f>
        <v/>
      </c>
      <c r="R12" s="19">
        <f>IF('Daily Closes'!R12="","",$D12*('Daily Closes'!R12-$E12))</f>
        <v/>
      </c>
      <c r="S12" s="19">
        <f>IF('Daily Closes'!S12="","",$D12*('Daily Closes'!S12-$E12))</f>
        <v/>
      </c>
      <c r="T12" s="19">
        <f>IF('Daily Closes'!T12="","",$D12*('Daily Closes'!T12-$E12))</f>
        <v/>
      </c>
      <c r="U12" s="19">
        <f>IF('Daily Closes'!U12="","",$D12*('Daily Closes'!U12-$E12))</f>
        <v/>
      </c>
      <c r="V12" s="19">
        <f>IF('Daily Closes'!V12="","",$D12*('Daily Closes'!V12-$E12))</f>
        <v/>
      </c>
      <c r="W12" s="19">
        <f>IF('Daily Closes'!W12="","",$D12*('Daily Closes'!W12-$E12))</f>
        <v/>
      </c>
      <c r="X12" s="19">
        <f>IF('Daily Closes'!X12="","",$D12*('Daily Closes'!X12-$E12))</f>
        <v/>
      </c>
      <c r="Y12" s="19">
        <f>IF('Daily Closes'!Y12="","",$D12*('Daily Closes'!Y12-$E12))</f>
        <v/>
      </c>
      <c r="Z12" s="19">
        <f>IF('Daily Closes'!Z12="","",$D12*('Daily Closes'!Z12-$E12))</f>
        <v/>
      </c>
      <c r="AA12" s="19">
        <f>IF('Daily Closes'!AA12="","",$D12*('Daily Closes'!AA12-$E12))</f>
        <v/>
      </c>
    </row>
    <row r="13">
      <c r="A13" s="48">
        <f>'Daily Closes'!A13</f>
        <v/>
      </c>
      <c r="B13" s="15">
        <f>'Daily Closes'!B13</f>
        <v/>
      </c>
      <c r="C13" s="49">
        <f>'Daily Closes'!C13</f>
        <v/>
      </c>
      <c r="D13" s="48">
        <f>'Daily Closes'!D13</f>
        <v/>
      </c>
      <c r="E13" s="17">
        <f>'Daily Closes'!E13</f>
        <v/>
      </c>
      <c r="F13" s="33" t="inlineStr">
        <is>
          <t>—</t>
        </is>
      </c>
      <c r="G13" s="19">
        <f>IF('Daily Closes'!G13="","",$D13*('Daily Closes'!G13-$E13))</f>
        <v/>
      </c>
      <c r="H13" s="19">
        <f>IF('Daily Closes'!H13="","",$D13*('Daily Closes'!H13-$E13))</f>
        <v/>
      </c>
      <c r="I13" s="19">
        <f>IF('Daily Closes'!I13="","",$D13*('Daily Closes'!I13-$E13))</f>
        <v/>
      </c>
      <c r="J13" s="19">
        <f>IF('Daily Closes'!J13="","",$D13*('Daily Closes'!J13-$E13))</f>
        <v/>
      </c>
      <c r="K13" s="19">
        <f>IF('Daily Closes'!K13="","",$D13*('Daily Closes'!K13-$E13))</f>
        <v/>
      </c>
      <c r="L13" s="19">
        <f>IF('Daily Closes'!L13="","",$D13*('Daily Closes'!L13-$E13))</f>
        <v/>
      </c>
      <c r="M13" s="19">
        <f>IF('Daily Closes'!M13="","",$D13*('Daily Closes'!M13-$E13))</f>
        <v/>
      </c>
      <c r="N13" s="19">
        <f>IF('Daily Closes'!N13="","",$D13*('Daily Closes'!N13-$E13))</f>
        <v/>
      </c>
      <c r="O13" s="19">
        <f>IF('Daily Closes'!O13="","",$D13*('Daily Closes'!O13-$E13))</f>
        <v/>
      </c>
      <c r="P13" s="19">
        <f>IF('Daily Closes'!P13="","",$D13*('Daily Closes'!P13-$E13))</f>
        <v/>
      </c>
      <c r="Q13" s="19">
        <f>IF('Daily Closes'!Q13="","",$D13*('Daily Closes'!Q13-$E13))</f>
        <v/>
      </c>
      <c r="R13" s="19">
        <f>IF('Daily Closes'!R13="","",$D13*('Daily Closes'!R13-$E13))</f>
        <v/>
      </c>
      <c r="S13" s="19">
        <f>IF('Daily Closes'!S13="","",$D13*('Daily Closes'!S13-$E13))</f>
        <v/>
      </c>
      <c r="T13" s="19">
        <f>IF('Daily Closes'!T13="","",$D13*('Daily Closes'!T13-$E13))</f>
        <v/>
      </c>
      <c r="U13" s="19">
        <f>IF('Daily Closes'!U13="","",$D13*('Daily Closes'!U13-$E13))</f>
        <v/>
      </c>
      <c r="V13" s="19">
        <f>IF('Daily Closes'!V13="","",$D13*('Daily Closes'!V13-$E13))</f>
        <v/>
      </c>
      <c r="W13" s="19">
        <f>IF('Daily Closes'!W13="","",$D13*('Daily Closes'!W13-$E13))</f>
        <v/>
      </c>
      <c r="X13" s="19">
        <f>IF('Daily Closes'!X13="","",$D13*('Daily Closes'!X13-$E13))</f>
        <v/>
      </c>
      <c r="Y13" s="19">
        <f>IF('Daily Closes'!Y13="","",$D13*('Daily Closes'!Y13-$E13))</f>
        <v/>
      </c>
      <c r="Z13" s="19">
        <f>IF('Daily Closes'!Z13="","",$D13*('Daily Closes'!Z13-$E13))</f>
        <v/>
      </c>
      <c r="AA13" s="19">
        <f>IF('Daily Closes'!AA13="","",$D13*('Daily Closes'!AA13-$E13))</f>
        <v/>
      </c>
    </row>
    <row r="14">
      <c r="A14" s="48">
        <f>'Daily Closes'!A14</f>
        <v/>
      </c>
      <c r="B14" s="15">
        <f>'Daily Closes'!B14</f>
        <v/>
      </c>
      <c r="C14" s="49">
        <f>'Daily Closes'!C14</f>
        <v/>
      </c>
      <c r="D14" s="48">
        <f>'Daily Closes'!D14</f>
        <v/>
      </c>
      <c r="E14" s="17">
        <f>'Daily Closes'!E14</f>
        <v/>
      </c>
      <c r="F14" s="33" t="inlineStr">
        <is>
          <t>—</t>
        </is>
      </c>
      <c r="G14" s="19">
        <f>IF('Daily Closes'!G14="","",$D14*('Daily Closes'!G14-$E14))</f>
        <v/>
      </c>
      <c r="H14" s="19">
        <f>IF('Daily Closes'!H14="","",$D14*('Daily Closes'!H14-$E14))</f>
        <v/>
      </c>
      <c r="I14" s="19">
        <f>IF('Daily Closes'!I14="","",$D14*('Daily Closes'!I14-$E14))</f>
        <v/>
      </c>
      <c r="J14" s="19">
        <f>IF('Daily Closes'!J14="","",$D14*('Daily Closes'!J14-$E14))</f>
        <v/>
      </c>
      <c r="K14" s="19">
        <f>IF('Daily Closes'!K14="","",$D14*('Daily Closes'!K14-$E14))</f>
        <v/>
      </c>
      <c r="L14" s="19">
        <f>IF('Daily Closes'!L14="","",$D14*('Daily Closes'!L14-$E14))</f>
        <v/>
      </c>
      <c r="M14" s="19">
        <f>IF('Daily Closes'!M14="","",$D14*('Daily Closes'!M14-$E14))</f>
        <v/>
      </c>
      <c r="N14" s="19">
        <f>IF('Daily Closes'!N14="","",$D14*('Daily Closes'!N14-$E14))</f>
        <v/>
      </c>
      <c r="O14" s="19">
        <f>IF('Daily Closes'!O14="","",$D14*('Daily Closes'!O14-$E14))</f>
        <v/>
      </c>
      <c r="P14" s="19">
        <f>IF('Daily Closes'!P14="","",$D14*('Daily Closes'!P14-$E14))</f>
        <v/>
      </c>
      <c r="Q14" s="19">
        <f>IF('Daily Closes'!Q14="","",$D14*('Daily Closes'!Q14-$E14))</f>
        <v/>
      </c>
      <c r="R14" s="19">
        <f>IF('Daily Closes'!R14="","",$D14*('Daily Closes'!R14-$E14))</f>
        <v/>
      </c>
      <c r="S14" s="19">
        <f>IF('Daily Closes'!S14="","",$D14*('Daily Closes'!S14-$E14))</f>
        <v/>
      </c>
      <c r="T14" s="19">
        <f>IF('Daily Closes'!T14="","",$D14*('Daily Closes'!T14-$E14))</f>
        <v/>
      </c>
      <c r="U14" s="19">
        <f>IF('Daily Closes'!U14="","",$D14*('Daily Closes'!U14-$E14))</f>
        <v/>
      </c>
      <c r="V14" s="19">
        <f>IF('Daily Closes'!V14="","",$D14*('Daily Closes'!V14-$E14))</f>
        <v/>
      </c>
      <c r="W14" s="19">
        <f>IF('Daily Closes'!W14="","",$D14*('Daily Closes'!W14-$E14))</f>
        <v/>
      </c>
      <c r="X14" s="19">
        <f>IF('Daily Closes'!X14="","",$D14*('Daily Closes'!X14-$E14))</f>
        <v/>
      </c>
      <c r="Y14" s="19">
        <f>IF('Daily Closes'!Y14="","",$D14*('Daily Closes'!Y14-$E14))</f>
        <v/>
      </c>
      <c r="Z14" s="19">
        <f>IF('Daily Closes'!Z14="","",$D14*('Daily Closes'!Z14-$E14))</f>
        <v/>
      </c>
      <c r="AA14" s="19">
        <f>IF('Daily Closes'!AA14="","",$D14*('Daily Closes'!AA14-$E14))</f>
        <v/>
      </c>
    </row>
    <row r="15">
      <c r="A15" s="48">
        <f>'Daily Closes'!A15</f>
        <v/>
      </c>
      <c r="B15" s="15">
        <f>'Daily Closes'!B15</f>
        <v/>
      </c>
      <c r="C15" s="49">
        <f>'Daily Closes'!C15</f>
        <v/>
      </c>
      <c r="D15" s="48">
        <f>'Daily Closes'!D15</f>
        <v/>
      </c>
      <c r="E15" s="17">
        <f>'Daily Closes'!E15</f>
        <v/>
      </c>
      <c r="F15" s="33" t="inlineStr">
        <is>
          <t>—</t>
        </is>
      </c>
      <c r="G15" s="19">
        <f>IF('Daily Closes'!G15="","",$D15*('Daily Closes'!G15-$E15))</f>
        <v/>
      </c>
      <c r="H15" s="19">
        <f>IF('Daily Closes'!H15="","",$D15*('Daily Closes'!H15-$E15))</f>
        <v/>
      </c>
      <c r="I15" s="19">
        <f>IF('Daily Closes'!I15="","",$D15*('Daily Closes'!I15-$E15))</f>
        <v/>
      </c>
      <c r="J15" s="19">
        <f>IF('Daily Closes'!J15="","",$D15*('Daily Closes'!J15-$E15))</f>
        <v/>
      </c>
      <c r="K15" s="19">
        <f>IF('Daily Closes'!K15="","",$D15*('Daily Closes'!K15-$E15))</f>
        <v/>
      </c>
      <c r="L15" s="19">
        <f>IF('Daily Closes'!L15="","",$D15*('Daily Closes'!L15-$E15))</f>
        <v/>
      </c>
      <c r="M15" s="19">
        <f>IF('Daily Closes'!M15="","",$D15*('Daily Closes'!M15-$E15))</f>
        <v/>
      </c>
      <c r="N15" s="19">
        <f>IF('Daily Closes'!N15="","",$D15*('Daily Closes'!N15-$E15))</f>
        <v/>
      </c>
      <c r="O15" s="19">
        <f>IF('Daily Closes'!O15="","",$D15*('Daily Closes'!O15-$E15))</f>
        <v/>
      </c>
      <c r="P15" s="19">
        <f>IF('Daily Closes'!P15="","",$D15*('Daily Closes'!P15-$E15))</f>
        <v/>
      </c>
      <c r="Q15" s="19">
        <f>IF('Daily Closes'!Q15="","",$D15*('Daily Closes'!Q15-$E15))</f>
        <v/>
      </c>
      <c r="R15" s="19">
        <f>IF('Daily Closes'!R15="","",$D15*('Daily Closes'!R15-$E15))</f>
        <v/>
      </c>
      <c r="S15" s="19">
        <f>IF('Daily Closes'!S15="","",$D15*('Daily Closes'!S15-$E15))</f>
        <v/>
      </c>
      <c r="T15" s="19">
        <f>IF('Daily Closes'!T15="","",$D15*('Daily Closes'!T15-$E15))</f>
        <v/>
      </c>
      <c r="U15" s="19">
        <f>IF('Daily Closes'!U15="","",$D15*('Daily Closes'!U15-$E15))</f>
        <v/>
      </c>
      <c r="V15" s="19">
        <f>IF('Daily Closes'!V15="","",$D15*('Daily Closes'!V15-$E15))</f>
        <v/>
      </c>
      <c r="W15" s="19">
        <f>IF('Daily Closes'!W15="","",$D15*('Daily Closes'!W15-$E15))</f>
        <v/>
      </c>
      <c r="X15" s="19">
        <f>IF('Daily Closes'!X15="","",$D15*('Daily Closes'!X15-$E15))</f>
        <v/>
      </c>
      <c r="Y15" s="19">
        <f>IF('Daily Closes'!Y15="","",$D15*('Daily Closes'!Y15-$E15))</f>
        <v/>
      </c>
      <c r="Z15" s="19">
        <f>IF('Daily Closes'!Z15="","",$D15*('Daily Closes'!Z15-$E15))</f>
        <v/>
      </c>
      <c r="AA15" s="19">
        <f>IF('Daily Closes'!AA15="","",$D15*('Daily Closes'!AA15-$E15))</f>
        <v/>
      </c>
    </row>
    <row r="16">
      <c r="B16" s="15" t="inlineStr">
        <is>
          <t>TOTAL</t>
        </is>
      </c>
      <c r="G16" s="45">
        <f>IF(COUNT(G6:G15)=0,"",SUM(G6:G15))</f>
        <v/>
      </c>
      <c r="H16" s="45">
        <f>IF(COUNT(H6:H15)=0,"",SUM(H6:H15))</f>
        <v/>
      </c>
      <c r="I16" s="45">
        <f>IF(COUNT(I6:I15)=0,"",SUM(I6:I15))</f>
        <v/>
      </c>
      <c r="J16" s="45">
        <f>IF(COUNT(J6:J15)=0,"",SUM(J6:J15))</f>
        <v/>
      </c>
      <c r="K16" s="45">
        <f>IF(COUNT(K6:K15)=0,"",SUM(K6:K15))</f>
        <v/>
      </c>
      <c r="L16" s="45">
        <f>IF(COUNT(L6:L15)=0,"",SUM(L6:L15))</f>
        <v/>
      </c>
      <c r="M16" s="45">
        <f>IF(COUNT(M6:M15)=0,"",SUM(M6:M15))</f>
        <v/>
      </c>
      <c r="N16" s="45">
        <f>IF(COUNT(N6:N15)=0,"",SUM(N6:N15))</f>
        <v/>
      </c>
      <c r="O16" s="45">
        <f>IF(COUNT(O6:O15)=0,"",SUM(O6:O15))</f>
        <v/>
      </c>
      <c r="P16" s="45">
        <f>IF(COUNT(P6:P15)=0,"",SUM(P6:P15))</f>
        <v/>
      </c>
      <c r="Q16" s="45">
        <f>IF(COUNT(Q6:Q15)=0,"",SUM(Q6:Q15))</f>
        <v/>
      </c>
      <c r="R16" s="45">
        <f>IF(COUNT(R6:R15)=0,"",SUM(R6:R15))</f>
        <v/>
      </c>
      <c r="S16" s="45">
        <f>IF(COUNT(S6:S15)=0,"",SUM(S6:S15))</f>
        <v/>
      </c>
      <c r="T16" s="45">
        <f>IF(COUNT(T6:T15)=0,"",SUM(T6:T15))</f>
        <v/>
      </c>
      <c r="U16" s="45">
        <f>IF(COUNT(U6:U15)=0,"",SUM(U6:U15))</f>
        <v/>
      </c>
      <c r="V16" s="45">
        <f>IF(COUNT(V6:V15)=0,"",SUM(V6:V15))</f>
        <v/>
      </c>
      <c r="W16" s="45">
        <f>IF(COUNT(W6:W15)=0,"",SUM(W6:W15))</f>
        <v/>
      </c>
      <c r="X16" s="45">
        <f>IF(COUNT(X6:X15)=0,"",SUM(X6:X15))</f>
        <v/>
      </c>
      <c r="Y16" s="45">
        <f>IF(COUNT(Y6:Y15)=0,"",SUM(Y6:Y15))</f>
        <v/>
      </c>
      <c r="Z16" s="45">
        <f>IF(COUNT(Z6:Z15)=0,"",SUM(Z6:Z15))</f>
        <v/>
      </c>
      <c r="AA16" s="45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Day</t>
        </is>
      </c>
      <c r="B4" s="14" t="inlineStr">
        <is>
          <t>Date</t>
        </is>
      </c>
      <c r="C4" s="14" t="inlineStr">
        <is>
          <t>Status</t>
        </is>
      </c>
      <c r="D4" s="14" t="inlineStr">
        <is>
          <t>Portfolio Value ₹</t>
        </is>
      </c>
      <c r="E4" s="14" t="inlineStr">
        <is>
          <t>P&amp;L ₹</t>
        </is>
      </c>
      <c r="F4" s="14" t="inlineStr">
        <is>
          <t>Return %</t>
        </is>
      </c>
      <c r="G4" s="14" t="inlineStr">
        <is>
          <t>Daily %</t>
        </is>
      </c>
      <c r="H4" s="14" t="inlineStr">
        <is>
          <t>Drawdown %</t>
        </is>
      </c>
      <c r="I4" s="14" t="inlineStr">
        <is>
          <t>Nifty 50 %</t>
        </is>
      </c>
    </row>
    <row r="5">
      <c r="A5" s="50" t="n">
        <v>0</v>
      </c>
      <c r="B5" s="33" t="inlineStr">
        <is>
          <t>2026-09-28</t>
        </is>
      </c>
      <c r="C5" s="49" t="inlineStr">
        <is>
          <t>Signal</t>
        </is>
      </c>
      <c r="D5" s="19" t="n">
        <v>139903</v>
      </c>
      <c r="E5" s="19" t="n">
        <v>0</v>
      </c>
      <c r="F5" s="18" t="n">
        <v>0</v>
      </c>
      <c r="G5" s="18" t="n"/>
      <c r="H5" s="18" t="n"/>
      <c r="I5" s="18" t="n">
        <v>0</v>
      </c>
    </row>
    <row r="6">
      <c r="A6" s="50" t="n">
        <v>1</v>
      </c>
      <c r="B6" s="33" t="inlineStr">
        <is>
          <t>2026-09-29</t>
        </is>
      </c>
      <c r="C6" s="49" t="inlineStr">
        <is>
          <t>Entry</t>
        </is>
      </c>
      <c r="D6" s="19" t="n">
        <v>145178.6</v>
      </c>
      <c r="E6" s="19" t="n">
        <v>5223.55</v>
      </c>
      <c r="F6" s="18" t="n">
        <v>0.037323</v>
      </c>
      <c r="G6" s="18" t="n"/>
      <c r="H6" s="18" t="n">
        <v>0</v>
      </c>
      <c r="I6" s="18" t="n">
        <v>-0.002812</v>
      </c>
    </row>
    <row r="7">
      <c r="A7" s="50" t="n">
        <v>2</v>
      </c>
      <c r="B7" s="33" t="inlineStr">
        <is>
          <t>2026-09-30</t>
        </is>
      </c>
      <c r="C7" s="49" t="inlineStr">
        <is>
          <t>Hold</t>
        </is>
      </c>
      <c r="D7" s="19" t="n">
        <v>144421.3</v>
      </c>
      <c r="E7" s="19" t="n">
        <v>4466.25</v>
      </c>
      <c r="F7" s="18" t="n">
        <v>0.031912</v>
      </c>
      <c r="G7" s="18" t="n">
        <v>-0.005216</v>
      </c>
      <c r="H7" s="18" t="n">
        <v>-0.005216</v>
      </c>
      <c r="I7" s="18" t="n">
        <v>-0.007015</v>
      </c>
    </row>
    <row r="8">
      <c r="A8" s="50" t="n">
        <v>3</v>
      </c>
      <c r="B8" s="33" t="inlineStr">
        <is>
          <t>2026-10-01</t>
        </is>
      </c>
      <c r="C8" s="49" t="inlineStr">
        <is>
          <t>Hold</t>
        </is>
      </c>
      <c r="D8" s="19" t="n">
        <v>142311.25</v>
      </c>
      <c r="E8" s="19" t="n">
        <v>2356.2</v>
      </c>
      <c r="F8" s="18" t="n">
        <v>0.016835</v>
      </c>
      <c r="G8" s="18" t="n">
        <v>-0.01461</v>
      </c>
      <c r="H8" s="18" t="n">
        <v>-0.019751</v>
      </c>
      <c r="I8" s="18" t="n">
        <v>-0.015729</v>
      </c>
    </row>
    <row r="9">
      <c r="A9" s="50" t="n">
        <v>4</v>
      </c>
      <c r="B9" s="33" t="inlineStr">
        <is>
          <t>2026-10-02</t>
        </is>
      </c>
      <c r="C9" s="49" t="inlineStr">
        <is>
          <t>Hold</t>
        </is>
      </c>
      <c r="D9" s="19" t="n">
        <v>142311.25</v>
      </c>
      <c r="E9" s="19" t="n">
        <v>2356.2</v>
      </c>
      <c r="F9" s="18" t="n">
        <v>0.016835</v>
      </c>
      <c r="G9" s="18" t="n">
        <v>0</v>
      </c>
      <c r="H9" s="18" t="n">
        <v>-0.019751</v>
      </c>
      <c r="I9" s="18" t="n">
        <v>-0.015729</v>
      </c>
    </row>
    <row r="10">
      <c r="A10" s="50" t="n">
        <v>5</v>
      </c>
      <c r="B10" s="33" t="inlineStr">
        <is>
          <t>2026-10-05</t>
        </is>
      </c>
      <c r="C10" s="49" t="inlineStr">
        <is>
          <t>Hold</t>
        </is>
      </c>
      <c r="D10" s="19" t="n">
        <v>144045.15</v>
      </c>
      <c r="E10" s="19" t="n">
        <v>4090.1</v>
      </c>
      <c r="F10" s="18" t="n">
        <v>0.029224</v>
      </c>
      <c r="G10" s="18" t="n">
        <v>0.012184</v>
      </c>
      <c r="H10" s="18" t="n">
        <v>-0.007807</v>
      </c>
      <c r="I10" s="18" t="n">
        <v>-0.009854999999999999</v>
      </c>
    </row>
    <row r="11">
      <c r="A11" s="50" t="n">
        <v>6</v>
      </c>
      <c r="B11" s="33" t="inlineStr">
        <is>
          <t>2026-10-06</t>
        </is>
      </c>
      <c r="C11" s="49" t="inlineStr">
        <is>
          <t>Hold</t>
        </is>
      </c>
      <c r="D11" s="19" t="n">
        <v>148186.35</v>
      </c>
      <c r="E11" s="19" t="n">
        <v>8231.299999999999</v>
      </c>
      <c r="F11" s="18" t="n">
        <v>0.058814</v>
      </c>
      <c r="G11" s="18" t="n">
        <v>0.028749</v>
      </c>
      <c r="H11" s="18" t="n">
        <v>0</v>
      </c>
      <c r="I11" s="18" t="n">
        <v>-0.000182</v>
      </c>
    </row>
    <row r="12">
      <c r="A12" s="50" t="n">
        <v>7</v>
      </c>
      <c r="B12" s="33" t="inlineStr">
        <is>
          <t>2026-10-07</t>
        </is>
      </c>
      <c r="C12" s="49" t="inlineStr">
        <is>
          <t>Hold</t>
        </is>
      </c>
      <c r="D12" s="19" t="n">
        <v>148825.15</v>
      </c>
      <c r="E12" s="19" t="n">
        <v>8870.1</v>
      </c>
      <c r="F12" s="18" t="n">
        <v>0.063378</v>
      </c>
      <c r="G12" s="18" t="n">
        <v>0.004311</v>
      </c>
      <c r="H12" s="18" t="n">
        <v>0</v>
      </c>
      <c r="I12" s="18" t="n">
        <v>-0.007779</v>
      </c>
    </row>
    <row r="13">
      <c r="A13" s="50" t="n">
        <v>8</v>
      </c>
      <c r="B13" s="33" t="inlineStr">
        <is>
          <t>2026-10-08</t>
        </is>
      </c>
      <c r="C13" s="49" t="inlineStr">
        <is>
          <t>Hold</t>
        </is>
      </c>
      <c r="D13" s="19" t="n">
        <v>145212.55</v>
      </c>
      <c r="E13" s="19" t="n">
        <v>5257.5</v>
      </c>
      <c r="F13" s="18" t="n">
        <v>0.037566</v>
      </c>
      <c r="G13" s="18" t="n">
        <v>-0.024274</v>
      </c>
      <c r="H13" s="18" t="n">
        <v>-0.024274</v>
      </c>
      <c r="I13" s="18" t="n">
        <v>-0.024076</v>
      </c>
    </row>
    <row r="14">
      <c r="A14" s="50" t="n">
        <v>9</v>
      </c>
      <c r="B14" s="33" t="inlineStr">
        <is>
          <t>2026-10-09</t>
        </is>
      </c>
      <c r="C14" s="49" t="inlineStr">
        <is>
          <t>Hold</t>
        </is>
      </c>
      <c r="D14" s="19" t="n">
        <v>146665.1</v>
      </c>
      <c r="E14" s="19" t="n">
        <v>6710.05</v>
      </c>
      <c r="F14" s="18" t="n">
        <v>0.047944</v>
      </c>
      <c r="G14" s="18" t="n">
        <v>0.010003</v>
      </c>
      <c r="H14" s="18" t="n">
        <v>-0.014514</v>
      </c>
      <c r="I14" s="18" t="n">
        <v>-0.011405</v>
      </c>
    </row>
    <row r="15">
      <c r="A15" s="50" t="n">
        <v>10</v>
      </c>
      <c r="B15" s="33" t="inlineStr">
        <is>
          <t>2026-10-12</t>
        </is>
      </c>
      <c r="C15" s="49" t="inlineStr">
        <is>
          <t>Hold</t>
        </is>
      </c>
      <c r="D15" s="19" t="n">
        <v>150238.35</v>
      </c>
      <c r="E15" s="19" t="n">
        <v>10283.3</v>
      </c>
      <c r="F15" s="18" t="n">
        <v>0.073476</v>
      </c>
      <c r="G15" s="18" t="n">
        <v>0.024363</v>
      </c>
      <c r="H15" s="18" t="n">
        <v>0</v>
      </c>
      <c r="I15" s="18" t="n">
        <v>-0.018301</v>
      </c>
    </row>
    <row r="16">
      <c r="A16" s="50" t="n">
        <v>11</v>
      </c>
      <c r="B16" s="33" t="inlineStr">
        <is>
          <t>2026-10-13</t>
        </is>
      </c>
      <c r="C16" s="49" t="inlineStr">
        <is>
          <t>Hold</t>
        </is>
      </c>
      <c r="D16" s="19" t="n">
        <v>148485.25</v>
      </c>
      <c r="E16" s="19" t="n">
        <v>8530.200000000001</v>
      </c>
      <c r="F16" s="18" t="n">
        <v>0.06095</v>
      </c>
      <c r="G16" s="18" t="n">
        <v>-0.011669</v>
      </c>
      <c r="H16" s="18" t="n">
        <v>-0.011669</v>
      </c>
      <c r="I16" s="18" t="n">
        <v>-0.002559</v>
      </c>
    </row>
    <row r="17">
      <c r="A17" s="50" t="n">
        <v>12</v>
      </c>
      <c r="B17" s="33" t="inlineStr">
        <is>
          <t>2026-10-14</t>
        </is>
      </c>
      <c r="C17" s="49" t="inlineStr">
        <is>
          <t>Hold</t>
        </is>
      </c>
      <c r="D17" s="19" t="n">
        <v>148334.2</v>
      </c>
      <c r="E17" s="19" t="n">
        <v>8379.15</v>
      </c>
      <c r="F17" s="18" t="n">
        <v>0.05987</v>
      </c>
      <c r="G17" s="18" t="n">
        <v>-0.001017</v>
      </c>
      <c r="H17" s="18" t="n">
        <v>-0.012674</v>
      </c>
      <c r="I17" s="18" t="n">
        <v>-0.006916</v>
      </c>
    </row>
    <row r="18">
      <c r="A18" s="50" t="n">
        <v>13</v>
      </c>
      <c r="B18" s="33" t="inlineStr">
        <is>
          <t>2026-10-15</t>
        </is>
      </c>
      <c r="C18" s="49" t="inlineStr">
        <is>
          <t>Hold</t>
        </is>
      </c>
      <c r="D18" s="19" t="n">
        <v>143337.25</v>
      </c>
      <c r="E18" s="19" t="n">
        <v>3382.2</v>
      </c>
      <c r="F18" s="18" t="n">
        <v>0.024166</v>
      </c>
      <c r="G18" s="18" t="n">
        <v>-0.033687</v>
      </c>
      <c r="H18" s="18" t="n">
        <v>-0.045934</v>
      </c>
      <c r="I18" s="18" t="n">
        <v>0.00953</v>
      </c>
    </row>
    <row r="19">
      <c r="A19" s="50" t="n">
        <v>14</v>
      </c>
      <c r="B19" s="33" t="inlineStr">
        <is>
          <t>2026-10-16</t>
        </is>
      </c>
      <c r="C19" s="49" t="inlineStr">
        <is>
          <t>Hold</t>
        </is>
      </c>
      <c r="D19" s="19" t="n">
        <v>142526.25</v>
      </c>
      <c r="E19" s="19" t="n">
        <v>2571.2</v>
      </c>
      <c r="F19" s="18" t="n">
        <v>0.018372</v>
      </c>
      <c r="G19" s="18" t="n">
        <v>-0.005658</v>
      </c>
      <c r="H19" s="18" t="n">
        <v>-0.051332</v>
      </c>
      <c r="I19" s="18" t="n">
        <v>0.016062</v>
      </c>
    </row>
    <row r="20">
      <c r="A20" s="50" t="n">
        <v>15</v>
      </c>
      <c r="B20" s="33" t="inlineStr">
        <is>
          <t>2026-10-19</t>
        </is>
      </c>
      <c r="C20" s="49" t="inlineStr">
        <is>
          <t>Hold</t>
        </is>
      </c>
      <c r="D20" s="19" t="n">
        <v>140052.45</v>
      </c>
      <c r="E20" s="19" t="n">
        <v>97.40000000000001</v>
      </c>
      <c r="F20" s="18" t="n">
        <v>0.000696</v>
      </c>
      <c r="G20" s="18" t="n">
        <v>-0.017357</v>
      </c>
      <c r="H20" s="18" t="n">
        <v>-0.067798</v>
      </c>
      <c r="I20" s="18" t="n">
        <v>0.004772</v>
      </c>
    </row>
    <row r="21">
      <c r="A21" s="50" t="n">
        <v>16</v>
      </c>
      <c r="B21" s="33" t="inlineStr">
        <is>
          <t>2026-10-21</t>
        </is>
      </c>
      <c r="C21" s="49" t="inlineStr">
        <is>
          <t>Hold</t>
        </is>
      </c>
      <c r="D21" s="19" t="n">
        <v>135474.2</v>
      </c>
      <c r="E21" s="19" t="n">
        <v>-4480.85</v>
      </c>
      <c r="F21" s="18" t="n">
        <v>-0.032016</v>
      </c>
      <c r="G21" s="18" t="n">
        <v>-0.03269</v>
      </c>
      <c r="H21" s="18" t="n">
        <v>-0.098272</v>
      </c>
      <c r="I21" s="18" t="n">
        <v>0.001365</v>
      </c>
    </row>
    <row r="22">
      <c r="A22" s="50" t="n">
        <v>17</v>
      </c>
      <c r="B22" s="33" t="inlineStr">
        <is>
          <t>2026-10-22</t>
        </is>
      </c>
      <c r="C22" s="49" t="inlineStr">
        <is>
          <t>Hold</t>
        </is>
      </c>
      <c r="D22" s="19" t="n">
        <v>132806.35</v>
      </c>
      <c r="E22" s="19" t="n">
        <v>-7148.7</v>
      </c>
      <c r="F22" s="18" t="n">
        <v>-0.051079</v>
      </c>
      <c r="G22" s="18" t="n">
        <v>-0.019693</v>
      </c>
      <c r="H22" s="18" t="n">
        <v>-0.116029</v>
      </c>
      <c r="I22" s="18" t="n">
        <v>-0.004065</v>
      </c>
    </row>
    <row r="23">
      <c r="A23" s="50" t="n">
        <v>18</v>
      </c>
      <c r="B23" s="33" t="inlineStr">
        <is>
          <t>2026-10-23</t>
        </is>
      </c>
      <c r="C23" s="49" t="inlineStr">
        <is>
          <t>Hold</t>
        </is>
      </c>
      <c r="D23" s="19" t="n">
        <v>127614.75</v>
      </c>
      <c r="E23" s="19" t="n">
        <v>-12340.3</v>
      </c>
      <c r="F23" s="18" t="n">
        <v>-0.088173</v>
      </c>
      <c r="G23" s="18" t="n">
        <v>-0.039092</v>
      </c>
      <c r="H23" s="18" t="n">
        <v>-0.150585</v>
      </c>
      <c r="I23" s="18" t="n">
        <v>-0.007913</v>
      </c>
    </row>
    <row r="24">
      <c r="A24" s="50" t="n">
        <v>19</v>
      </c>
      <c r="B24" s="33" t="inlineStr">
        <is>
          <t>2026-10-26</t>
        </is>
      </c>
      <c r="C24" s="49" t="inlineStr">
        <is>
          <t>Hold</t>
        </is>
      </c>
      <c r="D24" s="19" t="n">
        <v>133318.1</v>
      </c>
      <c r="E24" s="19" t="n">
        <v>-6636.95</v>
      </c>
      <c r="F24" s="18" t="n">
        <v>-0.047422</v>
      </c>
      <c r="G24" s="18" t="n">
        <v>0.044692</v>
      </c>
      <c r="H24" s="18" t="n">
        <v>-0.112623</v>
      </c>
      <c r="I24" s="18" t="n">
        <v>-0.001187</v>
      </c>
    </row>
    <row r="25">
      <c r="A25" s="50" t="n">
        <v>20</v>
      </c>
      <c r="B25" s="33" t="inlineStr">
        <is>
          <t>2026-10-27</t>
        </is>
      </c>
      <c r="C25" s="49" t="inlineStr">
        <is>
          <t>Exit reminder</t>
        </is>
      </c>
      <c r="D25" s="19" t="n">
        <v>138248.3</v>
      </c>
      <c r="E25" s="19" t="n">
        <v>-1706.75</v>
      </c>
      <c r="F25" s="18" t="n">
        <v>-0.012195</v>
      </c>
      <c r="G25" s="18" t="n">
        <v>0.036981</v>
      </c>
      <c r="H25" s="18" t="n">
        <v>-0.079807</v>
      </c>
      <c r="I25" s="18" t="n">
        <v>-0.001339</v>
      </c>
    </row>
    <row r="26">
      <c r="A26" s="51" t="n">
        <v>21</v>
      </c>
      <c r="B26" s="52" t="inlineStr">
        <is>
          <t>2026-10-28</t>
        </is>
      </c>
      <c r="C26" s="53" t="inlineStr">
        <is>
          <t>Exit</t>
        </is>
      </c>
      <c r="D26" s="54" t="n">
        <v>137941.1</v>
      </c>
      <c r="E26" s="54" t="n">
        <v>-2013.95</v>
      </c>
      <c r="F26" s="55" t="n">
        <v>-0.01439</v>
      </c>
      <c r="G26" s="55" t="n">
        <v>-0.002222</v>
      </c>
      <c r="H26" s="55" t="n">
        <v>-0.08185199999999999</v>
      </c>
      <c r="I26" s="55" t="n">
        <v>-0.003573</v>
      </c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1" t="inlineStr">
        <is>
          <t>Batch ID</t>
        </is>
      </c>
      <c r="C4" s="49" t="inlineStr">
        <is>
          <t>2026-09-28</t>
        </is>
      </c>
      <c r="D4" s="56" t="n"/>
      <c r="E4" s="56" t="n"/>
      <c r="F4" s="56" t="n"/>
      <c r="G4" s="56" t="n"/>
      <c r="H4" s="57" t="n"/>
    </row>
    <row r="5">
      <c r="B5" s="21" t="inlineStr">
        <is>
          <t>Signal date (Day 0)</t>
        </is>
      </c>
      <c r="C5" s="49" t="inlineStr">
        <is>
          <t>2026-09-28</t>
        </is>
      </c>
      <c r="D5" s="56" t="n"/>
      <c r="E5" s="56" t="n"/>
      <c r="F5" s="56" t="n"/>
      <c r="G5" s="56" t="n"/>
      <c r="H5" s="57" t="n"/>
    </row>
    <row r="6">
      <c r="B6" s="21" t="inlineStr">
        <is>
          <t>Exit (HTML estimate)</t>
        </is>
      </c>
      <c r="C6" s="49" t="inlineStr">
        <is>
          <t>2026-10-27</t>
        </is>
      </c>
      <c r="D6" s="56" t="n"/>
      <c r="E6" s="56" t="n"/>
      <c r="F6" s="56" t="n"/>
      <c r="G6" s="56" t="n"/>
      <c r="H6" s="57" t="n"/>
    </row>
    <row r="7">
      <c r="B7" s="21" t="inlineStr">
        <is>
          <t>Exit (projected, NSE calendar)</t>
        </is>
      </c>
      <c r="C7" s="49" t="inlineStr">
        <is>
          <t>2026-10-28</t>
        </is>
      </c>
      <c r="D7" s="56" t="n"/>
      <c r="E7" s="56" t="n"/>
      <c r="F7" s="56" t="n"/>
      <c r="G7" s="56" t="n"/>
      <c r="H7" s="57" t="n"/>
    </row>
    <row r="8">
      <c r="B8" s="21" t="inlineStr">
        <is>
          <t>Hold</t>
        </is>
      </c>
      <c r="C8" s="49" t="inlineStr">
        <is>
          <t>21 sessions — no stop, no target</t>
        </is>
      </c>
      <c r="D8" s="56" t="n"/>
      <c r="E8" s="56" t="n"/>
      <c r="F8" s="56" t="n"/>
      <c r="G8" s="56" t="n"/>
      <c r="H8" s="57" t="n"/>
    </row>
    <row r="9">
      <c r="B9" s="21" t="inlineStr">
        <is>
          <t>Universe</t>
        </is>
      </c>
      <c r="C9" s="49" t="inlineStr">
        <is>
          <t>liquidity top 400 of all NSE stocks</t>
        </is>
      </c>
      <c r="D9" s="56" t="n"/>
      <c r="E9" s="56" t="n"/>
      <c r="F9" s="56" t="n"/>
      <c r="G9" s="56" t="n"/>
      <c r="H9" s="57" t="n"/>
    </row>
    <row r="10">
      <c r="B10" s="21" t="inlineStr">
        <is>
          <t>Capital committed (at signal close)</t>
        </is>
      </c>
      <c r="C10" s="58" t="n">
        <v>139903</v>
      </c>
      <c r="D10" s="56" t="n"/>
      <c r="E10" s="56" t="n"/>
      <c r="F10" s="56" t="n"/>
      <c r="G10" s="56" t="n"/>
      <c r="H10" s="57" t="n"/>
    </row>
    <row r="11">
      <c r="B11" s="21" t="inlineStr">
        <is>
          <t>Estimated costs</t>
        </is>
      </c>
      <c r="C11" s="58" t="n">
        <v>859</v>
      </c>
      <c r="D11" s="56" t="n"/>
      <c r="E11" s="56" t="n"/>
      <c r="F11" s="56" t="n"/>
      <c r="G11" s="56" t="n"/>
      <c r="H11" s="57" t="n"/>
    </row>
    <row r="12">
      <c r="B12" s="21" t="inlineStr">
        <is>
          <t>Cost %</t>
        </is>
      </c>
      <c r="C12" s="49" t="inlineStr">
        <is>
          <t>0.6%</t>
        </is>
      </c>
      <c r="D12" s="56" t="n"/>
      <c r="E12" s="56" t="n"/>
      <c r="F12" s="56" t="n"/>
      <c r="G12" s="56" t="n"/>
      <c r="H12" s="57" t="n"/>
    </row>
    <row r="13">
      <c r="B13" s="21" t="inlineStr">
        <is>
          <t>Market regime</t>
        </is>
      </c>
      <c r="C13" s="49" t="inlineStr">
        <is>
          <t>Down — the signal's weakest regime historically</t>
        </is>
      </c>
      <c r="D13" s="56" t="n"/>
      <c r="E13" s="56" t="n"/>
      <c r="F13" s="56" t="n"/>
      <c r="G13" s="56" t="n"/>
      <c r="H13" s="57" t="n"/>
    </row>
    <row r="14">
      <c r="B14" s="21" t="inlineStr">
        <is>
          <t>Stocks with a warning</t>
        </is>
      </c>
      <c r="C14" s="49" t="inlineStr">
        <is>
          <t>0 of 10</t>
        </is>
      </c>
      <c r="D14" s="56" t="n"/>
      <c r="E14" s="56" t="n"/>
      <c r="F14" s="56" t="n"/>
      <c r="G14" s="56" t="n"/>
      <c r="H14" s="57" t="n"/>
    </row>
    <row r="17">
      <c r="B17" s="14" t="inlineStr">
        <is>
          <t>#</t>
        </is>
      </c>
      <c r="C17" s="14" t="inlineStr">
        <is>
          <t>Symbol</t>
        </is>
      </c>
      <c r="D17" s="14" t="inlineStr">
        <is>
          <t>ISIN</t>
        </is>
      </c>
      <c r="E17" s="14" t="inlineStr">
        <is>
          <t>Qty</t>
        </is>
      </c>
      <c r="F17" s="14" t="inlineStr">
        <is>
          <t>Signal close</t>
        </is>
      </c>
      <c r="G17" s="14" t="inlineStr">
        <is>
          <t>Amount</t>
        </is>
      </c>
      <c r="H17" s="14" t="inlineStr">
        <is>
          <t>12-1 %</t>
        </is>
      </c>
      <c r="I17" s="14" t="inlineStr">
        <is>
          <t>6-1 %</t>
        </is>
      </c>
      <c r="J17" s="14" t="inlineStr">
        <is>
          <t>3-1 %</t>
        </is>
      </c>
      <c r="K17" s="14" t="inlineStr">
        <is>
          <t>Vol %</t>
        </is>
      </c>
      <c r="L17" s="14" t="inlineStr">
        <is>
          <t>Traded daily (cr)</t>
        </is>
      </c>
      <c r="M17" s="14" t="inlineStr">
        <is>
          <t>From 12m high %</t>
        </is>
      </c>
      <c r="N17" s="14" t="inlineStr">
        <is>
          <t>Signal rank</t>
        </is>
      </c>
      <c r="O17" s="14" t="inlineStr">
        <is>
          <t>Data quality</t>
        </is>
      </c>
      <c r="P17" s="14" t="inlineStr">
        <is>
          <t>Watch</t>
        </is>
      </c>
    </row>
    <row r="18">
      <c r="B18" s="48" t="n">
        <v>1</v>
      </c>
      <c r="C18" s="49" t="inlineStr">
        <is>
          <t>TDPOWERSYS</t>
        </is>
      </c>
      <c r="D18" s="49" t="inlineStr">
        <is>
          <t>INE419M01035</t>
        </is>
      </c>
      <c r="E18" s="48" t="n">
        <v>20</v>
      </c>
      <c r="F18" s="17" t="n">
        <v>722</v>
      </c>
      <c r="G18" s="17" t="n">
        <v>14440</v>
      </c>
      <c r="H18" s="48" t="n">
        <v>177</v>
      </c>
      <c r="I18" s="48" t="n">
        <v>72.2</v>
      </c>
      <c r="J18" s="48" t="n">
        <v>19.6</v>
      </c>
      <c r="K18" s="48" t="n">
        <v>60.1</v>
      </c>
      <c r="L18" s="48" t="n">
        <v>128</v>
      </c>
      <c r="M18" s="48" t="n">
        <v>-10.3</v>
      </c>
      <c r="N18" s="48" t="n">
        <v>6</v>
      </c>
      <c r="O18" s="49" t="inlineStr">
        <is>
          <t>Green</t>
        </is>
      </c>
      <c r="P18" s="49" t="inlineStr">
        <is>
          <t>Nothing flagged</t>
        </is>
      </c>
    </row>
    <row r="19">
      <c r="B19" s="48" t="n">
        <v>2</v>
      </c>
      <c r="C19" s="49" t="inlineStr">
        <is>
          <t>AEROFLEX</t>
        </is>
      </c>
      <c r="D19" s="49" t="inlineStr">
        <is>
          <t>INE024001021</t>
        </is>
      </c>
      <c r="E19" s="48" t="n">
        <v>29</v>
      </c>
      <c r="F19" s="17" t="n">
        <v>513.4</v>
      </c>
      <c r="G19" s="17" t="n">
        <v>14889</v>
      </c>
      <c r="H19" s="48" t="n">
        <v>175</v>
      </c>
      <c r="I19" s="48" t="n">
        <v>107</v>
      </c>
      <c r="J19" s="48" t="n">
        <v>10.7</v>
      </c>
      <c r="K19" s="48" t="n">
        <v>67.3</v>
      </c>
      <c r="L19" s="48" t="n">
        <v>53</v>
      </c>
      <c r="M19" s="48" t="n">
        <v>-10.5</v>
      </c>
      <c r="N19" s="48" t="n">
        <v>7</v>
      </c>
      <c r="O19" s="49" t="inlineStr">
        <is>
          <t>Green</t>
        </is>
      </c>
      <c r="P19" s="49" t="inlineStr">
        <is>
          <t>Nothing flagged</t>
        </is>
      </c>
    </row>
    <row r="20">
      <c r="B20" s="48" t="n">
        <v>3</v>
      </c>
      <c r="C20" s="49" t="inlineStr">
        <is>
          <t>ATHERENERG</t>
        </is>
      </c>
      <c r="D20" s="49" t="inlineStr">
        <is>
          <t>INE0LEZ01016</t>
        </is>
      </c>
      <c r="E20" s="48" t="n">
        <v>10</v>
      </c>
      <c r="F20" s="17" t="n">
        <v>1454.9</v>
      </c>
      <c r="G20" s="17" t="n">
        <v>14549</v>
      </c>
      <c r="H20" s="48" t="n">
        <v>166</v>
      </c>
      <c r="I20" s="48" t="n">
        <v>97.5</v>
      </c>
      <c r="J20" s="48" t="n">
        <v>31.1</v>
      </c>
      <c r="K20" s="48" t="n">
        <v>49.4</v>
      </c>
      <c r="L20" s="48" t="n">
        <v>493</v>
      </c>
      <c r="M20" s="48" t="n">
        <v>-15.7</v>
      </c>
      <c r="N20" s="48" t="n">
        <v>9</v>
      </c>
      <c r="O20" s="49" t="inlineStr">
        <is>
          <t>Green</t>
        </is>
      </c>
      <c r="P20" s="49" t="inlineStr">
        <is>
          <t>Nothing flagged</t>
        </is>
      </c>
    </row>
    <row r="21">
      <c r="B21" s="48" t="n">
        <v>4</v>
      </c>
      <c r="C21" s="49" t="inlineStr">
        <is>
          <t>THANGAMAYL</t>
        </is>
      </c>
      <c r="D21" s="49" t="inlineStr">
        <is>
          <t>INE085J01014</t>
        </is>
      </c>
      <c r="E21" s="48" t="n">
        <v>2</v>
      </c>
      <c r="F21" s="17" t="n">
        <v>5011.5</v>
      </c>
      <c r="G21" s="17" t="n">
        <v>10023</v>
      </c>
      <c r="H21" s="48" t="n">
        <v>154</v>
      </c>
      <c r="I21" s="48" t="n">
        <v>66.3</v>
      </c>
      <c r="J21" s="48" t="n">
        <v>-14</v>
      </c>
      <c r="K21" s="48" t="n">
        <v>59.8</v>
      </c>
      <c r="L21" s="48" t="n">
        <v>71</v>
      </c>
      <c r="M21" s="48" t="n">
        <v>-31.4</v>
      </c>
      <c r="N21" s="48" t="n">
        <v>11</v>
      </c>
      <c r="O21" s="49" t="inlineStr">
        <is>
          <t>Green</t>
        </is>
      </c>
      <c r="P21" s="49" t="inlineStr">
        <is>
          <t>Nothing flagged</t>
        </is>
      </c>
    </row>
    <row r="22">
      <c r="B22" s="48" t="n">
        <v>5</v>
      </c>
      <c r="C22" s="49" t="inlineStr">
        <is>
          <t>RRKABEL</t>
        </is>
      </c>
      <c r="D22" s="49" t="inlineStr">
        <is>
          <t>INE777K01022</t>
        </is>
      </c>
      <c r="E22" s="48" t="n">
        <v>6</v>
      </c>
      <c r="F22" s="17" t="n">
        <v>2459.8</v>
      </c>
      <c r="G22" s="17" t="n">
        <v>14759</v>
      </c>
      <c r="H22" s="48" t="n">
        <v>126</v>
      </c>
      <c r="I22" s="48" t="n">
        <v>110</v>
      </c>
      <c r="J22" s="48" t="n">
        <v>18.2</v>
      </c>
      <c r="K22" s="48" t="n">
        <v>44</v>
      </c>
      <c r="L22" s="48" t="n">
        <v>93</v>
      </c>
      <c r="M22" s="48" t="n">
        <v>-16</v>
      </c>
      <c r="N22" s="48" t="n">
        <v>15</v>
      </c>
      <c r="O22" s="49" t="inlineStr">
        <is>
          <t>Green</t>
        </is>
      </c>
      <c r="P22" s="49" t="inlineStr">
        <is>
          <t>Nothing flagged</t>
        </is>
      </c>
    </row>
    <row r="23">
      <c r="B23" s="48" t="n">
        <v>6</v>
      </c>
      <c r="C23" s="49" t="inlineStr">
        <is>
          <t>ACUTAAS</t>
        </is>
      </c>
      <c r="D23" s="49" t="inlineStr">
        <is>
          <t>INE00FF01025</t>
        </is>
      </c>
      <c r="E23" s="48" t="n">
        <v>4</v>
      </c>
      <c r="F23" s="17" t="n">
        <v>3214.4</v>
      </c>
      <c r="G23" s="17" t="n">
        <v>12858</v>
      </c>
      <c r="H23" s="48" t="n">
        <v>126</v>
      </c>
      <c r="I23" s="48" t="n">
        <v>36.7</v>
      </c>
      <c r="J23" s="48" t="n">
        <v>-5.6</v>
      </c>
      <c r="K23" s="48" t="n">
        <v>46.7</v>
      </c>
      <c r="L23" s="48" t="n">
        <v>101</v>
      </c>
      <c r="M23" s="48" t="n">
        <v>-13</v>
      </c>
      <c r="N23" s="48" t="n">
        <v>16</v>
      </c>
      <c r="O23" s="49" t="inlineStr">
        <is>
          <t>Green</t>
        </is>
      </c>
      <c r="P23" s="49" t="inlineStr">
        <is>
          <t>Nothing flagged</t>
        </is>
      </c>
    </row>
    <row r="24">
      <c r="B24" s="48" t="n">
        <v>7</v>
      </c>
      <c r="C24" s="49" t="inlineStr">
        <is>
          <t>DIACABS</t>
        </is>
      </c>
      <c r="D24" s="49" t="inlineStr">
        <is>
          <t>INE989C01038</t>
        </is>
      </c>
      <c r="E24" s="48" t="n">
        <v>44</v>
      </c>
      <c r="F24" s="17" t="n">
        <v>339.25</v>
      </c>
      <c r="G24" s="17" t="n">
        <v>14927</v>
      </c>
      <c r="H24" s="48" t="n">
        <v>124</v>
      </c>
      <c r="I24" s="48" t="n">
        <v>180</v>
      </c>
      <c r="J24" s="48" t="n">
        <v>61.7</v>
      </c>
      <c r="K24" s="48" t="n">
        <v>53.6</v>
      </c>
      <c r="L24" s="48" t="n">
        <v>51</v>
      </c>
      <c r="M24" s="48" t="n">
        <v>-14.1</v>
      </c>
      <c r="N24" s="48" t="n">
        <v>17</v>
      </c>
      <c r="O24" s="49" t="inlineStr">
        <is>
          <t>Green</t>
        </is>
      </c>
      <c r="P24" s="49" t="inlineStr">
        <is>
          <t>Nothing flagged</t>
        </is>
      </c>
    </row>
    <row r="25">
      <c r="B25" s="48" t="n">
        <v>8</v>
      </c>
      <c r="C25" s="49" t="inlineStr">
        <is>
          <t>KIRLOSENG</t>
        </is>
      </c>
      <c r="D25" s="49" t="inlineStr">
        <is>
          <t>INE146L01010</t>
        </is>
      </c>
      <c r="E25" s="48" t="n">
        <v>7</v>
      </c>
      <c r="F25" s="17" t="n">
        <v>2141.2</v>
      </c>
      <c r="G25" s="17" t="n">
        <v>14988</v>
      </c>
      <c r="H25" s="48" t="n">
        <v>123</v>
      </c>
      <c r="I25" s="48" t="n">
        <v>58.2</v>
      </c>
      <c r="J25" s="48" t="n">
        <v>-11.2</v>
      </c>
      <c r="K25" s="48" t="n">
        <v>49.9</v>
      </c>
      <c r="L25" s="48" t="n">
        <v>87</v>
      </c>
      <c r="M25" s="48" t="n">
        <v>-16.5</v>
      </c>
      <c r="N25" s="48" t="n">
        <v>18</v>
      </c>
      <c r="O25" s="49" t="inlineStr">
        <is>
          <t>Green</t>
        </is>
      </c>
      <c r="P25" s="49" t="inlineStr">
        <is>
          <t>Nothing flagged</t>
        </is>
      </c>
    </row>
    <row r="26">
      <c r="B26" s="48" t="n">
        <v>9</v>
      </c>
      <c r="C26" s="49" t="inlineStr">
        <is>
          <t>E2E</t>
        </is>
      </c>
      <c r="D26" s="49" t="inlineStr">
        <is>
          <t>INE255Z01027</t>
        </is>
      </c>
      <c r="E26" s="48" t="n">
        <v>23</v>
      </c>
      <c r="F26" s="17" t="n">
        <v>625.9</v>
      </c>
      <c r="G26" s="17" t="n">
        <v>14396</v>
      </c>
      <c r="H26" s="48" t="n">
        <v>109</v>
      </c>
      <c r="I26" s="48" t="n">
        <v>186</v>
      </c>
      <c r="J26" s="48" t="n">
        <v>56</v>
      </c>
      <c r="K26" s="48" t="n">
        <v>56.2</v>
      </c>
      <c r="L26" s="48" t="n">
        <v>49</v>
      </c>
      <c r="M26" s="48" t="n">
        <v>-8.800000000000001</v>
      </c>
      <c r="N26" s="48" t="n">
        <v>20</v>
      </c>
      <c r="O26" s="49" t="inlineStr">
        <is>
          <t>Green</t>
        </is>
      </c>
      <c r="P26" s="49" t="inlineStr">
        <is>
          <t>Nothing flagged</t>
        </is>
      </c>
    </row>
    <row r="27">
      <c r="B27" s="48" t="n">
        <v>10</v>
      </c>
      <c r="C27" s="49" t="inlineStr">
        <is>
          <t>LAURUSLABS</t>
        </is>
      </c>
      <c r="D27" s="49" t="inlineStr">
        <is>
          <t>INE947Q01028</t>
        </is>
      </c>
      <c r="E27" s="48" t="n">
        <v>7</v>
      </c>
      <c r="F27" s="17" t="n">
        <v>2010.7</v>
      </c>
      <c r="G27" s="17" t="n">
        <v>14075</v>
      </c>
      <c r="H27" s="48" t="n">
        <v>109</v>
      </c>
      <c r="I27" s="48" t="n">
        <v>94.40000000000001</v>
      </c>
      <c r="J27" s="48" t="n">
        <v>27.2</v>
      </c>
      <c r="K27" s="48" t="n">
        <v>28.1</v>
      </c>
      <c r="L27" s="48" t="n">
        <v>300</v>
      </c>
      <c r="M27" s="48" t="n">
        <v>-1.1</v>
      </c>
      <c r="N27" s="48" t="n">
        <v>21</v>
      </c>
      <c r="O27" s="49" t="inlineStr">
        <is>
          <t>Green</t>
        </is>
      </c>
      <c r="P27" s="49" t="inlineStr">
        <is>
          <t>Nothing flagged</t>
        </is>
      </c>
    </row>
    <row r="30">
      <c r="B30" s="13" t="inlineStr">
        <is>
          <t>Evidence behind the rule (backtest, from HTML)</t>
        </is>
      </c>
    </row>
    <row r="31" ht="60" customHeight="1">
      <c r="B31" s="59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59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3" t="inlineStr">
        <is>
          <t>Corporate actions (splits, bonuses, dividends)</t>
        </is>
      </c>
    </row>
    <row r="35">
      <c r="B35" s="27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Rank</t>
        </is>
      </c>
      <c r="B4" s="14" t="inlineStr">
        <is>
          <t>Symbol</t>
        </is>
      </c>
      <c r="C4" s="14" t="inlineStr">
        <is>
          <t>Company</t>
        </is>
      </c>
      <c r="D4" s="14" t="inlineStr">
        <is>
          <t>View</t>
        </is>
      </c>
      <c r="E4" s="14" t="inlineStr">
        <is>
          <t>Conviction</t>
        </is>
      </c>
      <c r="F4" s="14" t="inlineStr">
        <is>
          <t>Why</t>
        </is>
      </c>
      <c r="G4" s="14" t="inlineStr">
        <is>
          <t>Since entry %</t>
        </is>
      </c>
      <c r="H4" s="14" t="inlineStr">
        <is>
          <t>Call check</t>
        </is>
      </c>
    </row>
    <row r="5" ht="30" customHeight="1">
      <c r="A5" s="48" t="n">
        <v>1</v>
      </c>
      <c r="B5" s="15" t="inlineStr">
        <is>
          <t>LAURUSLABS</t>
        </is>
      </c>
      <c r="C5" s="49" t="inlineStr">
        <is>
          <t>Laurus Labs</t>
        </is>
      </c>
      <c r="D5" s="60" t="inlineStr">
        <is>
          <t>Bullish</t>
        </is>
      </c>
      <c r="E5" s="61" t="n">
        <v>2</v>
      </c>
      <c r="F5" s="62" t="inlineStr">
        <is>
          <t>Relative strength near highs, lowest volatility, defensive sector</t>
        </is>
      </c>
      <c r="G5" s="18" t="n">
        <v>0.07977433562626812</v>
      </c>
      <c r="H5" s="49" t="inlineStr">
        <is>
          <t>✓ On track</t>
        </is>
      </c>
    </row>
    <row r="6" ht="30" customHeight="1">
      <c r="A6" s="48" t="n">
        <v>2</v>
      </c>
      <c r="B6" s="15" t="inlineStr">
        <is>
          <t>TDPOWERSYS</t>
        </is>
      </c>
      <c r="C6" s="49" t="inlineStr">
        <is>
          <t>TD Power Systems</t>
        </is>
      </c>
      <c r="D6" s="63" t="inlineStr">
        <is>
          <t>Bullish</t>
        </is>
      </c>
      <c r="E6" s="61" t="n">
        <v>1.5</v>
      </c>
      <c r="F6" s="62" t="inlineStr">
        <is>
          <t>Guidance raised, shallow pullback. Check for a fundraise.</t>
        </is>
      </c>
      <c r="G6" s="18" t="n">
        <v>-0.0004867872044506116</v>
      </c>
      <c r="H6" s="49" t="inlineStr">
        <is>
          <t>✗ Off track</t>
        </is>
      </c>
    </row>
    <row r="7" ht="30" customHeight="1">
      <c r="A7" s="48" t="n">
        <v>3</v>
      </c>
      <c r="B7" s="15" t="inlineStr">
        <is>
          <t>ATHERENERG</t>
        </is>
      </c>
      <c r="C7" s="49" t="inlineStr">
        <is>
          <t>Ather Energy</t>
        </is>
      </c>
      <c r="D7" s="63" t="inlineStr">
        <is>
          <t>Bullish</t>
        </is>
      </c>
      <c r="E7" s="61" t="n">
        <v>1.25</v>
      </c>
      <c r="F7" s="62" t="inlineStr">
        <is>
          <t>Strong catalysts and brokers, but still pulling back</t>
        </is>
      </c>
      <c r="G7" s="18" t="n">
        <v>0.1299821942199699</v>
      </c>
      <c r="H7" s="49" t="inlineStr">
        <is>
          <t>✓ On track</t>
        </is>
      </c>
    </row>
    <row r="8" ht="30" customHeight="1">
      <c r="A8" s="48" t="n">
        <v>4</v>
      </c>
      <c r="B8" s="15" t="inlineStr">
        <is>
          <t>RRKABEL</t>
        </is>
      </c>
      <c r="C8" s="49" t="inlineStr">
        <is>
          <t>RR Kabel</t>
        </is>
      </c>
      <c r="D8" s="64" t="inlineStr">
        <is>
          <t>Moderately bullish</t>
        </is>
      </c>
      <c r="E8" s="61" t="n">
        <v>1</v>
      </c>
      <c r="F8" s="62" t="inlineStr">
        <is>
          <t>Strong Q1, moderate volatility</t>
        </is>
      </c>
      <c r="G8" s="18" t="n">
        <v>-0.1026099682901049</v>
      </c>
      <c r="H8" s="49" t="inlineStr">
        <is>
          <t>✗ Off track</t>
        </is>
      </c>
    </row>
    <row r="9" ht="30" customHeight="1">
      <c r="A9" s="48" t="n">
        <v>5</v>
      </c>
      <c r="B9" s="15" t="inlineStr">
        <is>
          <t>AEROFLEX</t>
        </is>
      </c>
      <c r="C9" s="49" t="inlineStr">
        <is>
          <t>Aeroflex Industries</t>
        </is>
      </c>
      <c r="D9" s="63" t="inlineStr">
        <is>
          <t>Bullish, risky</t>
        </is>
      </c>
      <c r="E9" s="61" t="n">
        <v>1.25</v>
      </c>
      <c r="F9" s="62" t="inlineStr">
        <is>
          <t>Strong growth, expensive, volatile, thin liquidity</t>
        </is>
      </c>
      <c r="G9" s="18" t="n">
        <v>-0.0372579698806963</v>
      </c>
      <c r="H9" s="49" t="inlineStr">
        <is>
          <t>✗ Off track</t>
        </is>
      </c>
    </row>
    <row r="10" ht="30" customHeight="1">
      <c r="A10" s="48" t="n">
        <v>6</v>
      </c>
      <c r="B10" s="15" t="inlineStr">
        <is>
          <t>E2E</t>
        </is>
      </c>
      <c r="C10" s="49" t="inlineStr">
        <is>
          <t>E2E Networks</t>
        </is>
      </c>
      <c r="D10" s="65" t="inlineStr">
        <is>
          <t>Speculative</t>
        </is>
      </c>
      <c r="E10" s="61" t="n">
        <v>0.5</v>
      </c>
      <c r="F10" s="62" t="inlineStr">
        <is>
          <t>Big revenue jump, P/E near 400</t>
        </is>
      </c>
      <c r="G10" s="18" t="n">
        <v>-0.1313856831571302</v>
      </c>
      <c r="H10" s="49" t="inlineStr">
        <is>
          <t>↓ Lagging</t>
        </is>
      </c>
    </row>
    <row r="11" ht="30" customHeight="1">
      <c r="A11" s="48" t="n">
        <v>7</v>
      </c>
      <c r="B11" s="15" t="inlineStr">
        <is>
          <t>ACUTAAS</t>
        </is>
      </c>
      <c r="C11" s="49" t="inlineStr">
        <is>
          <t>Acutaas Chemicals</t>
        </is>
      </c>
      <c r="D11" s="66" t="inlineStr">
        <is>
          <t>Neutral</t>
        </is>
      </c>
      <c r="E11" s="61" t="n">
        <v>0</v>
      </c>
      <c r="F11" s="62" t="inlineStr">
        <is>
          <t>No catalyst, sideways trend</t>
        </is>
      </c>
      <c r="G11" s="18" t="n">
        <v>0.1276595744680851</v>
      </c>
      <c r="H11" s="49" t="inlineStr">
        <is>
          <t>↑ Beat call</t>
        </is>
      </c>
    </row>
    <row r="12" ht="30" customHeight="1">
      <c r="A12" s="48" t="n">
        <v>8</v>
      </c>
      <c r="B12" s="15" t="inlineStr">
        <is>
          <t>DIACABS</t>
        </is>
      </c>
      <c r="C12" s="49" t="inlineStr">
        <is>
          <t>Diamond Power Infra</t>
        </is>
      </c>
      <c r="D12" s="67" t="inlineStr">
        <is>
          <t>Neutral to bearish</t>
        </is>
      </c>
      <c r="E12" s="61" t="n">
        <v>-1</v>
      </c>
      <c r="F12" s="62" t="inlineStr">
        <is>
          <t>Extended, weak balance sheet</t>
        </is>
      </c>
      <c r="G12" s="18" t="n">
        <v>-0.03413475808845357</v>
      </c>
      <c r="H12" s="49" t="inlineStr">
        <is>
          <t>✓ On track</t>
        </is>
      </c>
    </row>
    <row r="13" ht="30" customHeight="1">
      <c r="A13" s="48" t="n">
        <v>9</v>
      </c>
      <c r="B13" s="15" t="inlineStr">
        <is>
          <t>KIRLOSENG</t>
        </is>
      </c>
      <c r="C13" s="49" t="inlineStr">
        <is>
          <t>Kirloskar Oil Engines</t>
        </is>
      </c>
      <c r="D13" s="67" t="inlineStr">
        <is>
          <t>Neutral to bearish</t>
        </is>
      </c>
      <c r="E13" s="61" t="n">
        <v>-1</v>
      </c>
      <c r="F13" s="62" t="inlineStr">
        <is>
          <t>Margins and momentum fading</t>
        </is>
      </c>
      <c r="G13" s="18" t="n">
        <v>-0.1073696992340743</v>
      </c>
      <c r="H13" s="49" t="inlineStr">
        <is>
          <t>✓ On track</t>
        </is>
      </c>
    </row>
    <row r="14" ht="30" customHeight="1">
      <c r="A14" s="48" t="n">
        <v>10</v>
      </c>
      <c r="B14" s="15" t="inlineStr">
        <is>
          <t>THANGAMAYL</t>
        </is>
      </c>
      <c r="C14" s="49" t="inlineStr">
        <is>
          <t>Thangamayil Jewellery</t>
        </is>
      </c>
      <c r="D14" s="68" t="inlineStr">
        <is>
          <t>Bearish</t>
        </is>
      </c>
      <c r="E14" s="61" t="n">
        <v>-2</v>
      </c>
      <c r="F14" s="62" t="inlineStr">
        <is>
          <t>Downtrend, avoid</t>
        </is>
      </c>
      <c r="G14" s="18" t="n">
        <v>-0.06576846307385231</v>
      </c>
      <c r="H14" s="49" t="inlineStr">
        <is>
          <t>✓ On track</t>
        </is>
      </c>
    </row>
    <row r="16">
      <c r="A16" s="69" t="inlineStr">
        <is>
          <t>STOCK BY STOCK — catalysts, risks and sources</t>
        </is>
      </c>
    </row>
    <row r="17">
      <c r="A17" s="14" t="inlineStr">
        <is>
          <t>Rank</t>
        </is>
      </c>
      <c r="B17" s="14" t="inlineStr">
        <is>
          <t>Symbol</t>
        </is>
      </c>
      <c r="C17" s="14" t="inlineStr">
        <is>
          <t>Company</t>
        </is>
      </c>
      <c r="D17" s="14" t="inlineStr">
        <is>
          <t>Type</t>
        </is>
      </c>
      <c r="E17" s="14" t="inlineStr">
        <is>
          <t>Point</t>
        </is>
      </c>
      <c r="F17" s="14" t="inlineStr"/>
      <c r="G17" s="14" t="inlineStr">
        <is>
          <t>Source</t>
        </is>
      </c>
      <c r="H17" s="14" t="inlineStr">
        <is>
          <t>Link</t>
        </is>
      </c>
    </row>
    <row r="18" ht="44" customHeight="1">
      <c r="A18" s="48" t="n">
        <v>1</v>
      </c>
      <c r="B18" s="49" t="inlineStr">
        <is>
          <t>LAURUSLABS</t>
        </is>
      </c>
      <c r="C18" s="49" t="inlineStr">
        <is>
          <t>Laurus Labs</t>
        </is>
      </c>
      <c r="D18" s="70" t="inlineStr">
        <is>
          <t>Catalyst</t>
        </is>
      </c>
      <c r="E18" s="62" t="inlineStr">
        <is>
          <t>Its close is only 1.1% below its 12-month high, and its volatility is the lowest of the ten (28%).</t>
        </is>
      </c>
      <c r="F18" s="57" t="n"/>
      <c r="G18" s="49" t="inlineStr"/>
      <c r="H18" s="49" t="n"/>
    </row>
    <row r="19" ht="30" customHeight="1">
      <c r="A19" s="48" t="n">
        <v>1</v>
      </c>
      <c r="B19" s="49" t="inlineStr">
        <is>
          <t>LAURUSLABS</t>
        </is>
      </c>
      <c r="C19" s="49" t="inlineStr">
        <is>
          <t>Laurus Labs</t>
        </is>
      </c>
      <c r="D19" s="70" t="inlineStr">
        <is>
          <t>Catalyst</t>
        </is>
      </c>
      <c r="E19" s="62" t="inlineStr">
        <is>
          <t>FY26 profit after tax was ₹740 crore vs ₹380 crore the year before.</t>
        </is>
      </c>
      <c r="F19" s="57" t="n"/>
      <c r="G19" s="49" t="inlineStr">
        <is>
          <t>torusdigital</t>
        </is>
      </c>
      <c r="H19" s="71" t="inlineStr">
        <is>
          <t>open ↗</t>
        </is>
      </c>
    </row>
    <row r="20" ht="30" customHeight="1">
      <c r="A20" s="48" t="n">
        <v>1</v>
      </c>
      <c r="B20" s="49" t="inlineStr">
        <is>
          <t>LAURUSLABS</t>
        </is>
      </c>
      <c r="C20" s="49" t="inlineStr">
        <is>
          <t>Laurus Labs</t>
        </is>
      </c>
      <c r="D20" s="70" t="inlineStr">
        <is>
          <t>Catalyst</t>
        </is>
      </c>
      <c r="E20" s="62" t="inlineStr">
        <is>
          <t>It is up about 94% in six months and holding near highs while the index falls.</t>
        </is>
      </c>
      <c r="F20" s="57" t="n"/>
      <c r="G20" s="49" t="inlineStr">
        <is>
          <t>anandrathi</t>
        </is>
      </c>
      <c r="H20" s="71" t="inlineStr">
        <is>
          <t>open ↗</t>
        </is>
      </c>
    </row>
    <row r="21" ht="30" customHeight="1">
      <c r="A21" s="48" t="n">
        <v>1</v>
      </c>
      <c r="B21" s="49" t="inlineStr">
        <is>
          <t>LAURUSLABS</t>
        </is>
      </c>
      <c r="C21" s="49" t="inlineStr">
        <is>
          <t>Laurus Labs</t>
        </is>
      </c>
      <c r="D21" s="70" t="inlineStr">
        <is>
          <t>Catalyst</t>
        </is>
      </c>
      <c r="E21" s="62" t="inlineStr">
        <is>
          <t>Pharma is also defensive in a risk-off tape.</t>
        </is>
      </c>
      <c r="F21" s="57" t="n"/>
      <c r="G21" s="49" t="inlineStr">
        <is>
          <t>anandrathi</t>
        </is>
      </c>
      <c r="H21" s="71" t="inlineStr">
        <is>
          <t>open ↗</t>
        </is>
      </c>
    </row>
    <row r="22" ht="30" customHeight="1">
      <c r="A22" s="48" t="n">
        <v>1</v>
      </c>
      <c r="B22" s="49" t="inlineStr">
        <is>
          <t>LAURUSLABS</t>
        </is>
      </c>
      <c r="C22" s="49" t="inlineStr">
        <is>
          <t>Laurus Labs</t>
        </is>
      </c>
      <c r="D22" s="72" t="inlineStr">
        <is>
          <t>Risk</t>
        </is>
      </c>
      <c r="E22" s="62" t="inlineStr">
        <is>
          <t>P/E is high, so it can still pull back.</t>
        </is>
      </c>
      <c r="F22" s="57" t="n"/>
      <c r="G22" s="49" t="inlineStr">
        <is>
          <t>anandrathi</t>
        </is>
      </c>
      <c r="H22" s="71" t="inlineStr">
        <is>
          <t>open ↗</t>
        </is>
      </c>
    </row>
    <row r="23" ht="30" customHeight="1">
      <c r="A23" s="48" t="n">
        <v>2</v>
      </c>
      <c r="B23" s="49" t="inlineStr">
        <is>
          <t>TDPOWERSYS</t>
        </is>
      </c>
      <c r="C23" s="49" t="inlineStr">
        <is>
          <t>TD Power Systems</t>
        </is>
      </c>
      <c r="D23" s="73" t="inlineStr">
        <is>
          <t>Context</t>
        </is>
      </c>
      <c r="E23" s="62" t="inlineStr">
        <is>
          <t>The stock is 10% below its high, a shallow pullback within a strong uptrend.</t>
        </is>
      </c>
      <c r="F23" s="57" t="n"/>
      <c r="G23" s="49" t="inlineStr"/>
      <c r="H23" s="49" t="n"/>
    </row>
    <row r="24" ht="30" customHeight="1">
      <c r="A24" s="48" t="n">
        <v>2</v>
      </c>
      <c r="B24" s="49" t="inlineStr">
        <is>
          <t>TDPOWERSYS</t>
        </is>
      </c>
      <c r="C24" s="49" t="inlineStr">
        <is>
          <t>TD Power Systems</t>
        </is>
      </c>
      <c r="D24" s="70" t="inlineStr">
        <is>
          <t>Catalyst</t>
        </is>
      </c>
      <c r="E24" s="62" t="inlineStr">
        <is>
          <t>Q1 FY27 revenue rose about 72% YoY.</t>
        </is>
      </c>
      <c r="F24" s="57" t="n"/>
      <c r="G24" s="49" t="inlineStr">
        <is>
          <t>5paisa</t>
        </is>
      </c>
      <c r="H24" s="71" t="inlineStr">
        <is>
          <t>open ↗</t>
        </is>
      </c>
    </row>
    <row r="25" ht="30" customHeight="1">
      <c r="A25" s="48" t="n">
        <v>2</v>
      </c>
      <c r="B25" s="49" t="inlineStr">
        <is>
          <t>TDPOWERSYS</t>
        </is>
      </c>
      <c r="C25" s="49" t="inlineStr">
        <is>
          <t>TD Power Systems</t>
        </is>
      </c>
      <c r="D25" s="70" t="inlineStr">
        <is>
          <t>Catalyst</t>
        </is>
      </c>
      <c r="E25" s="62" t="inlineStr">
        <is>
          <t>It raised its FY27 revenue guidance to ₹2,600 crore.</t>
        </is>
      </c>
      <c r="F25" s="57" t="n"/>
      <c r="G25" s="49" t="inlineStr">
        <is>
          <t>fyers</t>
        </is>
      </c>
      <c r="H25" s="71" t="inlineStr">
        <is>
          <t>open ↗</t>
        </is>
      </c>
    </row>
    <row r="26" ht="44" customHeight="1">
      <c r="A26" s="48" t="n">
        <v>2</v>
      </c>
      <c r="B26" s="49" t="inlineStr">
        <is>
          <t>TDPOWERSYS</t>
        </is>
      </c>
      <c r="C26" s="49" t="inlineStr">
        <is>
          <t>TD Power Systems</t>
        </is>
      </c>
      <c r="D26" s="72" t="inlineStr">
        <is>
          <t>Risk</t>
        </is>
      </c>
      <c r="E26" s="62" t="inlineStr">
        <is>
          <t>A board meeting on 14 Aug was set to consider raising funds, so check whether a dilutive QIP is pending.</t>
        </is>
      </c>
      <c r="F26" s="57" t="n"/>
      <c r="G26" s="49" t="inlineStr">
        <is>
          <t>5paisa</t>
        </is>
      </c>
      <c r="H26" s="71" t="inlineStr">
        <is>
          <t>open ↗</t>
        </is>
      </c>
    </row>
    <row r="27" ht="30" customHeight="1">
      <c r="A27" s="48" t="n">
        <v>2</v>
      </c>
      <c r="B27" s="49" t="inlineStr">
        <is>
          <t>TDPOWERSYS</t>
        </is>
      </c>
      <c r="C27" s="49" t="inlineStr">
        <is>
          <t>TD Power Systems</t>
        </is>
      </c>
      <c r="D27" s="72" t="inlineStr">
        <is>
          <t>Risk</t>
        </is>
      </c>
      <c r="E27" s="62" t="inlineStr">
        <is>
          <t>Valuation is stretched (P/E around 70).</t>
        </is>
      </c>
      <c r="F27" s="57" t="n"/>
      <c r="G27" s="49" t="inlineStr">
        <is>
          <t>5paisa</t>
        </is>
      </c>
      <c r="H27" s="71" t="inlineStr">
        <is>
          <t>open ↗</t>
        </is>
      </c>
    </row>
    <row r="28" ht="30" customHeight="1">
      <c r="A28" s="48" t="n">
        <v>3</v>
      </c>
      <c r="B28" s="49" t="inlineStr">
        <is>
          <t>ATHERENERG</t>
        </is>
      </c>
      <c r="C28" s="49" t="inlineStr">
        <is>
          <t>Ather Energy</t>
        </is>
      </c>
      <c r="D28" s="70" t="inlineStr">
        <is>
          <t>Catalyst</t>
        </is>
      </c>
      <c r="E28" s="62" t="inlineStr">
        <is>
          <t>Q1 revenue grew 89% and the loss narrowed 71%.</t>
        </is>
      </c>
      <c r="F28" s="57" t="n"/>
      <c r="G28" s="49" t="inlineStr">
        <is>
          <t>indmoney</t>
        </is>
      </c>
      <c r="H28" s="71" t="inlineStr">
        <is>
          <t>open ↗</t>
        </is>
      </c>
    </row>
    <row r="29" ht="30" customHeight="1">
      <c r="A29" s="48" t="n">
        <v>3</v>
      </c>
      <c r="B29" s="49" t="inlineStr">
        <is>
          <t>ATHERENERG</t>
        </is>
      </c>
      <c r="C29" s="49" t="inlineStr">
        <is>
          <t>Ather Energy</t>
        </is>
      </c>
      <c r="D29" s="70" t="inlineStr">
        <is>
          <t>Catalyst</t>
        </is>
      </c>
      <c r="E29" s="62" t="inlineStr">
        <is>
          <t>It was also added to the MSCI India Domestic Small Cap Index.</t>
        </is>
      </c>
      <c r="F29" s="57" t="n"/>
      <c r="G29" s="49" t="inlineStr">
        <is>
          <t>indmoney</t>
        </is>
      </c>
      <c r="H29" s="71" t="inlineStr">
        <is>
          <t>open ↗</t>
        </is>
      </c>
    </row>
    <row r="30" ht="30" customHeight="1">
      <c r="A30" s="48" t="n">
        <v>3</v>
      </c>
      <c r="B30" s="49" t="inlineStr">
        <is>
          <t>ATHERENERG</t>
        </is>
      </c>
      <c r="C30" s="49" t="inlineStr">
        <is>
          <t>Ather Energy</t>
        </is>
      </c>
      <c r="D30" s="70" t="inlineStr">
        <is>
          <t>Catalyst</t>
        </is>
      </c>
      <c r="E30" s="62" t="inlineStr">
        <is>
          <t>Hero MotoCorp is lifting its stake to about 32.8%.</t>
        </is>
      </c>
      <c r="F30" s="57" t="n"/>
      <c r="G30" s="49" t="inlineStr">
        <is>
          <t>freepressjournal</t>
        </is>
      </c>
      <c r="H30" s="71" t="inlineStr">
        <is>
          <t>open ↗</t>
        </is>
      </c>
    </row>
    <row r="31" ht="30" customHeight="1">
      <c r="A31" s="48" t="n">
        <v>3</v>
      </c>
      <c r="B31" s="49" t="inlineStr">
        <is>
          <t>ATHERENERG</t>
        </is>
      </c>
      <c r="C31" s="49" t="inlineStr">
        <is>
          <t>Ather Energy</t>
        </is>
      </c>
      <c r="D31" s="70" t="inlineStr">
        <is>
          <t>Catalyst</t>
        </is>
      </c>
      <c r="E31" s="62" t="inlineStr">
        <is>
          <t>A global broker raised its target to ₹1,926.</t>
        </is>
      </c>
      <c r="F31" s="57" t="n"/>
      <c r="G31" s="49" t="inlineStr">
        <is>
          <t>hdfcsky</t>
        </is>
      </c>
      <c r="H31" s="71" t="inlineStr">
        <is>
          <t>open ↗</t>
        </is>
      </c>
    </row>
    <row r="32" ht="44" customHeight="1">
      <c r="A32" s="48" t="n">
        <v>3</v>
      </c>
      <c r="B32" s="49" t="inlineStr">
        <is>
          <t>ATHERENERG</t>
        </is>
      </c>
      <c r="C32" s="49" t="inlineStr">
        <is>
          <t>Ather Energy</t>
        </is>
      </c>
      <c r="D32" s="73" t="inlineStr">
        <is>
          <t>Context</t>
        </is>
      </c>
      <c r="E32" s="62" t="inlineStr">
        <is>
          <t>The stock has slid about 16% from its early-September high, so the story is intact but the price is digesting a big run.</t>
        </is>
      </c>
      <c r="F32" s="57" t="n"/>
      <c r="G32" s="49" t="inlineStr"/>
      <c r="H32" s="49" t="n"/>
    </row>
    <row r="33" ht="30" customHeight="1">
      <c r="A33" s="48" t="n">
        <v>3</v>
      </c>
      <c r="B33" s="49" t="inlineStr">
        <is>
          <t>ATHERENERG</t>
        </is>
      </c>
      <c r="C33" s="49" t="inlineStr">
        <is>
          <t>Ather Energy</t>
        </is>
      </c>
      <c r="D33" s="70" t="inlineStr">
        <is>
          <t>Catalyst</t>
        </is>
      </c>
      <c r="E33" s="62" t="inlineStr">
        <is>
          <t>High oil prices are a tailwind for the EV theme.</t>
        </is>
      </c>
      <c r="F33" s="57" t="n"/>
      <c r="G33" s="49" t="inlineStr"/>
      <c r="H33" s="49" t="n"/>
    </row>
    <row r="34" ht="30" customHeight="1">
      <c r="A34" s="48" t="n">
        <v>4</v>
      </c>
      <c r="B34" s="49" t="inlineStr">
        <is>
          <t>RRKABEL</t>
        </is>
      </c>
      <c r="C34" s="49" t="inlineStr">
        <is>
          <t>RR Kabel</t>
        </is>
      </c>
      <c r="D34" s="70" t="inlineStr">
        <is>
          <t>Catalyst</t>
        </is>
      </c>
      <c r="E34" s="62" t="inlineStr">
        <is>
          <t>Q1 PAT jumped 129% and EBITDA doubled.</t>
        </is>
      </c>
      <c r="F34" s="57" t="n"/>
      <c r="G34" s="49" t="inlineStr">
        <is>
          <t>5paisa</t>
        </is>
      </c>
      <c r="H34" s="71" t="inlineStr">
        <is>
          <t>open ↗</t>
        </is>
      </c>
    </row>
    <row r="35" ht="30" customHeight="1">
      <c r="A35" s="48" t="n">
        <v>4</v>
      </c>
      <c r="B35" s="49" t="inlineStr">
        <is>
          <t>RRKABEL</t>
        </is>
      </c>
      <c r="C35" s="49" t="inlineStr">
        <is>
          <t>RR Kabel</t>
        </is>
      </c>
      <c r="D35" s="70" t="inlineStr">
        <is>
          <t>Catalyst</t>
        </is>
      </c>
      <c r="E35" s="62" t="inlineStr">
        <is>
          <t>CLSA initiated at Outperform with a ₹2,850 target.</t>
        </is>
      </c>
      <c r="F35" s="57" t="n"/>
      <c r="G35" s="49" t="inlineStr">
        <is>
          <t>fyers</t>
        </is>
      </c>
      <c r="H35" s="71" t="inlineStr">
        <is>
          <t>open ↗</t>
        </is>
      </c>
    </row>
    <row r="36" ht="30" customHeight="1">
      <c r="A36" s="48" t="n">
        <v>4</v>
      </c>
      <c r="B36" s="49" t="inlineStr">
        <is>
          <t>RRKABEL</t>
        </is>
      </c>
      <c r="C36" s="49" t="inlineStr">
        <is>
          <t>RR Kabel</t>
        </is>
      </c>
      <c r="D36" s="73" t="inlineStr">
        <is>
          <t>Context</t>
        </is>
      </c>
      <c r="E36" s="62" t="inlineStr">
        <is>
          <t>The stock is 16% off its high, so it is consolidating.</t>
        </is>
      </c>
      <c r="F36" s="57" t="n"/>
      <c r="G36" s="49" t="inlineStr"/>
      <c r="H36" s="49" t="n"/>
    </row>
    <row r="37" ht="30" customHeight="1">
      <c r="A37" s="48" t="n">
        <v>4</v>
      </c>
      <c r="B37" s="49" t="inlineStr">
        <is>
          <t>RRKABEL</t>
        </is>
      </c>
      <c r="C37" s="49" t="inlineStr">
        <is>
          <t>RR Kabel</t>
        </is>
      </c>
      <c r="D37" s="70" t="inlineStr">
        <is>
          <t>Catalyst</t>
        </is>
      </c>
      <c r="E37" s="62" t="inlineStr">
        <is>
          <t>Volatility is moderate (44%), which is better than most here.</t>
        </is>
      </c>
      <c r="F37" s="57" t="n"/>
      <c r="G37" s="49" t="inlineStr"/>
      <c r="H37" s="49" t="n"/>
    </row>
    <row r="38" ht="30" customHeight="1">
      <c r="A38" s="48" t="n">
        <v>5</v>
      </c>
      <c r="B38" s="49" t="inlineStr">
        <is>
          <t>AEROFLEX</t>
        </is>
      </c>
      <c r="C38" s="49" t="inlineStr">
        <is>
          <t>Aeroflex Industries</t>
        </is>
      </c>
      <c r="D38" s="70" t="inlineStr">
        <is>
          <t>Catalyst</t>
        </is>
      </c>
      <c r="E38" s="62" t="inlineStr">
        <is>
          <t>Q1 FY27 revenue grew 72.4% and PAT rose 162%.</t>
        </is>
      </c>
      <c r="F38" s="57" t="n"/>
      <c r="G38" s="49" t="inlineStr">
        <is>
          <t>sahi</t>
        </is>
      </c>
      <c r="H38" s="71" t="inlineStr">
        <is>
          <t>open ↗</t>
        </is>
      </c>
    </row>
    <row r="39" ht="30" customHeight="1">
      <c r="A39" s="48" t="n">
        <v>5</v>
      </c>
      <c r="B39" s="49" t="inlineStr">
        <is>
          <t>AEROFLEX</t>
        </is>
      </c>
      <c r="C39" s="49" t="inlineStr">
        <is>
          <t>Aeroflex Industries</t>
        </is>
      </c>
      <c r="D39" s="70" t="inlineStr">
        <is>
          <t>Catalyst</t>
        </is>
      </c>
      <c r="E39" s="62" t="inlineStr">
        <is>
          <t>Liquid-cooling skid capacity was raised 50%, with further expansion planned.</t>
        </is>
      </c>
      <c r="F39" s="57" t="n"/>
      <c r="G39" s="49" t="inlineStr">
        <is>
          <t>sahi</t>
        </is>
      </c>
      <c r="H39" s="71" t="inlineStr">
        <is>
          <t>open ↗</t>
        </is>
      </c>
    </row>
    <row r="40" ht="44" customHeight="1">
      <c r="A40" s="48" t="n">
        <v>5</v>
      </c>
      <c r="B40" s="49" t="inlineStr">
        <is>
          <t>AEROFLEX</t>
        </is>
      </c>
      <c r="C40" s="49" t="inlineStr">
        <is>
          <t>Aeroflex Industries</t>
        </is>
      </c>
      <c r="D40" s="72" t="inlineStr">
        <is>
          <t>Risk</t>
        </is>
      </c>
      <c r="E40" s="62" t="inlineStr">
        <is>
          <t>P/E is about 102, volatility is the highest of the ten (67%), and liquidity is thin (₹53 cr/day).</t>
        </is>
      </c>
      <c r="F40" s="57" t="n"/>
      <c r="G40" s="49" t="inlineStr">
        <is>
          <t>share</t>
        </is>
      </c>
      <c r="H40" s="71" t="inlineStr">
        <is>
          <t>open ↗</t>
        </is>
      </c>
    </row>
    <row r="41" ht="30" customHeight="1">
      <c r="A41" s="48" t="n">
        <v>5</v>
      </c>
      <c r="B41" s="49" t="inlineStr">
        <is>
          <t>AEROFLEX</t>
        </is>
      </c>
      <c r="C41" s="49" t="inlineStr">
        <is>
          <t>Aeroflex Industries</t>
        </is>
      </c>
      <c r="D41" s="72" t="inlineStr">
        <is>
          <t>Risk</t>
        </is>
      </c>
      <c r="E41" s="62" t="inlineStr">
        <is>
          <t>That makes it the most fragile in a falling market.</t>
        </is>
      </c>
      <c r="F41" s="57" t="n"/>
      <c r="G41" s="49" t="inlineStr">
        <is>
          <t>share</t>
        </is>
      </c>
      <c r="H41" s="71" t="inlineStr">
        <is>
          <t>open ↗</t>
        </is>
      </c>
    </row>
    <row r="42" ht="44" customHeight="1">
      <c r="A42" s="48" t="n">
        <v>6</v>
      </c>
      <c r="B42" s="49" t="inlineStr">
        <is>
          <t>E2E</t>
        </is>
      </c>
      <c r="C42" s="49" t="inlineStr">
        <is>
          <t>E2E Networks</t>
        </is>
      </c>
      <c r="D42" s="70" t="inlineStr">
        <is>
          <t>Catalyst</t>
        </is>
      </c>
      <c r="E42" s="62" t="inlineStr">
        <is>
          <t>Q1 revenue was ₹156.76 crore vs ₹36.11 crore a year earlier, with a profit of ₹43.88 crore, on GPU cluster expansion.</t>
        </is>
      </c>
      <c r="F42" s="57" t="n"/>
      <c r="G42" s="49" t="inlineStr">
        <is>
          <t>angelone</t>
        </is>
      </c>
      <c r="H42" s="71" t="inlineStr">
        <is>
          <t>open ↗</t>
        </is>
      </c>
    </row>
    <row r="43" ht="30" customHeight="1">
      <c r="A43" s="48" t="n">
        <v>6</v>
      </c>
      <c r="B43" s="49" t="inlineStr">
        <is>
          <t>E2E</t>
        </is>
      </c>
      <c r="C43" s="49" t="inlineStr">
        <is>
          <t>E2E Networks</t>
        </is>
      </c>
      <c r="D43" s="72" t="inlineStr">
        <is>
          <t>Risk</t>
        </is>
      </c>
      <c r="E43" s="62" t="inlineStr">
        <is>
          <t>P/E is about 398 and the stock fell 11.8% in the month to 18 Sep.</t>
        </is>
      </c>
      <c r="F43" s="57" t="n"/>
      <c r="G43" s="49" t="inlineStr">
        <is>
          <t>anandrathi</t>
        </is>
      </c>
      <c r="H43" s="71" t="inlineStr">
        <is>
          <t>open ↗</t>
        </is>
      </c>
    </row>
    <row r="44" ht="30" customHeight="1">
      <c r="A44" s="48" t="n">
        <v>6</v>
      </c>
      <c r="B44" s="49" t="inlineStr">
        <is>
          <t>E2E</t>
        </is>
      </c>
      <c r="C44" s="49" t="inlineStr">
        <is>
          <t>E2E Networks</t>
        </is>
      </c>
      <c r="D44" s="73" t="inlineStr">
        <is>
          <t>Context</t>
        </is>
      </c>
      <c r="E44" s="62" t="inlineStr">
        <is>
          <t>It has bounced since.</t>
        </is>
      </c>
      <c r="F44" s="57" t="n"/>
      <c r="G44" s="49" t="inlineStr">
        <is>
          <t>anandrathi</t>
        </is>
      </c>
      <c r="H44" s="71" t="inlineStr">
        <is>
          <t>open ↗</t>
        </is>
      </c>
    </row>
    <row r="45" ht="30" customHeight="1">
      <c r="A45" s="48" t="n">
        <v>6</v>
      </c>
      <c r="B45" s="49" t="inlineStr">
        <is>
          <t>E2E</t>
        </is>
      </c>
      <c r="C45" s="49" t="inlineStr">
        <is>
          <t>E2E Networks</t>
        </is>
      </c>
      <c r="D45" s="72" t="inlineStr">
        <is>
          <t>Risk</t>
        </is>
      </c>
      <c r="E45" s="62" t="inlineStr">
        <is>
          <t>It is an AI-theme stock with thin liquidity and gap risk in both directions.</t>
        </is>
      </c>
      <c r="F45" s="57" t="n"/>
      <c r="G45" s="49" t="inlineStr"/>
      <c r="H45" s="49" t="n"/>
    </row>
    <row r="46" ht="44" customHeight="1">
      <c r="A46" s="48" t="n">
        <v>7</v>
      </c>
      <c r="B46" s="49" t="inlineStr">
        <is>
          <t>ACUTAAS</t>
        </is>
      </c>
      <c r="C46" s="49" t="inlineStr">
        <is>
          <t>Acutaas Chemicals</t>
        </is>
      </c>
      <c r="D46" s="70" t="inlineStr">
        <is>
          <t>Catalyst</t>
        </is>
      </c>
      <c r="E46" s="62" t="inlineStr">
        <is>
          <t>It received PLI approval for an electrolyte additives plan and commissioned a high-potency API pilot plant.</t>
        </is>
      </c>
      <c r="F46" s="57" t="n"/>
      <c r="G46" s="49" t="inlineStr">
        <is>
          <t>fyers</t>
        </is>
      </c>
      <c r="H46" s="71" t="inlineStr">
        <is>
          <t>open ↗</t>
        </is>
      </c>
    </row>
    <row r="47" ht="44" customHeight="1">
      <c r="A47" s="48" t="n">
        <v>7</v>
      </c>
      <c r="B47" s="49" t="inlineStr">
        <is>
          <t>ACUTAAS</t>
        </is>
      </c>
      <c r="C47" s="49" t="inlineStr">
        <is>
          <t>Acutaas Chemicals</t>
        </is>
      </c>
      <c r="D47" s="72" t="inlineStr">
        <is>
          <t>Risk</t>
        </is>
      </c>
      <c r="E47" s="62" t="inlineStr">
        <is>
          <t>Quarterly revenue and profit were lower sequentially (₹327 cr and ₹76 cr in Jun vs ₹436 cr and ₹137 cr in Mar).</t>
        </is>
      </c>
      <c r="F47" s="57" t="n"/>
      <c r="G47" s="49" t="inlineStr">
        <is>
          <t>anandrathi</t>
        </is>
      </c>
      <c r="H47" s="71" t="inlineStr">
        <is>
          <t>open ↗</t>
        </is>
      </c>
    </row>
    <row r="48" ht="30" customHeight="1">
      <c r="A48" s="48" t="n">
        <v>7</v>
      </c>
      <c r="B48" s="49" t="inlineStr">
        <is>
          <t>ACUTAAS</t>
        </is>
      </c>
      <c r="C48" s="49" t="inlineStr">
        <is>
          <t>Acutaas Chemicals</t>
        </is>
      </c>
      <c r="D48" s="72" t="inlineStr">
        <is>
          <t>Risk</t>
        </is>
      </c>
      <c r="E48" s="62" t="inlineStr">
        <is>
          <t>The 6-1 return is negative.</t>
        </is>
      </c>
      <c r="F48" s="57" t="n"/>
      <c r="G48" s="49" t="inlineStr">
        <is>
          <t>anandrathi</t>
        </is>
      </c>
      <c r="H48" s="71" t="inlineStr">
        <is>
          <t>open ↗</t>
        </is>
      </c>
    </row>
    <row r="49" ht="30" customHeight="1">
      <c r="A49" s="48" t="n">
        <v>7</v>
      </c>
      <c r="B49" s="49" t="inlineStr">
        <is>
          <t>ACUTAAS</t>
        </is>
      </c>
      <c r="C49" s="49" t="inlineStr">
        <is>
          <t>Acutaas Chemicals</t>
        </is>
      </c>
      <c r="D49" s="72" t="inlineStr">
        <is>
          <t>Risk</t>
        </is>
      </c>
      <c r="E49" s="62" t="inlineStr">
        <is>
          <t>The price has moved sideways since June.</t>
        </is>
      </c>
      <c r="F49" s="57" t="n"/>
      <c r="G49" s="49" t="inlineStr"/>
      <c r="H49" s="49" t="n"/>
    </row>
    <row r="50" ht="30" customHeight="1">
      <c r="A50" s="48" t="n">
        <v>7</v>
      </c>
      <c r="B50" s="49" t="inlineStr">
        <is>
          <t>ACUTAAS</t>
        </is>
      </c>
      <c r="C50" s="49" t="inlineStr">
        <is>
          <t>Acutaas Chemicals</t>
        </is>
      </c>
      <c r="D50" s="72" t="inlineStr">
        <is>
          <t>Risk</t>
        </is>
      </c>
      <c r="E50" s="62" t="inlineStr">
        <is>
          <t>There is no clear trigger for a 21-day move.</t>
        </is>
      </c>
      <c r="F50" s="57" t="n"/>
      <c r="G50" s="49" t="inlineStr"/>
      <c r="H50" s="49" t="n"/>
    </row>
    <row r="51" ht="30" customHeight="1">
      <c r="A51" s="48" t="n">
        <v>8</v>
      </c>
      <c r="B51" s="49" t="inlineStr">
        <is>
          <t>DIACABS</t>
        </is>
      </c>
      <c r="C51" s="49" t="inlineStr">
        <is>
          <t>Diamond Power Infra</t>
        </is>
      </c>
      <c r="D51" s="72" t="inlineStr">
        <is>
          <t>Risk</t>
        </is>
      </c>
      <c r="E51" s="62" t="inlineStr">
        <is>
          <t>It hit a 52-week high of about ₹395 on 17 Sep, up 202% in six months, with a P/E near 128.</t>
        </is>
      </c>
      <c r="F51" s="57" t="n"/>
      <c r="G51" s="49" t="inlineStr">
        <is>
          <t>anandrathi</t>
        </is>
      </c>
      <c r="H51" s="71" t="inlineStr">
        <is>
          <t>open ↗</t>
        </is>
      </c>
    </row>
    <row r="52" ht="30" customHeight="1">
      <c r="A52" s="48" t="n">
        <v>8</v>
      </c>
      <c r="B52" s="49" t="inlineStr">
        <is>
          <t>DIACABS</t>
        </is>
      </c>
      <c r="C52" s="49" t="inlineStr">
        <is>
          <t>Diamond Power Infra</t>
        </is>
      </c>
      <c r="D52" s="72" t="inlineStr">
        <is>
          <t>Risk</t>
        </is>
      </c>
      <c r="E52" s="62" t="inlineStr">
        <is>
          <t>Book value per share was negative in the July data.</t>
        </is>
      </c>
      <c r="F52" s="57" t="n"/>
      <c r="G52" s="49" t="inlineStr">
        <is>
          <t>bajajfinserv</t>
        </is>
      </c>
      <c r="H52" s="71" t="inlineStr">
        <is>
          <t>open ↗</t>
        </is>
      </c>
    </row>
    <row r="53" ht="30" customHeight="1">
      <c r="A53" s="48" t="n">
        <v>8</v>
      </c>
      <c r="B53" s="49" t="inlineStr">
        <is>
          <t>DIACABS</t>
        </is>
      </c>
      <c r="C53" s="49" t="inlineStr">
        <is>
          <t>Diamond Power Infra</t>
        </is>
      </c>
      <c r="D53" s="72" t="inlineStr">
        <is>
          <t>Risk</t>
        </is>
      </c>
      <c r="E53" s="62" t="inlineStr">
        <is>
          <t>It is now 14% off that high.</t>
        </is>
      </c>
      <c r="F53" s="57" t="n"/>
      <c r="G53" s="49" t="inlineStr"/>
      <c r="H53" s="49" t="n"/>
    </row>
    <row r="54" ht="44" customHeight="1">
      <c r="A54" s="48" t="n">
        <v>8</v>
      </c>
      <c r="B54" s="49" t="inlineStr">
        <is>
          <t>DIACABS</t>
        </is>
      </c>
      <c r="C54" s="49" t="inlineStr">
        <is>
          <t>Diamond Power Infra</t>
        </is>
      </c>
      <c r="D54" s="73" t="inlineStr">
        <is>
          <t>Context</t>
        </is>
      </c>
      <c r="E54" s="62" t="inlineStr">
        <is>
          <t>The T&amp;D order-book story is real, but the valuation and balance sheet make it a momentum-only trade.</t>
        </is>
      </c>
      <c r="F54" s="57" t="n"/>
      <c r="G54" s="49" t="inlineStr"/>
      <c r="H54" s="49" t="n"/>
    </row>
    <row r="55" ht="44" customHeight="1">
      <c r="A55" s="48" t="n">
        <v>9</v>
      </c>
      <c r="B55" s="49" t="inlineStr">
        <is>
          <t>KIRLOSENG</t>
        </is>
      </c>
      <c r="C55" s="49" t="inlineStr">
        <is>
          <t>Kirloskar Oil Engines</t>
        </is>
      </c>
      <c r="D55" s="72" t="inlineStr">
        <is>
          <t>Risk</t>
        </is>
      </c>
      <c r="E55" s="62" t="inlineStr">
        <is>
          <t>June-quarter revenue was ₹1,482 cr vs ₹1,284 cr a year ago, but EBITDA slipped to ₹176 cr from ₹184 cr, so margins are compressing.</t>
        </is>
      </c>
      <c r="F55" s="57" t="n"/>
      <c r="G55" s="49" t="inlineStr">
        <is>
          <t>anandrathi</t>
        </is>
      </c>
      <c r="H55" s="71" t="inlineStr">
        <is>
          <t>open ↗</t>
        </is>
      </c>
    </row>
    <row r="56" ht="30" customHeight="1">
      <c r="A56" s="48" t="n">
        <v>9</v>
      </c>
      <c r="B56" s="49" t="inlineStr">
        <is>
          <t>KIRLOSENG</t>
        </is>
      </c>
      <c r="C56" s="49" t="inlineStr">
        <is>
          <t>Kirloskar Oil Engines</t>
        </is>
      </c>
      <c r="D56" s="72" t="inlineStr">
        <is>
          <t>Risk</t>
        </is>
      </c>
      <c r="E56" s="62" t="inlineStr">
        <is>
          <t>The 6-1 return is −11% and the stock is 16.5% below its high.</t>
        </is>
      </c>
      <c r="F56" s="57" t="n"/>
      <c r="G56" s="49" t="inlineStr"/>
      <c r="H56" s="49" t="n"/>
    </row>
    <row r="57" ht="30" customHeight="1">
      <c r="A57" s="48" t="n">
        <v>9</v>
      </c>
      <c r="B57" s="49" t="inlineStr">
        <is>
          <t>KIRLOSENG</t>
        </is>
      </c>
      <c r="C57" s="49" t="inlineStr">
        <is>
          <t>Kirloskar Oil Engines</t>
        </is>
      </c>
      <c r="D57" s="72" t="inlineStr">
        <is>
          <t>Risk</t>
        </is>
      </c>
      <c r="E57" s="62" t="inlineStr">
        <is>
          <t>Momentum is fading.</t>
        </is>
      </c>
      <c r="F57" s="57" t="n"/>
      <c r="G57" s="49" t="inlineStr"/>
      <c r="H57" s="49" t="n"/>
    </row>
    <row r="58" ht="30" customHeight="1">
      <c r="A58" s="48" t="n">
        <v>10</v>
      </c>
      <c r="B58" s="49" t="inlineStr">
        <is>
          <t>THANGAMAYL</t>
        </is>
      </c>
      <c r="C58" s="49" t="inlineStr">
        <is>
          <t>Thangamayil Jewellery</t>
        </is>
      </c>
      <c r="D58" s="73" t="inlineStr">
        <is>
          <t>Context</t>
        </is>
      </c>
      <c r="E58" s="62" t="inlineStr">
        <is>
          <t>It hit a high of ₹7,429 and traded near ₹5,085 on 22 Sep.</t>
        </is>
      </c>
      <c r="F58" s="57" t="n"/>
      <c r="G58" s="49" t="inlineStr">
        <is>
          <t>anandrathi</t>
        </is>
      </c>
      <c r="H58" s="71" t="inlineStr">
        <is>
          <t>open ↗</t>
        </is>
      </c>
    </row>
    <row r="59" ht="30" customHeight="1">
      <c r="A59" s="48" t="n">
        <v>10</v>
      </c>
      <c r="B59" s="49" t="inlineStr">
        <is>
          <t>THANGAMAYL</t>
        </is>
      </c>
      <c r="C59" s="49" t="inlineStr">
        <is>
          <t>Thangamayil Jewellery</t>
        </is>
      </c>
      <c r="D59" s="72" t="inlineStr">
        <is>
          <t>Risk</t>
        </is>
      </c>
      <c r="E59" s="62" t="inlineStr">
        <is>
          <t>It is now about 31% below the peak.</t>
        </is>
      </c>
      <c r="F59" s="57" t="n"/>
      <c r="G59" s="49" t="inlineStr">
        <is>
          <t>anandrathi</t>
        </is>
      </c>
      <c r="H59" s="71" t="inlineStr">
        <is>
          <t>open ↗</t>
        </is>
      </c>
    </row>
    <row r="60" ht="30" customHeight="1">
      <c r="A60" s="48" t="n">
        <v>10</v>
      </c>
      <c r="B60" s="49" t="inlineStr">
        <is>
          <t>THANGAMAYL</t>
        </is>
      </c>
      <c r="C60" s="49" t="inlineStr">
        <is>
          <t>Thangamayil Jewellery</t>
        </is>
      </c>
      <c r="D60" s="72" t="inlineStr">
        <is>
          <t>Risk</t>
        </is>
      </c>
      <c r="E60" s="62" t="inlineStr">
        <is>
          <t>Q1 EBITDA (₹145 cr) fell from ₹214 cr in the March quarter.</t>
        </is>
      </c>
      <c r="F60" s="57" t="n"/>
      <c r="G60" s="49" t="inlineStr">
        <is>
          <t>anandrathi</t>
        </is>
      </c>
      <c r="H60" s="71" t="inlineStr">
        <is>
          <t>open ↗</t>
        </is>
      </c>
    </row>
    <row r="61" ht="44" customHeight="1">
      <c r="A61" s="48" t="n">
        <v>10</v>
      </c>
      <c r="B61" s="49" t="inlineStr">
        <is>
          <t>THANGAMAYL</t>
        </is>
      </c>
      <c r="C61" s="49" t="inlineStr">
        <is>
          <t>Thangamayil Jewellery</t>
        </is>
      </c>
      <c r="D61" s="72" t="inlineStr">
        <is>
          <t>Risk</t>
        </is>
      </c>
      <c r="E61" s="62" t="inlineStr">
        <is>
          <t>It has the weakest chart in the batch: a clear downtrend, a negative 6-1 return, and a gold-price-sensitive business.</t>
        </is>
      </c>
      <c r="F61" s="57" t="n"/>
      <c r="G61" s="49" t="inlineStr"/>
      <c r="H61" s="49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2026-10-28 12:35</t>
        </is>
      </c>
      <c r="B2" s="2" t="n"/>
      <c r="C2" s="2" t="n"/>
      <c r="D2" s="2" t="n"/>
      <c r="E2" s="2" t="n"/>
      <c r="F2" s="2" t="n"/>
      <c r="G2" s="2" t="n"/>
    </row>
    <row r="4">
      <c r="A4" s="14" t="inlineStr">
        <is>
          <t>Symbol</t>
        </is>
      </c>
      <c r="B4" s="14" t="inlineStr">
        <is>
          <t>Published</t>
        </is>
      </c>
      <c r="C4" s="14" t="inlineStr">
        <is>
          <t>Headline</t>
        </is>
      </c>
      <c r="D4" s="14" t="inlineStr">
        <is>
          <t>Source</t>
        </is>
      </c>
      <c r="E4" s="14" t="inlineStr">
        <is>
          <t>Sentiment</t>
        </is>
      </c>
      <c r="F4" s="14" t="inlineStr">
        <is>
          <t>Label</t>
        </is>
      </c>
      <c r="G4" s="14" t="inlineStr">
        <is>
          <t>Link</t>
        </is>
      </c>
    </row>
    <row r="5">
      <c r="A5" s="49" t="inlineStr">
        <is>
          <t>MARKET</t>
        </is>
      </c>
      <c r="B5" s="49" t="inlineStr">
        <is>
          <t>2026-10-28 12:18</t>
        </is>
      </c>
      <c r="C5" s="49" t="inlineStr">
        <is>
          <t>Indian markets end lower as IT weakness and crude oil concerns weigh on sentiment</t>
        </is>
      </c>
      <c r="D5" s="49" t="inlineStr">
        <is>
          <t>The New Indian Express</t>
        </is>
      </c>
      <c r="E5" s="74" t="n">
        <v>-0.8070000000000001</v>
      </c>
      <c r="F5" s="49" t="inlineStr">
        <is>
          <t>Negative</t>
        </is>
      </c>
      <c r="G5" s="75" t="inlineStr">
        <is>
          <t>open ↗</t>
        </is>
      </c>
    </row>
    <row r="6">
      <c r="A6" s="49" t="inlineStr">
        <is>
          <t>MARKET</t>
        </is>
      </c>
      <c r="B6" s="49" t="inlineStr">
        <is>
          <t>2026-10-28 12:04</t>
        </is>
      </c>
      <c r="C6" s="49" t="inlineStr">
        <is>
          <t>Sensex, Nifty Slip as Crude Near $115; IT, O&amp;G Drag Markets</t>
        </is>
      </c>
      <c r="D6" s="49" t="inlineStr">
        <is>
          <t>HDFC Sky</t>
        </is>
      </c>
      <c r="E6" s="74" t="n">
        <v>-0.649</v>
      </c>
      <c r="F6" s="49" t="inlineStr">
        <is>
          <t>Negative</t>
        </is>
      </c>
      <c r="G6" s="75" t="inlineStr">
        <is>
          <t>open ↗</t>
        </is>
      </c>
    </row>
    <row r="7">
      <c r="A7" s="49" t="inlineStr">
        <is>
          <t>MARKET</t>
        </is>
      </c>
      <c r="B7" s="49" t="inlineStr">
        <is>
          <t>2026-10-28 12:01</t>
        </is>
      </c>
      <c r="C7" s="49" t="inlineStr">
        <is>
          <t>Share Market Today: Nifty 50, Bank Nifty | Oct 28, 2026</t>
        </is>
      </c>
      <c r="D7" s="49" t="inlineStr">
        <is>
          <t>Liquide Blog</t>
        </is>
      </c>
      <c r="E7" s="74" t="n">
        <v>0.66</v>
      </c>
      <c r="F7" s="49" t="inlineStr">
        <is>
          <t>Positive</t>
        </is>
      </c>
      <c r="G7" s="75" t="inlineStr">
        <is>
          <t>open ↗</t>
        </is>
      </c>
    </row>
    <row r="8">
      <c r="A8" s="49" t="inlineStr">
        <is>
          <t>MARKET</t>
        </is>
      </c>
      <c r="B8" s="49" t="inlineStr">
        <is>
          <t>2026-10-28 11:30</t>
        </is>
      </c>
      <c r="C8" s="49" t="inlineStr">
        <is>
          <t>Sensex ends in red on selling in IT stocks, rising crude oil prices</t>
        </is>
      </c>
      <c r="D8" s="49" t="inlineStr">
        <is>
          <t>DD India</t>
        </is>
      </c>
      <c r="E8" s="74" t="n">
        <v>-0.572</v>
      </c>
      <c r="F8" s="49" t="inlineStr">
        <is>
          <t>Negative</t>
        </is>
      </c>
      <c r="G8" s="75" t="inlineStr">
        <is>
          <t>open ↗</t>
        </is>
      </c>
    </row>
    <row r="9">
      <c r="A9" s="49" t="inlineStr">
        <is>
          <t>MARKET</t>
        </is>
      </c>
      <c r="B9" s="49" t="inlineStr">
        <is>
          <t>2026-10-28 11:12</t>
        </is>
      </c>
      <c r="C9" s="49" t="inlineStr">
        <is>
          <t>Sensex falls 353 points, Nifty sheds 51 as auto stocks limit losses</t>
        </is>
      </c>
      <c r="D9" s="49" t="inlineStr">
        <is>
          <t>Telangana Today</t>
        </is>
      </c>
      <c r="E9" s="74" t="n">
        <v>-0.649</v>
      </c>
      <c r="F9" s="49" t="inlineStr">
        <is>
          <t>Negative</t>
        </is>
      </c>
      <c r="G9" s="75" t="inlineStr">
        <is>
          <t>open ↗</t>
        </is>
      </c>
    </row>
    <row r="10">
      <c r="A10" s="49" t="inlineStr">
        <is>
          <t>MARKET</t>
        </is>
      </c>
      <c r="B10" s="49" t="inlineStr">
        <is>
          <t>2026-10-28 11:06</t>
        </is>
      </c>
      <c r="C10" s="49" t="inlineStr">
        <is>
          <t>Sensex, Nifty decline amid rising crude, US Fed caution</t>
        </is>
      </c>
      <c r="D10" s="49" t="inlineStr">
        <is>
          <t>Rediff</t>
        </is>
      </c>
      <c r="E10" s="74" t="n">
        <v>-0.5570000000000001</v>
      </c>
      <c r="F10" s="49" t="inlineStr">
        <is>
          <t>Negative</t>
        </is>
      </c>
      <c r="G10" s="75" t="inlineStr">
        <is>
          <t>open ↗</t>
        </is>
      </c>
    </row>
    <row r="11">
      <c r="A11" s="49" t="inlineStr">
        <is>
          <t>MARKET</t>
        </is>
      </c>
      <c r="B11" s="49" t="inlineStr">
        <is>
          <t>2026-10-28 10:55</t>
        </is>
      </c>
      <c r="C11" s="49" t="inlineStr">
        <is>
          <t>Stock Market Closing Bell: Sensex Falls 353 Points To 73,246, Nifty Ends Below 22,700 As IT Stocks Drag</t>
        </is>
      </c>
      <c r="D11" s="49" t="inlineStr">
        <is>
          <t>Free Press Journal</t>
        </is>
      </c>
      <c r="E11" s="74" t="n">
        <v>-0.202</v>
      </c>
      <c r="F11" s="49" t="inlineStr">
        <is>
          <t>Negative</t>
        </is>
      </c>
      <c r="G11" s="75" t="inlineStr">
        <is>
          <t>open ↗</t>
        </is>
      </c>
    </row>
    <row r="12">
      <c r="A12" s="49" t="inlineStr">
        <is>
          <t>MARKET</t>
        </is>
      </c>
      <c r="B12" s="49" t="inlineStr">
        <is>
          <t>2026-10-28 10:43</t>
        </is>
      </c>
      <c r="C12" s="49" t="inlineStr">
        <is>
          <t>Sensex Today Ends 353 Points Lower | Nifty Below 22,700 | AWL Agri Business Down 6%</t>
        </is>
      </c>
      <c r="D12" s="49" t="inlineStr">
        <is>
          <t>Equitymaster</t>
        </is>
      </c>
      <c r="E12" s="74" t="n">
        <v>0.226</v>
      </c>
      <c r="F12" s="49" t="inlineStr">
        <is>
          <t>Positive</t>
        </is>
      </c>
      <c r="G12" s="75" t="inlineStr">
        <is>
          <t>open ↗</t>
        </is>
      </c>
    </row>
    <row r="13">
      <c r="A13" s="49" t="inlineStr">
        <is>
          <t>MARKET</t>
        </is>
      </c>
      <c r="B13" s="49" t="inlineStr">
        <is>
          <t>2026-10-28 10:40</t>
        </is>
      </c>
      <c r="C13" s="49" t="inlineStr">
        <is>
          <t>Sensex falls 353 points, Nifty below 22,700 as IT and oil stocks drag</t>
        </is>
      </c>
      <c r="D13" s="49" t="inlineStr">
        <is>
          <t>India Today</t>
        </is>
      </c>
      <c r="E13" s="74" t="n">
        <v>-0.202</v>
      </c>
      <c r="F13" s="49" t="inlineStr">
        <is>
          <t>Negative</t>
        </is>
      </c>
      <c r="G13" s="75" t="inlineStr">
        <is>
          <t>open ↗</t>
        </is>
      </c>
    </row>
    <row r="14">
      <c r="A14" s="49" t="inlineStr">
        <is>
          <t>MARKET</t>
        </is>
      </c>
      <c r="B14" s="49" t="inlineStr">
        <is>
          <t>2026-10-28 10:34</t>
        </is>
      </c>
      <c r="C14" s="49" t="inlineStr">
        <is>
          <t>Closing Bell: Sensex Falls 350 Points, Nifty 50 Slips Below 22,700 as IT Stocks Drag Markets</t>
        </is>
      </c>
      <c r="D14" s="49" t="inlineStr">
        <is>
          <t>Dalal Street Investment Journal</t>
        </is>
      </c>
      <c r="E14" s="74" t="n">
        <v>-0.494</v>
      </c>
      <c r="F14" s="49" t="inlineStr">
        <is>
          <t>Negative</t>
        </is>
      </c>
      <c r="G14" s="75" t="inlineStr">
        <is>
          <t>open ↗</t>
        </is>
      </c>
    </row>
    <row r="15">
      <c r="A15" s="49" t="inlineStr">
        <is>
          <t>MARKET</t>
        </is>
      </c>
      <c r="B15" s="49" t="inlineStr">
        <is>
          <t>2026-10-28 10:29</t>
        </is>
      </c>
      <c r="C15" s="49" t="inlineStr">
        <is>
          <t>Sensex ends 353 points lower as auto, banking stocks limit losses</t>
        </is>
      </c>
      <c r="D15" s="49" t="inlineStr">
        <is>
          <t>The Hawk</t>
        </is>
      </c>
      <c r="E15" s="74" t="n">
        <v>-0.5570000000000001</v>
      </c>
      <c r="F15" s="49" t="inlineStr">
        <is>
          <t>Negative</t>
        </is>
      </c>
      <c r="G15" s="75" t="inlineStr">
        <is>
          <t>open ↗</t>
        </is>
      </c>
    </row>
    <row r="16">
      <c r="A16" s="49" t="inlineStr">
        <is>
          <t>MARKET</t>
        </is>
      </c>
      <c r="B16" s="49" t="inlineStr">
        <is>
          <t>2026-10-28 10:26</t>
        </is>
      </c>
      <c r="C16" s="49" t="inlineStr">
        <is>
          <t>Closing bell: Jio surges on debut, L&amp;T and pharma stocks lead gains; Nifty IT slides 2%</t>
        </is>
      </c>
      <c r="D16" s="49" t="inlineStr">
        <is>
          <t>CNBC TV18</t>
        </is>
      </c>
      <c r="E16" s="74" t="n">
        <v>0.8179999999999999</v>
      </c>
      <c r="F16" s="49" t="inlineStr">
        <is>
          <t>Positive</t>
        </is>
      </c>
      <c r="G16" s="75" t="inlineStr">
        <is>
          <t>open ↗</t>
        </is>
      </c>
    </row>
    <row r="17">
      <c r="A17" s="49" t="inlineStr">
        <is>
          <t>MARKET</t>
        </is>
      </c>
      <c r="B17" s="49" t="inlineStr">
        <is>
          <t>2026-10-28 10:14</t>
        </is>
      </c>
      <c r="C17" s="49" t="inlineStr">
        <is>
          <t>Taking Stock: Sensex falls 353 points, Nifty slips below 22,700; mid, smallcaps outperform</t>
        </is>
      </c>
      <c r="D17" s="49" t="inlineStr">
        <is>
          <t>Moneycontrol.com</t>
        </is>
      </c>
      <c r="E17" s="74" t="n">
        <v>0.178</v>
      </c>
      <c r="F17" s="49" t="inlineStr">
        <is>
          <t>Neutral</t>
        </is>
      </c>
      <c r="G17" s="75" t="inlineStr">
        <is>
          <t>open ↗</t>
        </is>
      </c>
    </row>
    <row r="18">
      <c r="A18" s="49" t="inlineStr">
        <is>
          <t>MARKET</t>
        </is>
      </c>
      <c r="B18" s="49" t="inlineStr">
        <is>
          <t>2026-10-28 10:07</t>
        </is>
      </c>
      <c r="C18" s="49" t="inlineStr">
        <is>
          <t>Stock Markets Fall, Sensex Declines Over 330 Points, Nifty Tests 22,700</t>
        </is>
      </c>
      <c r="D18" s="49" t="inlineStr">
        <is>
          <t>ABP Live English</t>
        </is>
      </c>
      <c r="E18" s="74" t="n">
        <v>-0.318</v>
      </c>
      <c r="F18" s="49" t="inlineStr">
        <is>
          <t>Negative</t>
        </is>
      </c>
      <c r="G18" s="75" t="inlineStr">
        <is>
          <t>open ↗</t>
        </is>
      </c>
    </row>
    <row r="19">
      <c r="A19" s="49" t="inlineStr">
        <is>
          <t>MARKET</t>
        </is>
      </c>
      <c r="B19" s="49" t="inlineStr">
        <is>
          <t>2026-10-28 10:06</t>
        </is>
      </c>
      <c r="C19" s="49" t="inlineStr">
        <is>
          <t>Closing Bell: Sensex falls 353 points, Nifty below 22,700; Infosys, Reliance, TCS top drags</t>
        </is>
      </c>
      <c r="D19" s="49" t="inlineStr">
        <is>
          <t>Zee Business</t>
        </is>
      </c>
      <c r="E19" s="74" t="n">
        <v>-0.128</v>
      </c>
      <c r="F19" s="49" t="inlineStr">
        <is>
          <t>Neutral</t>
        </is>
      </c>
      <c r="G19" s="75" t="inlineStr">
        <is>
          <t>open ↗</t>
        </is>
      </c>
    </row>
    <row r="20">
      <c r="A20" s="49" t="inlineStr">
        <is>
          <t>MARKET</t>
        </is>
      </c>
      <c r="B20" s="49" t="inlineStr">
        <is>
          <t>2026-10-28 09:39</t>
        </is>
      </c>
      <c r="C20" s="49" t="inlineStr">
        <is>
          <t>Diwali 2026: Sensex plunged 10,000 points, Nifty dropped 12% since last Diwali. Will Samvat 2083 bring som</t>
        </is>
      </c>
      <c r="D20" s="49" t="inlineStr">
        <is>
          <t>The Economic Times</t>
        </is>
      </c>
      <c r="E20" s="74" t="n">
        <v>0.402</v>
      </c>
      <c r="F20" s="49" t="inlineStr">
        <is>
          <t>Positive</t>
        </is>
      </c>
      <c r="G20" s="75" t="inlineStr">
        <is>
          <t>open ↗</t>
        </is>
      </c>
    </row>
    <row r="21">
      <c r="A21" s="49" t="inlineStr">
        <is>
          <t>AEROFLEX</t>
        </is>
      </c>
      <c r="B21" s="49" t="inlineStr">
        <is>
          <t>2026-10-28 09:25</t>
        </is>
      </c>
      <c r="C21" s="49" t="inlineStr">
        <is>
          <t>Aeroflex Enterprises wins MCA approval to expand business objects into data centres and hospitality sectors</t>
        </is>
      </c>
      <c r="D21" s="49" t="inlineStr">
        <is>
          <t>Trade Brains</t>
        </is>
      </c>
      <c r="E21" s="74" t="n">
        <v>0.784</v>
      </c>
      <c r="F21" s="49" t="inlineStr">
        <is>
          <t>Positive</t>
        </is>
      </c>
      <c r="G21" s="75" t="inlineStr">
        <is>
          <t>open ↗</t>
        </is>
      </c>
    </row>
    <row r="22">
      <c r="A22" s="49" t="inlineStr">
        <is>
          <t>MARKET</t>
        </is>
      </c>
      <c r="B22" s="49" t="inlineStr">
        <is>
          <t>2026-10-28 09:03</t>
        </is>
      </c>
      <c r="C22" s="49" t="inlineStr">
        <is>
          <t>Sensex Falls 356 Points, Nifty 50 Slips 65 Points as IT Stocks Drag Markets Lower</t>
        </is>
      </c>
      <c r="D22" s="49" t="inlineStr">
        <is>
          <t>Dalal Street Investment Journal</t>
        </is>
      </c>
      <c r="E22" s="74" t="n">
        <v>-0.612</v>
      </c>
      <c r="F22" s="49" t="inlineStr">
        <is>
          <t>Negative</t>
        </is>
      </c>
      <c r="G22" s="75" t="inlineStr">
        <is>
          <t>open ↗</t>
        </is>
      </c>
    </row>
    <row r="23">
      <c r="A23" s="49" t="inlineStr">
        <is>
          <t>MARKET</t>
        </is>
      </c>
      <c r="B23" s="49" t="inlineStr">
        <is>
          <t>2026-10-28 09:02</t>
        </is>
      </c>
      <c r="C23" s="49" t="inlineStr">
        <is>
          <t>Sensex Plunges Nearly 1,000 Points as Oil Surges Above $115 and IT Stocks Slide</t>
        </is>
      </c>
      <c r="D23" s="49" t="inlineStr">
        <is>
          <t>www.nationpathindia.com</t>
        </is>
      </c>
      <c r="E23" s="74" t="n">
        <v>-0.077</v>
      </c>
      <c r="F23" s="49" t="inlineStr">
        <is>
          <t>Neutral</t>
        </is>
      </c>
      <c r="G23" s="75" t="inlineStr">
        <is>
          <t>open ↗</t>
        </is>
      </c>
    </row>
    <row r="24">
      <c r="A24" s="49" t="inlineStr">
        <is>
          <t>ACUTAAS</t>
        </is>
      </c>
      <c r="B24" s="49" t="inlineStr">
        <is>
          <t>2026-10-28 09:00</t>
        </is>
      </c>
      <c r="C24" s="49" t="inlineStr">
        <is>
          <t>Buy Acutaas Chemicals; target of Rs 4693: Prabhudas Lilladher</t>
        </is>
      </c>
      <c r="D24" s="49" t="inlineStr">
        <is>
          <t>Moneycontrol.com</t>
        </is>
      </c>
      <c r="E24" s="74" t="n">
        <v>0.421</v>
      </c>
      <c r="F24" s="49" t="inlineStr">
        <is>
          <t>Positive</t>
        </is>
      </c>
      <c r="G24" s="75" t="inlineStr">
        <is>
          <t>open ↗</t>
        </is>
      </c>
    </row>
    <row r="25">
      <c r="A25" s="49" t="inlineStr">
        <is>
          <t>MARKET</t>
        </is>
      </c>
      <c r="B25" s="49" t="inlineStr">
        <is>
          <t>2026-10-28 08:33</t>
        </is>
      </c>
      <c r="C25" s="49" t="inlineStr">
        <is>
          <t>Sensex Crashes 826 Points: 4 Reasons Behind Market Fall</t>
        </is>
      </c>
      <c r="D25" s="49" t="inlineStr">
        <is>
          <t>Analytics Insight</t>
        </is>
      </c>
      <c r="E25" s="74" t="n">
        <v>-0.34</v>
      </c>
      <c r="F25" s="49" t="inlineStr">
        <is>
          <t>Negative</t>
        </is>
      </c>
      <c r="G25" s="75" t="inlineStr">
        <is>
          <t>open ↗</t>
        </is>
      </c>
    </row>
    <row r="26">
      <c r="A26" s="49" t="inlineStr">
        <is>
          <t>MARKET</t>
        </is>
      </c>
      <c r="B26" s="49" t="inlineStr">
        <is>
          <t>2026-10-28 08:29</t>
        </is>
      </c>
      <c r="C26" s="49" t="inlineStr">
        <is>
          <t>Sensex recovers over 700 pts; Nifty above 24,700; what's keeping markets on edge?</t>
        </is>
      </c>
      <c r="D26" s="49" t="inlineStr">
        <is>
          <t>Zee Business</t>
        </is>
      </c>
      <c r="E26" s="74" t="n">
        <v>0.402</v>
      </c>
      <c r="F26" s="49" t="inlineStr">
        <is>
          <t>Positive</t>
        </is>
      </c>
      <c r="G26" s="75" t="inlineStr">
        <is>
          <t>open ↗</t>
        </is>
      </c>
    </row>
    <row r="27">
      <c r="A27" s="49" t="inlineStr">
        <is>
          <t>MARKET</t>
        </is>
      </c>
      <c r="B27" s="49" t="inlineStr">
        <is>
          <t>2026-10-28 08:17</t>
        </is>
      </c>
      <c r="C27" s="49" t="inlineStr">
        <is>
          <t>Jio Platforms opens on BSE, NSE over 21% higher with IPO debut at ₹1,357 | Business News</t>
        </is>
      </c>
      <c r="D27" s="49" t="inlineStr">
        <is>
          <t>Hindustan Times</t>
        </is>
      </c>
      <c r="E27" s="74" t="n">
        <v>0</v>
      </c>
      <c r="F27" s="49" t="inlineStr">
        <is>
          <t>Neutral</t>
        </is>
      </c>
      <c r="G27" s="75" t="inlineStr">
        <is>
          <t>open ↗</t>
        </is>
      </c>
    </row>
    <row r="28">
      <c r="A28" s="49" t="inlineStr">
        <is>
          <t>MARKET</t>
        </is>
      </c>
      <c r="B28" s="49" t="inlineStr">
        <is>
          <t>2026-10-28 08:11</t>
        </is>
      </c>
      <c r="C28" s="49" t="inlineStr">
        <is>
          <t>Jio Platforms, L&amp;T among buzzing stocks: SENSEX recovers over 700 pts from day’s low, NIFTY below 22,750</t>
        </is>
      </c>
      <c r="D28" s="49" t="inlineStr">
        <is>
          <t>Upstox</t>
        </is>
      </c>
      <c r="E28" s="74" t="n">
        <v>0.325</v>
      </c>
      <c r="F28" s="49" t="inlineStr">
        <is>
          <t>Positive</t>
        </is>
      </c>
      <c r="G28" s="75" t="inlineStr">
        <is>
          <t>open ↗</t>
        </is>
      </c>
    </row>
    <row r="29">
      <c r="A29" s="49" t="inlineStr">
        <is>
          <t>MARKET</t>
        </is>
      </c>
      <c r="B29" s="49" t="inlineStr">
        <is>
          <t>2026-10-28 07:38</t>
        </is>
      </c>
      <c r="C29" s="49" t="inlineStr">
        <is>
          <t>HDFC Bank, ITC, HDFC Life, Nestle, Britannia, TaMo PV hit 52-week lows</t>
        </is>
      </c>
      <c r="D29" s="49" t="inlineStr">
        <is>
          <t>Business Standard</t>
        </is>
      </c>
      <c r="E29" s="74" t="n">
        <v>-0.34</v>
      </c>
      <c r="F29" s="49" t="inlineStr">
        <is>
          <t>Negative</t>
        </is>
      </c>
      <c r="G29" s="75" t="inlineStr">
        <is>
          <t>open ↗</t>
        </is>
      </c>
    </row>
    <row r="30">
      <c r="A30" s="49" t="inlineStr">
        <is>
          <t>MARKET</t>
        </is>
      </c>
      <c r="B30" s="49" t="inlineStr">
        <is>
          <t>2026-10-28 07:28</t>
        </is>
      </c>
      <c r="C30" s="49" t="inlineStr">
        <is>
          <t>Sensex Slides 601 Points at Open as IT Stocks Drag Markets Lower</t>
        </is>
      </c>
      <c r="D30" s="49" t="inlineStr">
        <is>
          <t>Business News This Week</t>
        </is>
      </c>
      <c r="E30" s="74" t="n">
        <v>-0.402</v>
      </c>
      <c r="F30" s="49" t="inlineStr">
        <is>
          <t>Negative</t>
        </is>
      </c>
      <c r="G30" s="75" t="inlineStr">
        <is>
          <t>open ↗</t>
        </is>
      </c>
    </row>
    <row r="31">
      <c r="A31" s="49" t="inlineStr">
        <is>
          <t>ACUTAAS</t>
        </is>
      </c>
      <c r="B31" s="49" t="inlineStr">
        <is>
          <t>2026-10-28 07:17</t>
        </is>
      </c>
      <c r="C31" s="49" t="inlineStr">
        <is>
          <t>Acutaas Chemicals (NSE:ACUTAAS): What Did Its Q2 FY27 Results Filing Reveal?</t>
        </is>
      </c>
      <c r="D31" s="49" t="inlineStr">
        <is>
          <t>Kalkine India</t>
        </is>
      </c>
      <c r="E31" s="74" t="n">
        <v>0</v>
      </c>
      <c r="F31" s="49" t="inlineStr">
        <is>
          <t>Neutral</t>
        </is>
      </c>
      <c r="G31" s="75" t="inlineStr">
        <is>
          <t>open ↗</t>
        </is>
      </c>
    </row>
    <row r="32">
      <c r="A32" s="49" t="inlineStr">
        <is>
          <t>MARKET</t>
        </is>
      </c>
      <c r="B32" s="49" t="inlineStr">
        <is>
          <t>2026-10-28 07:15</t>
        </is>
      </c>
      <c r="C32" s="49" t="inlineStr">
        <is>
          <t>Nifty, Sensex post sharp losses amid elevated crude oil prices</t>
        </is>
      </c>
      <c r="D32" s="49" t="inlineStr">
        <is>
          <t>IBTimes India</t>
        </is>
      </c>
      <c r="E32" s="74" t="n">
        <v>-0.586</v>
      </c>
      <c r="F32" s="49" t="inlineStr">
        <is>
          <t>Negative</t>
        </is>
      </c>
      <c r="G32" s="75" t="inlineStr">
        <is>
          <t>open ↗</t>
        </is>
      </c>
    </row>
    <row r="33">
      <c r="A33" s="49" t="inlineStr">
        <is>
          <t>MARKET</t>
        </is>
      </c>
      <c r="B33" s="49" t="inlineStr">
        <is>
          <t>2026-10-28 06:20</t>
        </is>
      </c>
      <c r="C33" s="49" t="inlineStr">
        <is>
          <t>Stock Market Crash Today: Sensex Falls 995 Points, Why?</t>
        </is>
      </c>
      <c r="D33" s="49" t="inlineStr">
        <is>
          <t>Univest</t>
        </is>
      </c>
      <c r="E33" s="74" t="n">
        <v>-0.751</v>
      </c>
      <c r="F33" s="49" t="inlineStr">
        <is>
          <t>Negative</t>
        </is>
      </c>
      <c r="G33" s="75" t="inlineStr">
        <is>
          <t>open ↗</t>
        </is>
      </c>
    </row>
    <row r="34">
      <c r="A34" s="49" t="inlineStr">
        <is>
          <t>MARKET</t>
        </is>
      </c>
      <c r="B34" s="49" t="inlineStr">
        <is>
          <t>2026-10-28 06:18</t>
        </is>
      </c>
      <c r="C34" s="49" t="inlineStr">
        <is>
          <t>Sensex Falls 602 Points, Nifty 50 Slips 0.60% as IT and FMCG Stocks Face Selling Pressure</t>
        </is>
      </c>
      <c r="D34" s="49" t="inlineStr">
        <is>
          <t>Dalal Street Investment Journal</t>
        </is>
      </c>
      <c r="E34" s="74" t="n">
        <v>-0.542</v>
      </c>
      <c r="F34" s="49" t="inlineStr">
        <is>
          <t>Negative</t>
        </is>
      </c>
      <c r="G34" s="75" t="inlineStr">
        <is>
          <t>open ↗</t>
        </is>
      </c>
    </row>
    <row r="35">
      <c r="A35" s="49" t="inlineStr">
        <is>
          <t>MARKET</t>
        </is>
      </c>
      <c r="B35" s="49" t="inlineStr">
        <is>
          <t>2026-10-28 06:12</t>
        </is>
      </c>
      <c r="C35" s="49" t="inlineStr">
        <is>
          <t>Sensex, Nifty Crash; Indian IT Stocks Tumble; Here’s What May Have Rattled Investors</t>
        </is>
      </c>
      <c r="D35" s="49" t="inlineStr">
        <is>
          <t>OdishaBytes</t>
        </is>
      </c>
      <c r="E35" s="74" t="n">
        <v>-0.273</v>
      </c>
      <c r="F35" s="49" t="inlineStr">
        <is>
          <t>Negative</t>
        </is>
      </c>
      <c r="G35" s="75" t="inlineStr">
        <is>
          <t>open ↗</t>
        </is>
      </c>
    </row>
    <row r="36">
      <c r="A36" s="49" t="inlineStr">
        <is>
          <t>MARKET</t>
        </is>
      </c>
      <c r="B36" s="49" t="inlineStr">
        <is>
          <t>2026-10-28 05:41</t>
        </is>
      </c>
      <c r="C36" s="49" t="inlineStr">
        <is>
          <t>NSE, Sensex Today: Stock Market Latest News; Infosys, TCS, HCLTech Fall, L&amp;T, Bajaj Auto Gain</t>
        </is>
      </c>
      <c r="D36" s="49" t="inlineStr">
        <is>
          <t>The Sunday Guardian</t>
        </is>
      </c>
      <c r="E36" s="74" t="n">
        <v>0</v>
      </c>
      <c r="F36" s="49" t="inlineStr">
        <is>
          <t>Neutral</t>
        </is>
      </c>
      <c r="G36" s="75" t="inlineStr">
        <is>
          <t>open ↗</t>
        </is>
      </c>
    </row>
    <row r="37">
      <c r="A37" s="49" t="inlineStr">
        <is>
          <t>MARKET</t>
        </is>
      </c>
      <c r="B37" s="49" t="inlineStr">
        <is>
          <t>2026-10-28 05:37</t>
        </is>
      </c>
      <c r="C37" s="49" t="inlineStr">
        <is>
          <t>Stock market crash today: Sensex plunges 995 points, Nifty sheds 1% ahead of Fed decision: Here's what spooked D-Street</t>
        </is>
      </c>
      <c r="D37" s="49" t="inlineStr">
        <is>
          <t>Livemint</t>
        </is>
      </c>
      <c r="E37" s="74" t="n">
        <v>-0.802</v>
      </c>
      <c r="F37" s="49" t="inlineStr">
        <is>
          <t>Negative</t>
        </is>
      </c>
      <c r="G37" s="75" t="inlineStr">
        <is>
          <t>open ↗</t>
        </is>
      </c>
    </row>
    <row r="38">
      <c r="A38" s="49" t="inlineStr">
        <is>
          <t>MARKET</t>
        </is>
      </c>
      <c r="B38" s="49" t="inlineStr">
        <is>
          <t>2026-10-28 05:36</t>
        </is>
      </c>
      <c r="C38" s="49" t="inlineStr">
        <is>
          <t>Sensex falls 700 points: 3 reasons why the stock market is down today</t>
        </is>
      </c>
      <c r="D38" s="49" t="inlineStr">
        <is>
          <t>India Today</t>
        </is>
      </c>
      <c r="E38" s="74" t="n">
        <v>-0.382</v>
      </c>
      <c r="F38" s="49" t="inlineStr">
        <is>
          <t>Negative</t>
        </is>
      </c>
      <c r="G38" s="75" t="inlineStr">
        <is>
          <t>open ↗</t>
        </is>
      </c>
    </row>
    <row r="39">
      <c r="A39" s="49" t="inlineStr">
        <is>
          <t>AEROFLEX</t>
        </is>
      </c>
      <c r="B39" s="49" t="inlineStr">
        <is>
          <t>2026-10-28 05:27</t>
        </is>
      </c>
      <c r="C39" s="49" t="inlineStr">
        <is>
          <t>ADITYA BIRLA SUN LIFE BSE TOTAL MARKET ETF Stock/Share price , NSE/BSE Forecast News and Live Quotes</t>
        </is>
      </c>
      <c r="D39" s="49" t="inlineStr">
        <is>
          <t>Equitymaster</t>
        </is>
      </c>
      <c r="E39" s="74" t="n">
        <v>0</v>
      </c>
      <c r="F39" s="49" t="inlineStr">
        <is>
          <t>Neutral</t>
        </is>
      </c>
      <c r="G39" s="75" t="inlineStr">
        <is>
          <t>open ↗</t>
        </is>
      </c>
    </row>
    <row r="40">
      <c r="A40" s="49" t="inlineStr">
        <is>
          <t>MARKET</t>
        </is>
      </c>
      <c r="B40" s="49" t="inlineStr">
        <is>
          <t>2026-10-28 05:26</t>
        </is>
      </c>
      <c r="C40" s="49" t="inlineStr">
        <is>
          <t>Why Is Stock Market Falling Today? 4 Key Reasons Behind Sensex, Nifty Crash</t>
        </is>
      </c>
      <c r="D40" s="49" t="inlineStr">
        <is>
          <t>NDTV</t>
        </is>
      </c>
      <c r="E40" s="74" t="n">
        <v>-0.402</v>
      </c>
      <c r="F40" s="49" t="inlineStr">
        <is>
          <t>Negative</t>
        </is>
      </c>
      <c r="G40" s="75" t="inlineStr">
        <is>
          <t>open ↗</t>
        </is>
      </c>
    </row>
    <row r="41">
      <c r="A41" s="49" t="inlineStr">
        <is>
          <t>MARKET</t>
        </is>
      </c>
      <c r="B41" s="49" t="inlineStr">
        <is>
          <t>2026-10-28 05:26</t>
        </is>
      </c>
      <c r="C41" s="49" t="inlineStr">
        <is>
          <t>Market fall explained: Sensex dives 995 points intraday, Nifty at 22,500</t>
        </is>
      </c>
      <c r="D41" s="49" t="inlineStr">
        <is>
          <t>Business Standard</t>
        </is>
      </c>
      <c r="E41" s="74" t="n">
        <v>0.077</v>
      </c>
      <c r="F41" s="49" t="inlineStr">
        <is>
          <t>Neutral</t>
        </is>
      </c>
      <c r="G41" s="75" t="inlineStr">
        <is>
          <t>open ↗</t>
        </is>
      </c>
    </row>
    <row r="42">
      <c r="A42" s="49" t="inlineStr">
        <is>
          <t>MARKET</t>
        </is>
      </c>
      <c r="B42" s="49" t="inlineStr">
        <is>
          <t>2026-10-28 05:11</t>
        </is>
      </c>
      <c r="C42" s="49" t="inlineStr">
        <is>
          <t>Jio Platforms Lists at ₹1,358, Up 21% Over IPO Price</t>
        </is>
      </c>
      <c r="D42" s="49" t="inlineStr">
        <is>
          <t>HDFC Sky</t>
        </is>
      </c>
      <c r="E42" s="74" t="n">
        <v>0</v>
      </c>
      <c r="F42" s="49" t="inlineStr">
        <is>
          <t>Neutral</t>
        </is>
      </c>
      <c r="G42" s="75" t="inlineStr">
        <is>
          <t>open ↗</t>
        </is>
      </c>
    </row>
    <row r="43">
      <c r="A43" s="49" t="inlineStr">
        <is>
          <t>MARKET</t>
        </is>
      </c>
      <c r="B43" s="49" t="inlineStr">
        <is>
          <t>2026-10-28 04:56</t>
        </is>
      </c>
      <c r="C43" s="49" t="inlineStr">
        <is>
          <t>Sensex Today Tanks 793 Points | Nifty Below 22,550 | Nifty IT Index Down 3.1%</t>
        </is>
      </c>
      <c r="D43" s="49" t="inlineStr">
        <is>
          <t>Equitymaster</t>
        </is>
      </c>
      <c r="E43" s="74" t="n">
        <v>0.296</v>
      </c>
      <c r="F43" s="49" t="inlineStr">
        <is>
          <t>Positive</t>
        </is>
      </c>
      <c r="G43" s="75" t="inlineStr">
        <is>
          <t>open ↗</t>
        </is>
      </c>
    </row>
    <row r="44">
      <c r="A44" s="49" t="inlineStr">
        <is>
          <t>MARKET</t>
        </is>
      </c>
      <c r="B44" s="49" t="inlineStr">
        <is>
          <t>2026-10-28 04:46</t>
        </is>
      </c>
      <c r="C44" s="49" t="inlineStr">
        <is>
          <t>Sensex falls nearly 700 points as rising crude prices, FPI outflows weigh on markets</t>
        </is>
      </c>
      <c r="D44" s="49" t="inlineStr">
        <is>
          <t>DD India</t>
        </is>
      </c>
      <c r="E44" s="74" t="n">
        <v>-0.743</v>
      </c>
      <c r="F44" s="49" t="inlineStr">
        <is>
          <t>Negative</t>
        </is>
      </c>
      <c r="G44" s="75" t="inlineStr">
        <is>
          <t>open ↗</t>
        </is>
      </c>
    </row>
    <row r="45">
      <c r="A45" s="49" t="inlineStr">
        <is>
          <t>MARKET</t>
        </is>
      </c>
      <c r="B45" s="49" t="inlineStr">
        <is>
          <t>2026-10-28 04:38</t>
        </is>
      </c>
      <c r="C45" s="49" t="inlineStr">
        <is>
          <t>Sensex Drops 600+ Points: IT Stocks, Rising Crude Blamed</t>
        </is>
      </c>
      <c r="D45" s="49" t="inlineStr">
        <is>
          <t>Rediff MoneyWiz</t>
        </is>
      </c>
      <c r="E45" s="74" t="n">
        <v>-0.778</v>
      </c>
      <c r="F45" s="49" t="inlineStr">
        <is>
          <t>Negative</t>
        </is>
      </c>
      <c r="G45" s="75" t="inlineStr">
        <is>
          <t>open ↗</t>
        </is>
      </c>
    </row>
    <row r="46">
      <c r="A46" s="49" t="inlineStr">
        <is>
          <t>MARKET</t>
        </is>
      </c>
      <c r="B46" s="49" t="inlineStr">
        <is>
          <t>2026-10-28 04:38</t>
        </is>
      </c>
      <c r="C46" s="49" t="inlineStr">
        <is>
          <t>Sensex Falls 600 Points In Early Trade As IT Stocks Slide, Crude Oil Tops $115</t>
        </is>
      </c>
      <c r="D46" s="49" t="inlineStr">
        <is>
          <t>News18</t>
        </is>
      </c>
      <c r="E46" s="74" t="n">
        <v>-0.459</v>
      </c>
      <c r="F46" s="49" t="inlineStr">
        <is>
          <t>Negative</t>
        </is>
      </c>
      <c r="G46" s="75" t="inlineStr">
        <is>
          <t>open ↗</t>
        </is>
      </c>
    </row>
    <row r="47">
      <c r="A47" s="49" t="inlineStr">
        <is>
          <t>MARKET</t>
        </is>
      </c>
      <c r="B47" s="49" t="inlineStr">
        <is>
          <t>2026-10-28 04:35</t>
        </is>
      </c>
      <c r="C47" s="49" t="inlineStr">
        <is>
          <t>Sensex sheds 691 points, Nifty falls below 22,600 on rising crude prices, FPI concerns</t>
        </is>
      </c>
      <c r="D47" s="49" t="inlineStr">
        <is>
          <t>ChiniMandi</t>
        </is>
      </c>
      <c r="E47" s="74" t="n">
        <v>-0.735</v>
      </c>
      <c r="F47" s="49" t="inlineStr">
        <is>
          <t>Negative</t>
        </is>
      </c>
      <c r="G47" s="75" t="inlineStr">
        <is>
          <t>open ↗</t>
        </is>
      </c>
    </row>
    <row r="48">
      <c r="A48" s="49" t="inlineStr">
        <is>
          <t>MARKET</t>
        </is>
      </c>
      <c r="B48" s="49" t="inlineStr">
        <is>
          <t>2026-10-28 04:35</t>
        </is>
      </c>
      <c r="C48" s="49" t="inlineStr">
        <is>
          <t>Sensex falls 684 points, Nifty drops below 22,600 in early trade</t>
        </is>
      </c>
      <c r="D48" s="49" t="inlineStr">
        <is>
          <t>Telangana Today</t>
        </is>
      </c>
      <c r="E48" s="74" t="n">
        <v>0.026</v>
      </c>
      <c r="F48" s="49" t="inlineStr">
        <is>
          <t>Neutral</t>
        </is>
      </c>
      <c r="G48" s="75" t="inlineStr">
        <is>
          <t>open ↗</t>
        </is>
      </c>
    </row>
    <row r="49">
      <c r="A49" s="49" t="inlineStr">
        <is>
          <t>MARKET</t>
        </is>
      </c>
      <c r="B49" s="49" t="inlineStr">
        <is>
          <t>2026-10-28 04:32</t>
        </is>
      </c>
      <c r="C49" s="49" t="inlineStr">
        <is>
          <t>Sensex, Nifty Slide as Crude Near $116 and IT Stocks Tumble</t>
        </is>
      </c>
      <c r="D49" s="49" t="inlineStr">
        <is>
          <t>HDFC Sky</t>
        </is>
      </c>
      <c r="E49" s="74" t="n">
        <v>-0.25</v>
      </c>
      <c r="F49" s="49" t="inlineStr">
        <is>
          <t>Negative</t>
        </is>
      </c>
      <c r="G49" s="75" t="inlineStr">
        <is>
          <t>open ↗</t>
        </is>
      </c>
    </row>
    <row r="50">
      <c r="A50" s="49" t="inlineStr">
        <is>
          <t>MARKET</t>
        </is>
      </c>
      <c r="B50" s="49" t="inlineStr">
        <is>
          <t>2026-10-28 04:32</t>
        </is>
      </c>
      <c r="C50" s="49" t="inlineStr">
        <is>
          <t>Stock Markets Today: Sensex, Nifty Tumble as IT Stocks, Crude Prices Weigh</t>
        </is>
      </c>
      <c r="D50" s="49" t="inlineStr">
        <is>
          <t>Rediff</t>
        </is>
      </c>
      <c r="E50" s="74" t="n">
        <v>-0.25</v>
      </c>
      <c r="F50" s="49" t="inlineStr">
        <is>
          <t>Negative</t>
        </is>
      </c>
      <c r="G50" s="75" t="inlineStr">
        <is>
          <t>open ↗</t>
        </is>
      </c>
    </row>
    <row r="51">
      <c r="A51" s="49" t="inlineStr">
        <is>
          <t>MARKET</t>
        </is>
      </c>
      <c r="B51" s="49" t="inlineStr">
        <is>
          <t>2026-10-28 04:29</t>
        </is>
      </c>
      <c r="C51" s="49" t="inlineStr">
        <is>
          <t>Jio Platforms lists at 21% premium, becomes India's 2nd-most valuable firm</t>
        </is>
      </c>
      <c r="D51" s="49" t="inlineStr">
        <is>
          <t>Business Standard</t>
        </is>
      </c>
      <c r="E51" s="74" t="n">
        <v>0.477</v>
      </c>
      <c r="F51" s="49" t="inlineStr">
        <is>
          <t>Positive</t>
        </is>
      </c>
      <c r="G51" s="75" t="inlineStr">
        <is>
          <t>open ↗</t>
        </is>
      </c>
    </row>
    <row r="52">
      <c r="A52" s="49" t="inlineStr">
        <is>
          <t>MARKET</t>
        </is>
      </c>
      <c r="B52" s="49" t="inlineStr">
        <is>
          <t>2026-10-28 04:28</t>
        </is>
      </c>
      <c r="C52" s="49" t="inlineStr">
        <is>
          <t>Sensex crashes nearly 700 points, Nifty below 22,600; IT stocks sink</t>
        </is>
      </c>
      <c r="D52" s="49" t="inlineStr">
        <is>
          <t>NewsDrum</t>
        </is>
      </c>
      <c r="E52" s="74" t="n">
        <v>0.402</v>
      </c>
      <c r="F52" s="49" t="inlineStr">
        <is>
          <t>Positive</t>
        </is>
      </c>
      <c r="G52" s="75" t="inlineStr">
        <is>
          <t>open ↗</t>
        </is>
      </c>
    </row>
    <row r="53">
      <c r="A53" s="49" t="inlineStr">
        <is>
          <t>MARKET</t>
        </is>
      </c>
      <c r="B53" s="49" t="inlineStr">
        <is>
          <t>2026-10-28 04:25</t>
        </is>
      </c>
      <c r="C53" s="49" t="inlineStr">
        <is>
          <t>Why Is Stock Market Falling Today? Sensex Drops Over 800 Points, Nifty Slips Below 22,600; Key Reasons Explained</t>
        </is>
      </c>
      <c r="D53" s="49" t="inlineStr">
        <is>
          <t>NDTV Profit</t>
        </is>
      </c>
      <c r="E53" s="74" t="n">
        <v>-0.077</v>
      </c>
      <c r="F53" s="49" t="inlineStr">
        <is>
          <t>Neutral</t>
        </is>
      </c>
      <c r="G53" s="75" t="inlineStr">
        <is>
          <t>open ↗</t>
        </is>
      </c>
    </row>
    <row r="54">
      <c r="A54" s="49" t="inlineStr">
        <is>
          <t>MARKET</t>
        </is>
      </c>
      <c r="B54" s="49" t="inlineStr">
        <is>
          <t>2026-10-28 04:19</t>
        </is>
      </c>
      <c r="C54" s="49" t="inlineStr">
        <is>
          <t>Paras Healthcare shares list at 4% premium on BSE, NSE</t>
        </is>
      </c>
      <c r="D54" s="49" t="inlineStr">
        <is>
          <t>Moneycontrol.com</t>
        </is>
      </c>
      <c r="E54" s="74" t="n">
        <v>0</v>
      </c>
      <c r="F54" s="49" t="inlineStr">
        <is>
          <t>Neutral</t>
        </is>
      </c>
      <c r="G54" s="75" t="inlineStr">
        <is>
          <t>open ↗</t>
        </is>
      </c>
    </row>
    <row r="55">
      <c r="A55" s="49" t="inlineStr">
        <is>
          <t>MARKET</t>
        </is>
      </c>
      <c r="B55" s="49" t="inlineStr">
        <is>
          <t>2026-10-28 04:15</t>
        </is>
      </c>
      <c r="C55" s="49" t="inlineStr">
        <is>
          <t>Jio Platforms becomes 12th Reliance Group company to list on NSE, says CEO Ashishkumar Chauhan</t>
        </is>
      </c>
      <c r="D55" s="49" t="inlineStr">
        <is>
          <t>Moneycontrol.com</t>
        </is>
      </c>
      <c r="E55" s="74" t="n">
        <v>0</v>
      </c>
      <c r="F55" s="49" t="inlineStr">
        <is>
          <t>Neutral</t>
        </is>
      </c>
      <c r="G55" s="75" t="inlineStr">
        <is>
          <t>open ↗</t>
        </is>
      </c>
    </row>
    <row r="56">
      <c r="A56" s="49" t="inlineStr">
        <is>
          <t>MARKET</t>
        </is>
      </c>
      <c r="B56" s="49" t="inlineStr">
        <is>
          <t>2026-10-28 04:06</t>
        </is>
      </c>
      <c r="C56" s="49" t="inlineStr">
        <is>
          <t>Stock Market Down: Sensex takes a 900-point beating despite Jio’s solid debut; 4 triggers spooking D-Stree</t>
        </is>
      </c>
      <c r="D56" s="49" t="inlineStr">
        <is>
          <t>The Economic Times</t>
        </is>
      </c>
      <c r="E56" s="74" t="n">
        <v>-0.534</v>
      </c>
      <c r="F56" s="49" t="inlineStr">
        <is>
          <t>Negative</t>
        </is>
      </c>
      <c r="G56" s="75" t="inlineStr">
        <is>
          <t>open ↗</t>
        </is>
      </c>
    </row>
    <row r="57">
      <c r="A57" s="49" t="inlineStr">
        <is>
          <t>ACUTAAS</t>
        </is>
      </c>
      <c r="B57" s="49" t="inlineStr">
        <is>
          <t>2026-10-28 04:02</t>
        </is>
      </c>
      <c r="C57" s="49" t="inlineStr">
        <is>
          <t>AMI Organics (ACUTAAS) Share Price Touches Fresh 52-Week High of Rs 3,949.50</t>
        </is>
      </c>
      <c r="D57" s="49" t="inlineStr">
        <is>
          <t>Univest</t>
        </is>
      </c>
      <c r="E57" s="74" t="n">
        <v>0.477</v>
      </c>
      <c r="F57" s="49" t="inlineStr">
        <is>
          <t>Positive</t>
        </is>
      </c>
      <c r="G57" s="75" t="inlineStr">
        <is>
          <t>open ↗</t>
        </is>
      </c>
    </row>
    <row r="58">
      <c r="A58" s="49" t="inlineStr">
        <is>
          <t>MARKET</t>
        </is>
      </c>
      <c r="B58" s="49" t="inlineStr">
        <is>
          <t>2026-10-28 03:50</t>
        </is>
      </c>
      <c r="C58" s="49" t="inlineStr">
        <is>
          <t>28 October, 2026 Stock Market Updates: Sensex down 345 points, Nifty below 22,700, IT shares drag</t>
        </is>
      </c>
      <c r="D58" s="49" t="inlineStr">
        <is>
          <t>India TV News</t>
        </is>
      </c>
      <c r="E58" s="74" t="n">
        <v>0.202</v>
      </c>
      <c r="F58" s="49" t="inlineStr">
        <is>
          <t>Positive</t>
        </is>
      </c>
      <c r="G58" s="75" t="inlineStr">
        <is>
          <t>open ↗</t>
        </is>
      </c>
    </row>
    <row r="59">
      <c r="A59" s="49" t="inlineStr">
        <is>
          <t>MARKET</t>
        </is>
      </c>
      <c r="B59" s="49" t="inlineStr">
        <is>
          <t>2026-10-28 03:48</t>
        </is>
      </c>
      <c r="C59" s="49" t="inlineStr">
        <is>
          <t>Stock Market Today (October 28): Sensex Crashes Over 900 Points, Nifty Slumps Amid Oil Price Surge; Bloodbath</t>
        </is>
      </c>
      <c r="D59" s="49" t="inlineStr">
        <is>
          <t>Times Now</t>
        </is>
      </c>
      <c r="E59" s="74" t="n">
        <v>0.402</v>
      </c>
      <c r="F59" s="49" t="inlineStr">
        <is>
          <t>Positive</t>
        </is>
      </c>
      <c r="G59" s="75" t="inlineStr">
        <is>
          <t>open ↗</t>
        </is>
      </c>
    </row>
    <row r="60">
      <c r="A60" s="49" t="inlineStr">
        <is>
          <t>MARKET</t>
        </is>
      </c>
      <c r="B60" s="49" t="inlineStr">
        <is>
          <t>2026-10-28 03:33</t>
        </is>
      </c>
      <c r="C60" s="49" t="inlineStr">
        <is>
          <t>Jio Platforms Listing: Revisiting the Debut Performance of 10 Major Indian IPOs</t>
        </is>
      </c>
      <c r="D60" s="49" t="inlineStr">
        <is>
          <t>HDFC Sky</t>
        </is>
      </c>
      <c r="E60" s="74" t="n">
        <v>0</v>
      </c>
      <c r="F60" s="49" t="inlineStr">
        <is>
          <t>Neutral</t>
        </is>
      </c>
      <c r="G60" s="75" t="inlineStr">
        <is>
          <t>open ↗</t>
        </is>
      </c>
    </row>
    <row r="61">
      <c r="A61" s="49" t="inlineStr">
        <is>
          <t>MARKET</t>
        </is>
      </c>
      <c r="B61" s="49" t="inlineStr">
        <is>
          <t>2026-10-28 02:47</t>
        </is>
      </c>
      <c r="C61" s="49" t="inlineStr">
        <is>
          <t>GIFT Nifty crashes over 220 pts, signals weak start for Sensex and Nifty despite global rally; US Fed in...</t>
        </is>
      </c>
      <c r="D61" s="49" t="inlineStr">
        <is>
          <t>Moneycontrol.com</t>
        </is>
      </c>
      <c r="E61" s="74" t="n">
        <v>0.606</v>
      </c>
      <c r="F61" s="49" t="inlineStr">
        <is>
          <t>Positive</t>
        </is>
      </c>
      <c r="G61" s="75" t="inlineStr">
        <is>
          <t>open ↗</t>
        </is>
      </c>
    </row>
    <row r="62">
      <c r="A62" s="49" t="inlineStr">
        <is>
          <t>LAURUSLABS</t>
        </is>
      </c>
      <c r="B62" s="49" t="inlineStr">
        <is>
          <t>2026-10-28 02:25</t>
        </is>
      </c>
      <c r="C62" s="49" t="inlineStr">
        <is>
          <t>Bharti Airtel, MCX, Laurus Labs look bullish on charts: Chandan Taparia</t>
        </is>
      </c>
      <c r="D62" s="49" t="inlineStr">
        <is>
          <t>Business Standard</t>
        </is>
      </c>
      <c r="E62" s="74" t="n">
        <v>0.527</v>
      </c>
      <c r="F62" s="49" t="inlineStr">
        <is>
          <t>Positive</t>
        </is>
      </c>
      <c r="G62" s="75" t="inlineStr">
        <is>
          <t>open ↗</t>
        </is>
      </c>
    </row>
    <row r="63">
      <c r="A63" s="49" t="inlineStr">
        <is>
          <t>MARKET</t>
        </is>
      </c>
      <c r="B63" s="49" t="inlineStr">
        <is>
          <t>2026-10-28 01:54</t>
        </is>
      </c>
      <c r="C63" s="49" t="inlineStr">
        <is>
          <t>Stock Market Today: Gift Nifty, Jio IPO Listing To Nasdaq, Kospi Rally; Five Factors For Sensex, Nifty 50 On Oct 28</t>
        </is>
      </c>
      <c r="D63" s="49" t="inlineStr">
        <is>
          <t>NDTV Profit</t>
        </is>
      </c>
      <c r="E63" s="74" t="n">
        <v>0.883</v>
      </c>
      <c r="F63" s="49" t="inlineStr">
        <is>
          <t>Positive</t>
        </is>
      </c>
      <c r="G63" s="75" t="inlineStr">
        <is>
          <t>open ↗</t>
        </is>
      </c>
    </row>
    <row r="64">
      <c r="A64" s="49" t="inlineStr">
        <is>
          <t>MARKET</t>
        </is>
      </c>
      <c r="B64" s="49" t="inlineStr">
        <is>
          <t>2026-10-28 01:45</t>
        </is>
      </c>
      <c r="C64" s="49" t="inlineStr">
        <is>
          <t>Stock market outlook for 28 Oct: Sensex, Nifty prediction - Jio Platforms IPO listing, GIFT Nifty, US and Asian markets</t>
        </is>
      </c>
      <c r="D64" s="49" t="inlineStr">
        <is>
          <t>Livemint</t>
        </is>
      </c>
      <c r="E64" s="74" t="n">
        <v>0.842</v>
      </c>
      <c r="F64" s="49" t="inlineStr">
        <is>
          <t>Positive</t>
        </is>
      </c>
      <c r="G64" s="75" t="inlineStr">
        <is>
          <t>open ↗</t>
        </is>
      </c>
    </row>
    <row r="65">
      <c r="A65" s="49" t="inlineStr">
        <is>
          <t>MARKET</t>
        </is>
      </c>
      <c r="B65" s="49" t="inlineStr">
        <is>
          <t>2026-10-28 01:45</t>
        </is>
      </c>
      <c r="C65" s="49" t="inlineStr">
        <is>
          <t>Sensex, Nifty Today: GIFT Nifty signals weak start as Brent Crude continues over $115/bbl</t>
        </is>
      </c>
      <c r="D65" s="49" t="inlineStr">
        <is>
          <t>The Financial Express</t>
        </is>
      </c>
      <c r="E65" s="74" t="n">
        <v>0.408</v>
      </c>
      <c r="F65" s="49" t="inlineStr">
        <is>
          <t>Positive</t>
        </is>
      </c>
      <c r="G65" s="75" t="inlineStr">
        <is>
          <t>open ↗</t>
        </is>
      </c>
    </row>
    <row r="66">
      <c r="A66" s="49" t="inlineStr">
        <is>
          <t>ATHERENERG</t>
        </is>
      </c>
      <c r="B66" s="49" t="inlineStr">
        <is>
          <t>2026-10-28 01:06</t>
        </is>
      </c>
      <c r="C66" s="49" t="inlineStr">
        <is>
          <t>Ather Energy Ltd (NSE:ATHERENERG) (Q2 2027) Earnings Call Highlights: First-Ever Positive PAT ...</t>
        </is>
      </c>
      <c r="D66" s="49" t="inlineStr">
        <is>
          <t>Yahoo Finance</t>
        </is>
      </c>
      <c r="E66" s="74" t="n">
        <v>0.6909999999999999</v>
      </c>
      <c r="F66" s="49" t="inlineStr">
        <is>
          <t>Positive</t>
        </is>
      </c>
      <c r="G66" s="75" t="inlineStr">
        <is>
          <t>open ↗</t>
        </is>
      </c>
    </row>
    <row r="67">
      <c r="A67" s="49" t="inlineStr">
        <is>
          <t>ATHERENERG</t>
        </is>
      </c>
      <c r="B67" s="49" t="inlineStr">
        <is>
          <t>2026-10-27 20:33</t>
        </is>
      </c>
      <c r="C67" s="49" t="inlineStr">
        <is>
          <t>ATHER ENERGY LIMITED Share Price - Live NSE: ATHERENERG Stock Price &amp; Chart</t>
        </is>
      </c>
      <c r="D67" s="49" t="inlineStr">
        <is>
          <t>Upstox</t>
        </is>
      </c>
      <c r="E67" s="74" t="n">
        <v>0.052</v>
      </c>
      <c r="F67" s="49" t="inlineStr">
        <is>
          <t>Neutral</t>
        </is>
      </c>
      <c r="G67" s="75" t="inlineStr">
        <is>
          <t>open ↗</t>
        </is>
      </c>
    </row>
    <row r="68">
      <c r="A68" s="49" t="inlineStr">
        <is>
          <t>LAURUSLABS</t>
        </is>
      </c>
      <c r="B68" s="49" t="inlineStr">
        <is>
          <t>2026-10-27 18:21</t>
        </is>
      </c>
      <c r="C68" s="49" t="inlineStr">
        <is>
          <t>Laurus Labs among dividend names in focus this season</t>
        </is>
      </c>
      <c r="D68" s="49" t="inlineStr">
        <is>
          <t>Kalkine India</t>
        </is>
      </c>
      <c r="E68" s="74" t="n">
        <v>0.296</v>
      </c>
      <c r="F68" s="49" t="inlineStr">
        <is>
          <t>Positive</t>
        </is>
      </c>
      <c r="G68" s="75" t="inlineStr">
        <is>
          <t>open ↗</t>
        </is>
      </c>
    </row>
    <row r="69">
      <c r="A69" s="49" t="inlineStr">
        <is>
          <t>ACUTAAS</t>
        </is>
      </c>
      <c r="B69" s="49" t="inlineStr">
        <is>
          <t>2026-10-27 13:49</t>
        </is>
      </c>
      <c r="C69" s="49" t="inlineStr">
        <is>
          <t>Acutaas Chemicals - PVR Inox among stocks that hit 52-week highs and rallied up to 20% in a month</t>
        </is>
      </c>
      <c r="D69" s="49" t="inlineStr">
        <is>
          <t>The Economic Times</t>
        </is>
      </c>
      <c r="E69" s="74" t="n">
        <v>-0.153</v>
      </c>
      <c r="F69" s="49" t="inlineStr">
        <is>
          <t>Neutral</t>
        </is>
      </c>
      <c r="G69" s="75" t="inlineStr">
        <is>
          <t>open ↗</t>
        </is>
      </c>
    </row>
    <row r="70">
      <c r="A70" s="49" t="inlineStr">
        <is>
          <t>ACUTAAS</t>
        </is>
      </c>
      <c r="B70" s="49" t="inlineStr">
        <is>
          <t>2026-10-27 12:32</t>
        </is>
      </c>
      <c r="C70" s="49" t="inlineStr">
        <is>
          <t>Acutaas Q2 FY27 slides: revenue surges 43%, margins hit 40% By Investing.com</t>
        </is>
      </c>
      <c r="D70" s="49" t="inlineStr">
        <is>
          <t>Investing.com India</t>
        </is>
      </c>
      <c r="E70" s="74" t="n">
        <v>0.382</v>
      </c>
      <c r="F70" s="49" t="inlineStr">
        <is>
          <t>Positive</t>
        </is>
      </c>
      <c r="G70" s="75" t="inlineStr">
        <is>
          <t>open ↗</t>
        </is>
      </c>
    </row>
    <row r="71">
      <c r="A71" s="49" t="inlineStr">
        <is>
          <t>MARKET</t>
        </is>
      </c>
      <c r="B71" s="49" t="inlineStr">
        <is>
          <t>2026-10-27 12:05</t>
        </is>
      </c>
      <c r="C71" s="49" t="inlineStr">
        <is>
          <t>Stock market today: Sensex, Nifty flat as smallcaps rally and IT stocks fall</t>
        </is>
      </c>
      <c r="D71" s="49" t="inlineStr">
        <is>
          <t>BusinessLine</t>
        </is>
      </c>
      <c r="E71" s="74" t="n">
        <v>0.511</v>
      </c>
      <c r="F71" s="49" t="inlineStr">
        <is>
          <t>Positive</t>
        </is>
      </c>
      <c r="G71" s="75" t="inlineStr">
        <is>
          <t>open ↗</t>
        </is>
      </c>
    </row>
    <row r="72">
      <c r="A72" s="49" t="inlineStr">
        <is>
          <t>ACUTAAS</t>
        </is>
      </c>
      <c r="B72" s="49" t="inlineStr">
        <is>
          <t>2026-10-27 11:41</t>
        </is>
      </c>
      <c r="C72" s="49" t="inlineStr">
        <is>
          <t>Acutaas Chemicals Shares Jump 13% on 71% Q2 Profit Rise</t>
        </is>
      </c>
      <c r="D72" s="49" t="inlineStr">
        <is>
          <t>Univest</t>
        </is>
      </c>
      <c r="E72" s="74" t="n">
        <v>0.637</v>
      </c>
      <c r="F72" s="49" t="inlineStr">
        <is>
          <t>Positive</t>
        </is>
      </c>
      <c r="G72" s="75" t="inlineStr">
        <is>
          <t>open ↗</t>
        </is>
      </c>
    </row>
    <row r="73">
      <c r="A73" s="49" t="inlineStr">
        <is>
          <t>ACUTAAS</t>
        </is>
      </c>
      <c r="B73" s="49" t="inlineStr">
        <is>
          <t>2026-10-27 11:36</t>
        </is>
      </c>
      <c r="C73" s="49" t="inlineStr">
        <is>
          <t>Acutaas Chemicals Limited reports Q2 &amp; H1 FY27 Results</t>
        </is>
      </c>
      <c r="D73" s="49" t="inlineStr">
        <is>
          <t>EquityBulls</t>
        </is>
      </c>
      <c r="E73" s="74" t="n">
        <v>-0.226</v>
      </c>
      <c r="F73" s="49" t="inlineStr">
        <is>
          <t>Negative</t>
        </is>
      </c>
      <c r="G73" s="75" t="inlineStr">
        <is>
          <t>open ↗</t>
        </is>
      </c>
    </row>
    <row r="74">
      <c r="A74" s="49" t="inlineStr">
        <is>
          <t>MARKET</t>
        </is>
      </c>
      <c r="B74" s="49" t="inlineStr">
        <is>
          <t>2026-10-27 11:36</t>
        </is>
      </c>
      <c r="C74" s="49" t="inlineStr">
        <is>
          <t>Stock Market Highlights: Sensex, Nifty 50 End Flat On F&amp;O Expiry Day; Asian Paints, Coal India, Grasim Top Drags</t>
        </is>
      </c>
      <c r="D74" s="49" t="inlineStr">
        <is>
          <t>NDTV Profit</t>
        </is>
      </c>
      <c r="E74" s="74" t="n">
        <v>0.273</v>
      </c>
      <c r="F74" s="49" t="inlineStr">
        <is>
          <t>Positive</t>
        </is>
      </c>
      <c r="G74" s="75" t="inlineStr">
        <is>
          <t>open ↗</t>
        </is>
      </c>
    </row>
    <row r="75">
      <c r="A75" s="49" t="inlineStr">
        <is>
          <t>MARKET</t>
        </is>
      </c>
      <c r="B75" s="49" t="inlineStr">
        <is>
          <t>2026-10-27 11:30</t>
        </is>
      </c>
      <c r="C75" s="49" t="inlineStr">
        <is>
          <t>Sensex, Nifty End Flat as Oil, Fed Jitters Cap Upside</t>
        </is>
      </c>
      <c r="D75" s="49" t="inlineStr">
        <is>
          <t>HDFC Sky</t>
        </is>
      </c>
      <c r="E75" s="74" t="n">
        <v>0.67</v>
      </c>
      <c r="F75" s="49" t="inlineStr">
        <is>
          <t>Positive</t>
        </is>
      </c>
      <c r="G75" s="75" t="inlineStr">
        <is>
          <t>open ↗</t>
        </is>
      </c>
    </row>
    <row r="76">
      <c r="A76" s="49" t="inlineStr">
        <is>
          <t>MARKET</t>
        </is>
      </c>
      <c r="B76" s="49" t="inlineStr">
        <is>
          <t>2026-10-27 11:16</t>
        </is>
      </c>
      <c r="C76" s="49" t="inlineStr">
        <is>
          <t>Share Market Today: Nifty 50, Bank Nifty | Oct 27, 2026</t>
        </is>
      </c>
      <c r="D76" s="49" t="inlineStr">
        <is>
          <t>Liquide Blog</t>
        </is>
      </c>
      <c r="E76" s="74" t="n">
        <v>0.66</v>
      </c>
      <c r="F76" s="49" t="inlineStr">
        <is>
          <t>Positive</t>
        </is>
      </c>
      <c r="G76" s="75" t="inlineStr">
        <is>
          <t>open ↗</t>
        </is>
      </c>
    </row>
    <row r="77">
      <c r="A77" s="49" t="inlineStr">
        <is>
          <t>MARKET</t>
        </is>
      </c>
      <c r="B77" s="49" t="inlineStr">
        <is>
          <t>2026-10-27 10:59</t>
        </is>
      </c>
      <c r="C77" s="49" t="inlineStr">
        <is>
          <t>Sensex, Nifty end flat as pharma, realty stocks shine</t>
        </is>
      </c>
      <c r="D77" s="49" t="inlineStr">
        <is>
          <t>DD News</t>
        </is>
      </c>
      <c r="E77" s="74" t="n">
        <v>0.402</v>
      </c>
      <c r="F77" s="49" t="inlineStr">
        <is>
          <t>Positive</t>
        </is>
      </c>
      <c r="G77" s="75" t="inlineStr">
        <is>
          <t>open ↗</t>
        </is>
      </c>
    </row>
    <row r="78">
      <c r="A78" s="49" t="inlineStr">
        <is>
          <t>MARKET</t>
        </is>
      </c>
      <c r="B78" s="49" t="inlineStr">
        <is>
          <t>2026-10-27 10:43</t>
        </is>
      </c>
      <c r="C78" s="49" t="inlineStr">
        <is>
          <t>Indian Stocks Flat Amid High Oil, Bank Sell-off, Fed Caution</t>
        </is>
      </c>
      <c r="D78" s="49" t="inlineStr">
        <is>
          <t>Rediff MoneyWiz</t>
        </is>
      </c>
      <c r="E78" s="74" t="n">
        <v>0.202</v>
      </c>
      <c r="F78" s="49" t="inlineStr">
        <is>
          <t>Positive</t>
        </is>
      </c>
      <c r="G78" s="75" t="inlineStr">
        <is>
          <t>open ↗</t>
        </is>
      </c>
    </row>
    <row r="79">
      <c r="A79" s="49" t="inlineStr">
        <is>
          <t>MARKET</t>
        </is>
      </c>
      <c r="B79" s="49" t="inlineStr">
        <is>
          <t>2026-10-27 10:37</t>
        </is>
      </c>
      <c r="C79" s="49" t="inlineStr">
        <is>
          <t>Sensex, Nifty end flat as high crude and Fed caution offset sectoral gains</t>
        </is>
      </c>
      <c r="D79" s="49" t="inlineStr">
        <is>
          <t>India Today</t>
        </is>
      </c>
      <c r="E79" s="74" t="n">
        <v>0.34</v>
      </c>
      <c r="F79" s="49" t="inlineStr">
        <is>
          <t>Positive</t>
        </is>
      </c>
      <c r="G79" s="75" t="inlineStr">
        <is>
          <t>open ↗</t>
        </is>
      </c>
    </row>
    <row r="80">
      <c r="A80" s="49" t="inlineStr">
        <is>
          <t>MARKET</t>
        </is>
      </c>
      <c r="B80" s="49" t="inlineStr">
        <is>
          <t>2026-10-27 10:35</t>
        </is>
      </c>
      <c r="C80" s="49" t="inlineStr">
        <is>
          <t>Why stock market ended mixed today: Sensex, Nifty flat as Midcap Index gains 565 points</t>
        </is>
      </c>
      <c r="D80" s="49" t="inlineStr">
        <is>
          <t>IndiaIPO</t>
        </is>
      </c>
      <c r="E80" s="74" t="n">
        <v>0.649</v>
      </c>
      <c r="F80" s="49" t="inlineStr">
        <is>
          <t>Positive</t>
        </is>
      </c>
      <c r="G80" s="75" t="inlineStr">
        <is>
          <t>open ↗</t>
        </is>
      </c>
    </row>
    <row r="81">
      <c r="A81" s="49" t="inlineStr">
        <is>
          <t>MARKET</t>
        </is>
      </c>
      <c r="B81" s="49" t="inlineStr">
        <is>
          <t>2026-10-27 10:18</t>
        </is>
      </c>
      <c r="C81" s="49" t="inlineStr">
        <is>
          <t>Taking Stock: Sensex, Nifty end flat amid F&amp;O expiry volatility; Fed decision in focus</t>
        </is>
      </c>
      <c r="D81" s="49" t="inlineStr">
        <is>
          <t>Moneycontrol.com</t>
        </is>
      </c>
      <c r="E81" s="74" t="n">
        <v>0.402</v>
      </c>
      <c r="F81" s="49" t="inlineStr">
        <is>
          <t>Positive</t>
        </is>
      </c>
      <c r="G81" s="75" t="inlineStr">
        <is>
          <t>open ↗</t>
        </is>
      </c>
    </row>
    <row r="82">
      <c r="A82" s="49" t="inlineStr">
        <is>
          <t>MARKET</t>
        </is>
      </c>
      <c r="B82" s="49" t="inlineStr">
        <is>
          <t>2026-10-27 10:16</t>
        </is>
      </c>
      <c r="C82" s="49" t="inlineStr">
        <is>
          <t>Stock market closing: Sensex, Nifty ends flat; Financial services biggest drag- Check top gainers and losers</t>
        </is>
      </c>
      <c r="D82" s="49" t="inlineStr">
        <is>
          <t>ET Now</t>
        </is>
      </c>
      <c r="E82" s="74" t="n">
        <v>-0.202</v>
      </c>
      <c r="F82" s="49" t="inlineStr">
        <is>
          <t>Negative</t>
        </is>
      </c>
      <c r="G82" s="75" t="inlineStr">
        <is>
          <t>open ↗</t>
        </is>
      </c>
    </row>
    <row r="83">
      <c r="A83" s="49" t="inlineStr">
        <is>
          <t>LAURUSLABS</t>
        </is>
      </c>
      <c r="B83" s="49" t="inlineStr">
        <is>
          <t>2026-10-27 09:38</t>
        </is>
      </c>
      <c r="C83" s="49" t="inlineStr">
        <is>
          <t>Laurus Labs rallies 4% for 2nd straight day; stock hits new high</t>
        </is>
      </c>
      <c r="D83" s="49" t="inlineStr">
        <is>
          <t>Business Standard</t>
        </is>
      </c>
      <c r="E83" s="74" t="n">
        <v>0.625</v>
      </c>
      <c r="F83" s="49" t="inlineStr">
        <is>
          <t>Positive</t>
        </is>
      </c>
      <c r="G83" s="75" t="inlineStr">
        <is>
          <t>open ↗</t>
        </is>
      </c>
    </row>
    <row r="84">
      <c r="A84" s="49" t="inlineStr">
        <is>
          <t>MARKET</t>
        </is>
      </c>
      <c r="B84" s="49" t="inlineStr">
        <is>
          <t>2026-10-27 08:56</t>
        </is>
      </c>
      <c r="C84" s="49" t="inlineStr">
        <is>
          <t>Is India's Stock Market Heading For Its Worst Year Since 2008 Crisis?</t>
        </is>
      </c>
      <c r="D84" s="49" t="inlineStr">
        <is>
          <t>NDTV</t>
        </is>
      </c>
      <c r="E84" s="74" t="n">
        <v>-0.848</v>
      </c>
      <c r="F84" s="49" t="inlineStr">
        <is>
          <t>Negative</t>
        </is>
      </c>
      <c r="G84" s="75" t="inlineStr">
        <is>
          <t>open ↗</t>
        </is>
      </c>
    </row>
    <row r="85">
      <c r="A85" s="49" t="inlineStr">
        <is>
          <t>ACUTAAS</t>
        </is>
      </c>
      <c r="B85" s="49" t="inlineStr">
        <is>
          <t>2026-10-27 08:39</t>
        </is>
      </c>
      <c r="C85" s="49" t="inlineStr">
        <is>
          <t>Acutaas Chemicals rallies 13%; hits record high on strong Q2 results</t>
        </is>
      </c>
      <c r="D85" s="49" t="inlineStr">
        <is>
          <t>Business Standard</t>
        </is>
      </c>
      <c r="E85" s="74" t="n">
        <v>0.8070000000000001</v>
      </c>
      <c r="F85" s="49" t="inlineStr">
        <is>
          <t>Positive</t>
        </is>
      </c>
      <c r="G85" s="75" t="inlineStr">
        <is>
          <t>open ↗</t>
        </is>
      </c>
    </row>
    <row r="86">
      <c r="A86" s="49" t="inlineStr">
        <is>
          <t>ATHERENERG</t>
        </is>
      </c>
      <c r="B86" s="49" t="inlineStr">
        <is>
          <t>2026-10-27 07:37</t>
        </is>
      </c>
      <c r="C86" s="49" t="inlineStr">
        <is>
          <t>Ather Energy (NSE:ATHERENERG) IPO Fund Use and Factory 3.0 Timeline</t>
        </is>
      </c>
      <c r="D86" s="49" t="inlineStr">
        <is>
          <t>Kalkine India</t>
        </is>
      </c>
      <c r="E86" s="74" t="n">
        <v>0.273</v>
      </c>
      <c r="F86" s="49" t="inlineStr">
        <is>
          <t>Positive</t>
        </is>
      </c>
      <c r="G86" s="75" t="inlineStr">
        <is>
          <t>open ↗</t>
        </is>
      </c>
    </row>
    <row r="87">
      <c r="A87" s="49" t="inlineStr">
        <is>
          <t>ACUTAAS</t>
        </is>
      </c>
      <c r="B87" s="49" t="inlineStr">
        <is>
          <t>2026-10-27 07:31</t>
        </is>
      </c>
      <c r="C87" s="49" t="inlineStr">
        <is>
          <t>Acutaas Chemicals Q2 Results: Net Profit Jumps 73% YoY To Rs 125 Crore, Stock Hits All-Time High</t>
        </is>
      </c>
      <c r="D87" s="49" t="inlineStr">
        <is>
          <t>NDTV Profit</t>
        </is>
      </c>
      <c r="E87" s="74" t="n">
        <v>0.681</v>
      </c>
      <c r="F87" s="49" t="inlineStr">
        <is>
          <t>Positive</t>
        </is>
      </c>
      <c r="G87" s="75" t="inlineStr">
        <is>
          <t>open ↗</t>
        </is>
      </c>
    </row>
    <row r="88">
      <c r="A88" s="49" t="inlineStr">
        <is>
          <t>MARKET</t>
        </is>
      </c>
      <c r="B88" s="49" t="inlineStr">
        <is>
          <t>2026-10-27 04:41</t>
        </is>
      </c>
      <c r="C88" s="49" t="inlineStr">
        <is>
          <t>Indian Stock Markets Fall Amid High Crude Oil, IT Selling</t>
        </is>
      </c>
      <c r="D88" s="49" t="inlineStr">
        <is>
          <t>Rediff MoneyWiz</t>
        </is>
      </c>
      <c r="E88" s="74" t="n">
        <v>-0.649</v>
      </c>
      <c r="F88" s="49" t="inlineStr">
        <is>
          <t>Negative</t>
        </is>
      </c>
      <c r="G88" s="75" t="inlineStr">
        <is>
          <t>open ↗</t>
        </is>
      </c>
    </row>
    <row r="89">
      <c r="A89" s="49" t="inlineStr">
        <is>
          <t>MARKET</t>
        </is>
      </c>
      <c r="B89" s="49" t="inlineStr">
        <is>
          <t>2026-10-27 01:30</t>
        </is>
      </c>
      <c r="C89" s="49" t="inlineStr">
        <is>
          <t>Stock market outlook today, 27 Oct: Sensex, Nifty prediction - DJIA, S&amp;P, NASDAQ, GIFT Nifty, Kospi, Nikkei, Taiwan cues</t>
        </is>
      </c>
      <c r="D89" s="49" t="inlineStr">
        <is>
          <t>Livemint</t>
        </is>
      </c>
      <c r="E89" s="74" t="n">
        <v>0.842</v>
      </c>
      <c r="F89" s="49" t="inlineStr">
        <is>
          <t>Positive</t>
        </is>
      </c>
      <c r="G89" s="75" t="inlineStr">
        <is>
          <t>open ↗</t>
        </is>
      </c>
    </row>
    <row r="90">
      <c r="A90" s="49" t="inlineStr">
        <is>
          <t>E2E</t>
        </is>
      </c>
      <c r="B90" s="49" t="inlineStr">
        <is>
          <t>2026-10-26 23:33</t>
        </is>
      </c>
      <c r="C90" s="49" t="inlineStr">
        <is>
          <t>E2E Networks Q2FY27 Results: Revenue surges 411% YoY to ₹2,238 Mn</t>
        </is>
      </c>
      <c r="D90" s="49" t="inlineStr">
        <is>
          <t>scanx.trade</t>
        </is>
      </c>
      <c r="E90" s="74" t="n">
        <v>0.494</v>
      </c>
      <c r="F90" s="49" t="inlineStr">
        <is>
          <t>Positive</t>
        </is>
      </c>
      <c r="G90" s="75" t="inlineStr">
        <is>
          <t>open ↗</t>
        </is>
      </c>
    </row>
    <row r="91">
      <c r="A91" s="49" t="inlineStr">
        <is>
          <t>MARKET</t>
        </is>
      </c>
      <c r="B91" s="49" t="inlineStr">
        <is>
          <t>2026-10-26 21:36</t>
        </is>
      </c>
      <c r="C91" s="49" t="inlineStr">
        <is>
          <t>Indian Stock Market Crash: Sensex Falls 5,035 Pts, Nifty Drops 1,453 Pts From Peak; Can Budget Revive Bulls?</t>
        </is>
      </c>
      <c r="D91" s="49" t="inlineStr">
        <is>
          <t>Goodreturns</t>
        </is>
      </c>
      <c r="E91" s="74" t="n">
        <v>-0.318</v>
      </c>
      <c r="F91" s="49" t="inlineStr">
        <is>
          <t>Negative</t>
        </is>
      </c>
      <c r="G91" s="75" t="inlineStr">
        <is>
          <t>open ↗</t>
        </is>
      </c>
    </row>
    <row r="92">
      <c r="A92" s="49" t="inlineStr">
        <is>
          <t>E2E</t>
        </is>
      </c>
      <c r="B92" s="49" t="inlineStr">
        <is>
          <t>2026-10-26 17:45</t>
        </is>
      </c>
      <c r="C92" s="49" t="inlineStr">
        <is>
          <t>E2E Networks plans 5.4 MW NVIDIA Blackwell expansion of India’s AI Factory</t>
        </is>
      </c>
      <c r="D92" s="49" t="inlineStr">
        <is>
          <t>EquityBulls</t>
        </is>
      </c>
      <c r="E92" s="74" t="n">
        <v>0.361</v>
      </c>
      <c r="F92" s="49" t="inlineStr">
        <is>
          <t>Positive</t>
        </is>
      </c>
      <c r="G92" s="75" t="inlineStr">
        <is>
          <t>open ↗</t>
        </is>
      </c>
    </row>
    <row r="93">
      <c r="A93" s="49" t="inlineStr">
        <is>
          <t>ATHERENERG</t>
        </is>
      </c>
      <c r="B93" s="49" t="inlineStr">
        <is>
          <t>2026-10-26 14:39</t>
        </is>
      </c>
      <c r="C93" s="49" t="inlineStr">
        <is>
          <t>Ather Energy (NSE:ATHERENERG) Registrations Up 60%, Factory 3.0 on Track</t>
        </is>
      </c>
      <c r="D93" s="49" t="inlineStr">
        <is>
          <t>Kalkine India</t>
        </is>
      </c>
      <c r="E93" s="74" t="n">
        <v>0.273</v>
      </c>
      <c r="F93" s="49" t="inlineStr">
        <is>
          <t>Positive</t>
        </is>
      </c>
      <c r="G93" s="75" t="inlineStr">
        <is>
          <t>open ↗</t>
        </is>
      </c>
    </row>
    <row r="94">
      <c r="A94" s="49" t="inlineStr">
        <is>
          <t>ATHERENERG</t>
        </is>
      </c>
      <c r="B94" s="49" t="inlineStr">
        <is>
          <t>2026-10-26 14:35</t>
        </is>
      </c>
      <c r="C94" s="49" t="inlineStr">
        <is>
          <t>Ather Energy (NSE:ATHERENERG) Q2 FY27 Volumes, Demand and Konarc Launch</t>
        </is>
      </c>
      <c r="D94" s="49" t="inlineStr">
        <is>
          <t>Kalkine India</t>
        </is>
      </c>
      <c r="E94" s="74" t="n">
        <v>0.153</v>
      </c>
      <c r="F94" s="49" t="inlineStr">
        <is>
          <t>Neutral</t>
        </is>
      </c>
      <c r="G94" s="75" t="inlineStr">
        <is>
          <t>open ↗</t>
        </is>
      </c>
    </row>
    <row r="95">
      <c r="A95" s="49" t="inlineStr">
        <is>
          <t>E2E</t>
        </is>
      </c>
      <c r="B95" s="49" t="inlineStr">
        <is>
          <t>2026-10-26 14:11</t>
        </is>
      </c>
      <c r="C95" s="49" t="inlineStr">
        <is>
          <t>E2E Networks (NSE:E2E) Proposes About 5.4 MW GPU Capacity Expansion</t>
        </is>
      </c>
      <c r="D95" s="49" t="inlineStr">
        <is>
          <t>Kalkine India</t>
        </is>
      </c>
      <c r="E95" s="74" t="n">
        <v>0.361</v>
      </c>
      <c r="F95" s="49" t="inlineStr">
        <is>
          <t>Positive</t>
        </is>
      </c>
      <c r="G95" s="75" t="inlineStr">
        <is>
          <t>open ↗</t>
        </is>
      </c>
    </row>
    <row r="96">
      <c r="A96" s="49" t="inlineStr">
        <is>
          <t>ATHERENERG</t>
        </is>
      </c>
      <c r="B96" s="49" t="inlineStr">
        <is>
          <t>2026-10-26 14:07</t>
        </is>
      </c>
      <c r="C96" s="49" t="inlineStr">
        <is>
          <t>Ather Energy (NSE:ATHERENERG) Approves About ₹122 Crore Capex to Expand Hosur and Factory 3.0 Capacity</t>
        </is>
      </c>
      <c r="D96" s="49" t="inlineStr">
        <is>
          <t>Kalkine India</t>
        </is>
      </c>
      <c r="E96" s="74" t="n">
        <v>0.718</v>
      </c>
      <c r="F96" s="49" t="inlineStr">
        <is>
          <t>Positive</t>
        </is>
      </c>
      <c r="G96" s="75" t="inlineStr">
        <is>
          <t>open ↗</t>
        </is>
      </c>
    </row>
    <row r="97">
      <c r="A97" s="49" t="inlineStr">
        <is>
          <t>E2E</t>
        </is>
      </c>
      <c r="B97" s="49" t="inlineStr">
        <is>
          <t>2026-10-26 11:25</t>
        </is>
      </c>
      <c r="C97" s="49" t="inlineStr">
        <is>
          <t>E2E Networks (NSE:E2E): What Is Behind Its 59% AI Factory Capacity Expansion Plan?</t>
        </is>
      </c>
      <c r="D97" s="49" t="inlineStr">
        <is>
          <t>Kalkine India</t>
        </is>
      </c>
      <c r="E97" s="74" t="n">
        <v>0.361</v>
      </c>
      <c r="F97" s="49" t="inlineStr">
        <is>
          <t>Positive</t>
        </is>
      </c>
      <c r="G97" s="75" t="inlineStr">
        <is>
          <t>open ↗</t>
        </is>
      </c>
    </row>
    <row r="98">
      <c r="A98" s="49" t="inlineStr">
        <is>
          <t>E2E</t>
        </is>
      </c>
      <c r="B98" s="49" t="inlineStr">
        <is>
          <t>2026-10-26 10:45</t>
        </is>
      </c>
      <c r="C98" s="49" t="inlineStr">
        <is>
          <t>E2E Networks Share Price: Why This AI Stock Staged a Dramatic U-Turn on Monday</t>
        </is>
      </c>
      <c r="D98" s="49" t="inlineStr">
        <is>
          <t>NiftyTrader</t>
        </is>
      </c>
      <c r="E98" s="74" t="n">
        <v>0</v>
      </c>
      <c r="F98" s="49" t="inlineStr">
        <is>
          <t>Neutral</t>
        </is>
      </c>
      <c r="G98" s="75" t="inlineStr">
        <is>
          <t>open ↗</t>
        </is>
      </c>
    </row>
    <row r="99">
      <c r="A99" s="49" t="inlineStr">
        <is>
          <t>E2E</t>
        </is>
      </c>
      <c r="B99" s="49" t="inlineStr">
        <is>
          <t>2026-10-26 10:32</t>
        </is>
      </c>
      <c r="C99" s="49" t="inlineStr">
        <is>
          <t>E2E Networks proposes to expand capacity by around 5.4 MW for NVIDIA HGX B300 systems and other GPUs</t>
        </is>
      </c>
      <c r="D99" s="49" t="inlineStr">
        <is>
          <t>IndiaIPO</t>
        </is>
      </c>
      <c r="E99" s="74" t="n">
        <v>0.318</v>
      </c>
      <c r="F99" s="49" t="inlineStr">
        <is>
          <t>Positive</t>
        </is>
      </c>
      <c r="G99" s="75" t="inlineStr">
        <is>
          <t>open ↗</t>
        </is>
      </c>
    </row>
    <row r="100">
      <c r="A100" s="49" t="inlineStr">
        <is>
          <t>MARKET</t>
        </is>
      </c>
      <c r="B100" s="49" t="inlineStr">
        <is>
          <t>2026-10-26 10:28</t>
        </is>
      </c>
      <c r="C100" s="49" t="inlineStr">
        <is>
          <t>Sensex Today Ends 483 Points Higher | Nifty Above 22,750 | Apollo Micro Systems Up 10%</t>
        </is>
      </c>
      <c r="D100" s="49" t="inlineStr">
        <is>
          <t>Equitymaster</t>
        </is>
      </c>
      <c r="E100" s="74" t="n">
        <v>0.402</v>
      </c>
      <c r="F100" s="49" t="inlineStr">
        <is>
          <t>Positive</t>
        </is>
      </c>
      <c r="G100" s="75" t="inlineStr">
        <is>
          <t>open ↗</t>
        </is>
      </c>
    </row>
    <row r="101">
      <c r="A101" s="49" t="inlineStr">
        <is>
          <t>E2E</t>
        </is>
      </c>
      <c r="B101" s="49" t="inlineStr">
        <is>
          <t>2026-10-26 09:09</t>
        </is>
      </c>
      <c r="C101" s="49" t="inlineStr">
        <is>
          <t>E2E Networks stock swings from 5% lower circuit to upper circuit on Nvidia GPU capacity expansion plan</t>
        </is>
      </c>
      <c r="D101" s="49" t="inlineStr">
        <is>
          <t>Moneycontrol.com</t>
        </is>
      </c>
      <c r="E101" s="74" t="n">
        <v>0.178</v>
      </c>
      <c r="F101" s="49" t="inlineStr">
        <is>
          <t>Neutral</t>
        </is>
      </c>
      <c r="G101" s="75" t="inlineStr">
        <is>
          <t>open ↗</t>
        </is>
      </c>
    </row>
    <row r="102">
      <c r="A102" s="49" t="inlineStr">
        <is>
          <t>ATHERENERG</t>
        </is>
      </c>
      <c r="B102" s="49" t="inlineStr">
        <is>
          <t>2026-10-26 08:57</t>
        </is>
      </c>
      <c r="C102" s="49" t="inlineStr">
        <is>
          <t>Ather Energy ATHERENERG Q2 FY27 Results and Capacity Expansion</t>
        </is>
      </c>
      <c r="D102" s="49" t="inlineStr">
        <is>
          <t>Kalkine India</t>
        </is>
      </c>
      <c r="E102" s="74" t="n">
        <v>0.5570000000000001</v>
      </c>
      <c r="F102" s="49" t="inlineStr">
        <is>
          <t>Positive</t>
        </is>
      </c>
      <c r="G102" s="75" t="inlineStr">
        <is>
          <t>open ↗</t>
        </is>
      </c>
    </row>
    <row r="103">
      <c r="A103" s="49" t="inlineStr">
        <is>
          <t>E2E</t>
        </is>
      </c>
      <c r="B103" s="49" t="inlineStr">
        <is>
          <t>2026-10-26 08:47</t>
        </is>
      </c>
      <c r="C103" s="49" t="inlineStr">
        <is>
          <t>E2E Networks: AI துறையில் அதிரடி விரிவாக்கம்! NVIDIA Blackwell சிப்களுடன் மிரட்டப் போகும் நிறுவனம்</t>
        </is>
      </c>
      <c r="D103" s="49" t="inlineStr">
        <is>
          <t>Whalesbook</t>
        </is>
      </c>
      <c r="E103" s="74" t="n">
        <v>0</v>
      </c>
      <c r="F103" s="49" t="inlineStr">
        <is>
          <t>Neutral</t>
        </is>
      </c>
      <c r="G103" s="75" t="inlineStr">
        <is>
          <t>open ↗</t>
        </is>
      </c>
    </row>
    <row r="104">
      <c r="A104" s="49" t="inlineStr">
        <is>
          <t>E2E</t>
        </is>
      </c>
      <c r="B104" s="49" t="inlineStr">
        <is>
          <t>2026-10-26 07:41</t>
        </is>
      </c>
      <c r="C104" s="49" t="inlineStr">
        <is>
          <t>Netweb Tech shares fall up to 5% despite strong Q2 results as global AI sell-off weighs</t>
        </is>
      </c>
      <c r="D104" s="49" t="inlineStr">
        <is>
          <t>Moneycontrol.com</t>
        </is>
      </c>
      <c r="E104" s="74" t="n">
        <v>-0.555</v>
      </c>
      <c r="F104" s="49" t="inlineStr">
        <is>
          <t>Negative</t>
        </is>
      </c>
      <c r="G104" s="75" t="inlineStr">
        <is>
          <t>open ↗</t>
        </is>
      </c>
    </row>
    <row r="105">
      <c r="A105" s="49" t="inlineStr">
        <is>
          <t>MARKET</t>
        </is>
      </c>
      <c r="B105" s="49" t="inlineStr">
        <is>
          <t>2026-10-26 07:00</t>
        </is>
      </c>
      <c r="C105" s="49" t="inlineStr">
        <is>
          <t>NSE - National Stock Exchange of India Ltd: Live Share/Stock Market News &amp; Updates, Quotes- Nseindia.com</t>
        </is>
      </c>
      <c r="D105" s="49" t="inlineStr">
        <is>
          <t>NSE India</t>
        </is>
      </c>
      <c r="E105" s="74" t="n">
        <v>0</v>
      </c>
      <c r="F105" s="49" t="inlineStr">
        <is>
          <t>Neutral</t>
        </is>
      </c>
      <c r="G105" s="75" t="inlineStr">
        <is>
          <t>open ↗</t>
        </is>
      </c>
    </row>
    <row r="106">
      <c r="A106" s="49" t="inlineStr">
        <is>
          <t>RRKABEL</t>
        </is>
      </c>
      <c r="B106" s="49" t="inlineStr">
        <is>
          <t>2026-10-26 06:32</t>
        </is>
      </c>
      <c r="C106" s="49" t="inlineStr">
        <is>
          <t>R R Kabel RRKABEL Q2 FY27 Earnings Conference Call</t>
        </is>
      </c>
      <c r="D106" s="49" t="inlineStr">
        <is>
          <t>Kalkine India</t>
        </is>
      </c>
      <c r="E106" s="74" t="n">
        <v>0</v>
      </c>
      <c r="F106" s="49" t="inlineStr">
        <is>
          <t>Neutral</t>
        </is>
      </c>
      <c r="G106" s="75" t="inlineStr">
        <is>
          <t>open ↗</t>
        </is>
      </c>
    </row>
    <row r="107">
      <c r="A107" s="49" t="inlineStr">
        <is>
          <t>MARKET</t>
        </is>
      </c>
      <c r="B107" s="49" t="inlineStr">
        <is>
          <t>2026-10-26 04:32</t>
        </is>
      </c>
      <c r="C107" s="49" t="inlineStr">
        <is>
          <t>Sensex settles 500 pts higher, Nifty ends above 22,750: Key factors behind markets snapping 4-day fall</t>
        </is>
      </c>
      <c r="D107" s="49" t="inlineStr">
        <is>
          <t>Moneycontrol.com</t>
        </is>
      </c>
      <c r="E107" s="74" t="n">
        <v>0.077</v>
      </c>
      <c r="F107" s="49" t="inlineStr">
        <is>
          <t>Neutral</t>
        </is>
      </c>
      <c r="G107" s="75" t="inlineStr">
        <is>
          <t>open ↗</t>
        </is>
      </c>
    </row>
    <row r="108">
      <c r="A108" s="49" t="inlineStr">
        <is>
          <t>MARKET</t>
        </is>
      </c>
      <c r="B108" s="49" t="inlineStr">
        <is>
          <t>2026-10-25 14:34</t>
        </is>
      </c>
      <c r="C108" s="49" t="inlineStr">
        <is>
          <t>Stock market prediction for Monday Oct 26: Sensex, Nifty levels, top stocks to watch - Will bulls dance again?</t>
        </is>
      </c>
      <c r="D108" s="49" t="inlineStr">
        <is>
          <t>IndiaIPO</t>
        </is>
      </c>
      <c r="E108" s="74" t="n">
        <v>0.542</v>
      </c>
      <c r="F108" s="49" t="inlineStr">
        <is>
          <t>Positive</t>
        </is>
      </c>
      <c r="G108" s="75" t="inlineStr">
        <is>
          <t>open ↗</t>
        </is>
      </c>
    </row>
    <row r="109">
      <c r="A109" s="49" t="inlineStr">
        <is>
          <t>THANGAMAYL</t>
        </is>
      </c>
      <c r="B109" s="49" t="inlineStr">
        <is>
          <t>2026-10-25 13:13</t>
        </is>
      </c>
      <c r="C109" s="49" t="inlineStr">
        <is>
          <t>Balusamy Silvears raises Thangamayil stake to 1.76% with new buy</t>
        </is>
      </c>
      <c r="D109" s="49" t="inlineStr">
        <is>
          <t>scanx.trade</t>
        </is>
      </c>
      <c r="E109" s="74" t="n">
        <v>0.296</v>
      </c>
      <c r="F109" s="49" t="inlineStr">
        <is>
          <t>Positive</t>
        </is>
      </c>
      <c r="G109" s="75" t="inlineStr">
        <is>
          <t>open ↗</t>
        </is>
      </c>
    </row>
    <row r="110">
      <c r="A110" s="49" t="inlineStr">
        <is>
          <t>LAURUSLABS</t>
        </is>
      </c>
      <c r="B110" s="49" t="inlineStr">
        <is>
          <t>2026-10-24 23:30</t>
        </is>
      </c>
      <c r="C110" s="49" t="inlineStr">
        <is>
          <t>Laurus Labs invested INR 1.08 billion in KRKA Pharma: what it means for Laurus Labs stock</t>
        </is>
      </c>
      <c r="D110" s="49" t="inlineStr">
        <is>
          <t>ad-hoc-news.de</t>
        </is>
      </c>
      <c r="E110" s="74" t="n">
        <v>0</v>
      </c>
      <c r="F110" s="49" t="inlineStr">
        <is>
          <t>Neutral</t>
        </is>
      </c>
      <c r="G110" s="75" t="inlineStr">
        <is>
          <t>open ↗</t>
        </is>
      </c>
    </row>
    <row r="111">
      <c r="A111" s="49" t="inlineStr">
        <is>
          <t>E2E</t>
        </is>
      </c>
      <c r="B111" s="49" t="inlineStr">
        <is>
          <t>2026-10-24 07:00</t>
        </is>
      </c>
      <c r="C111" s="49" t="inlineStr">
        <is>
          <t>Indian Listed New-Age Tech Company Tracker: Market Cap, Revenue &amp; More</t>
        </is>
      </c>
      <c r="D111" s="49" t="inlineStr">
        <is>
          <t>Inc42</t>
        </is>
      </c>
      <c r="E111" s="74" t="n">
        <v>0</v>
      </c>
      <c r="F111" s="49" t="inlineStr">
        <is>
          <t>Neutral</t>
        </is>
      </c>
      <c r="G111" s="75" t="inlineStr">
        <is>
          <t>open ↗</t>
        </is>
      </c>
    </row>
    <row r="112">
      <c r="A112" s="49" t="inlineStr">
        <is>
          <t>AEROFLEX</t>
        </is>
      </c>
      <c r="B112" s="49" t="inlineStr">
        <is>
          <t>2026-10-23 17:04</t>
        </is>
      </c>
      <c r="C112" s="49" t="inlineStr">
        <is>
          <t>Aeroflex subsidiary Aeroflex Neu acquires 51% stake in Stilonn Valves</t>
        </is>
      </c>
      <c r="D112" s="49" t="inlineStr">
        <is>
          <t>scanx.trade</t>
        </is>
      </c>
      <c r="E112" s="74" t="n">
        <v>0</v>
      </c>
      <c r="F112" s="49" t="inlineStr">
        <is>
          <t>Neutral</t>
        </is>
      </c>
      <c r="G112" s="75" t="inlineStr">
        <is>
          <t>open ↗</t>
        </is>
      </c>
    </row>
    <row r="113">
      <c r="A113" s="49" t="inlineStr">
        <is>
          <t>AEROFLEX</t>
        </is>
      </c>
      <c r="B113" s="49" t="inlineStr">
        <is>
          <t>2026-10-23 14:38</t>
        </is>
      </c>
      <c r="C113" s="49" t="inlineStr">
        <is>
          <t>Aeroflex Enterprises Subsidiary Acquires 51.01% Stake in Stilonn Valves</t>
        </is>
      </c>
      <c r="D113" s="49" t="inlineStr">
        <is>
          <t>Whalesbook</t>
        </is>
      </c>
      <c r="E113" s="74" t="n">
        <v>0</v>
      </c>
      <c r="F113" s="49" t="inlineStr">
        <is>
          <t>Neutral</t>
        </is>
      </c>
      <c r="G113" s="75" t="inlineStr">
        <is>
          <t>open ↗</t>
        </is>
      </c>
    </row>
    <row r="114">
      <c r="A114" s="49" t="inlineStr">
        <is>
          <t>AEROFLEX</t>
        </is>
      </c>
      <c r="B114" s="49" t="inlineStr">
        <is>
          <t>2026-10-23 14:38</t>
        </is>
      </c>
      <c r="C114" s="49" t="inlineStr">
        <is>
          <t>Aeroflex Enterprises: அதிரடி கையகப்படுத்தல்! Stilonn Valves நிறுவனத்தில் **51.01%** பங்குகளை வாங்கியது</t>
        </is>
      </c>
      <c r="D114" s="49" t="inlineStr">
        <is>
          <t>Whalesbook</t>
        </is>
      </c>
      <c r="E114" s="74" t="n">
        <v>0</v>
      </c>
      <c r="F114" s="49" t="inlineStr">
        <is>
          <t>Neutral</t>
        </is>
      </c>
      <c r="G114" s="75" t="inlineStr">
        <is>
          <t>open ↗</t>
        </is>
      </c>
    </row>
    <row r="115">
      <c r="A115" s="49" t="inlineStr">
        <is>
          <t>AEROFLEX</t>
        </is>
      </c>
      <c r="B115" s="49" t="inlineStr">
        <is>
          <t>2026-10-23 14:26</t>
        </is>
      </c>
      <c r="C115" s="49" t="inlineStr">
        <is>
          <t>Aeroflex Enterprises NSE:AEROENTER Stilonn Acquisition</t>
        </is>
      </c>
      <c r="D115" s="49" t="inlineStr">
        <is>
          <t>Kalkine India</t>
        </is>
      </c>
      <c r="E115" s="74" t="n">
        <v>0</v>
      </c>
      <c r="F115" s="49" t="inlineStr">
        <is>
          <t>Neutral</t>
        </is>
      </c>
      <c r="G115" s="75" t="inlineStr">
        <is>
          <t>open ↗</t>
        </is>
      </c>
    </row>
    <row r="116">
      <c r="A116" s="49" t="inlineStr">
        <is>
          <t>E2E</t>
        </is>
      </c>
      <c r="B116" s="49" t="inlineStr">
        <is>
          <t>2026-10-23 10:00</t>
        </is>
      </c>
      <c r="C116" s="49" t="inlineStr">
        <is>
          <t>E2E Networks Ltd. Share Price Today - E2E Networks Ltd. Stock Price Live NSE/BSE</t>
        </is>
      </c>
      <c r="D116" s="49" t="inlineStr">
        <is>
          <t>CNBC TV18</t>
        </is>
      </c>
      <c r="E116" s="74" t="n">
        <v>0</v>
      </c>
      <c r="F116" s="49" t="inlineStr">
        <is>
          <t>Neutral</t>
        </is>
      </c>
      <c r="G116" s="75" t="inlineStr">
        <is>
          <t>open ↗</t>
        </is>
      </c>
    </row>
    <row r="117">
      <c r="A117" s="49" t="inlineStr">
        <is>
          <t>E2E</t>
        </is>
      </c>
      <c r="B117" s="49" t="inlineStr">
        <is>
          <t>2026-10-23 09:50</t>
        </is>
      </c>
      <c r="C117" s="49" t="inlineStr">
        <is>
          <t>E2E Networks shares hit lower circuit for 4th straight session; Netweb, Black Box fall up to 9% amid...</t>
        </is>
      </c>
      <c r="D117" s="49" t="inlineStr">
        <is>
          <t>Moneycontrol.com</t>
        </is>
      </c>
      <c r="E117" s="74" t="n">
        <v>-0.44</v>
      </c>
      <c r="F117" s="49" t="inlineStr">
        <is>
          <t>Negative</t>
        </is>
      </c>
      <c r="G117" s="75" t="inlineStr">
        <is>
          <t>open ↗</t>
        </is>
      </c>
    </row>
    <row r="118">
      <c r="A118" s="49" t="inlineStr">
        <is>
          <t>LAURUSLABS</t>
        </is>
      </c>
      <c r="B118" s="49" t="inlineStr">
        <is>
          <t>2026-10-23 08:30</t>
        </is>
      </c>
      <c r="C118" s="49" t="inlineStr">
        <is>
          <t>Laurus Labs (LAURUSLABS.NS) Declines 2.31% to ₹1,956.20 Amid Pharma Sector Consolidation - Median Line</t>
        </is>
      </c>
      <c r="D118" s="49" t="inlineStr">
        <is>
          <t>https://www.siam.in/</t>
        </is>
      </c>
      <c r="E118" s="74" t="n">
        <v>-0.382</v>
      </c>
      <c r="F118" s="49" t="inlineStr">
        <is>
          <t>Negative</t>
        </is>
      </c>
      <c r="G118" s="75" t="inlineStr">
        <is>
          <t>open ↗</t>
        </is>
      </c>
    </row>
    <row r="119">
      <c r="A119" s="49" t="inlineStr">
        <is>
          <t>RRKABEL</t>
        </is>
      </c>
      <c r="B119" s="49" t="inlineStr">
        <is>
          <t>2026-10-23 07:22</t>
        </is>
      </c>
      <c r="C119" s="49" t="inlineStr">
        <is>
          <t>Buy R R Kabel; target of Rs 2960: Motilal Oswal</t>
        </is>
      </c>
      <c r="D119" s="49" t="inlineStr">
        <is>
          <t>Moneycontrol.com</t>
        </is>
      </c>
      <c r="E119" s="74" t="n">
        <v>0.421</v>
      </c>
      <c r="F119" s="49" t="inlineStr">
        <is>
          <t>Positive</t>
        </is>
      </c>
      <c r="G119" s="75" t="inlineStr">
        <is>
          <t>open ↗</t>
        </is>
      </c>
    </row>
    <row r="120">
      <c r="A120" s="49" t="inlineStr">
        <is>
          <t>AEROFLEX</t>
        </is>
      </c>
      <c r="B120" s="49" t="inlineStr">
        <is>
          <t>2026-10-23 07:00</t>
        </is>
      </c>
      <c r="C120" s="49" t="inlineStr">
        <is>
          <t>Eternal Ltd Stock/Share price , NSE/BSE Forecast News and Live Quotes</t>
        </is>
      </c>
      <c r="D120" s="49" t="inlineStr">
        <is>
          <t>Equitymaster</t>
        </is>
      </c>
      <c r="E120" s="74" t="n">
        <v>0</v>
      </c>
      <c r="F120" s="49" t="inlineStr">
        <is>
          <t>Neutral</t>
        </is>
      </c>
      <c r="G120" s="75" t="inlineStr">
        <is>
          <t>open ↗</t>
        </is>
      </c>
    </row>
    <row r="121">
      <c r="A121" s="49" t="inlineStr">
        <is>
          <t>ATHERENERG</t>
        </is>
      </c>
      <c r="B121" s="49" t="inlineStr">
        <is>
          <t>2026-10-23 07:00</t>
        </is>
      </c>
      <c r="C121" s="49" t="inlineStr">
        <is>
          <t>Ather Energy Ltd Share Price Today,, ATHERENERG Share Price NSE, BSE</t>
        </is>
      </c>
      <c r="D121" s="49" t="inlineStr">
        <is>
          <t>Business Today</t>
        </is>
      </c>
      <c r="E121" s="74" t="n">
        <v>0.273</v>
      </c>
      <c r="F121" s="49" t="inlineStr">
        <is>
          <t>Positive</t>
        </is>
      </c>
      <c r="G121" s="75" t="inlineStr">
        <is>
          <t>open ↗</t>
        </is>
      </c>
    </row>
    <row r="122">
      <c r="A122" s="49" t="inlineStr">
        <is>
          <t>ATHERENERG</t>
        </is>
      </c>
      <c r="B122" s="49" t="inlineStr">
        <is>
          <t>2026-10-23 07:00</t>
        </is>
      </c>
      <c r="C122" s="49" t="inlineStr">
        <is>
          <t>Ather Energy Q2 Results 2026 - Find Ather Energy Q2 Earnings Result | ATHERENERG Q2 results</t>
        </is>
      </c>
      <c r="D122" s="49" t="inlineStr">
        <is>
          <t>Livemint</t>
        </is>
      </c>
      <c r="E122" s="74" t="n">
        <v>0.494</v>
      </c>
      <c r="F122" s="49" t="inlineStr">
        <is>
          <t>Positive</t>
        </is>
      </c>
      <c r="G122" s="75" t="inlineStr">
        <is>
          <t>open ↗</t>
        </is>
      </c>
    </row>
    <row r="123">
      <c r="A123" s="49" t="inlineStr">
        <is>
          <t>LAURUSLABS</t>
        </is>
      </c>
      <c r="B123" s="49" t="inlineStr">
        <is>
          <t>2026-10-23 07:00</t>
        </is>
      </c>
      <c r="C123" s="49" t="inlineStr">
        <is>
          <t>LAURUSLABS Outlook for the Week</t>
        </is>
      </c>
      <c r="D123" s="49" t="inlineStr">
        <is>
          <t>Equitypandit</t>
        </is>
      </c>
      <c r="E123" s="74" t="n">
        <v>0</v>
      </c>
      <c r="F123" s="49" t="inlineStr">
        <is>
          <t>Neutral</t>
        </is>
      </c>
      <c r="G123" s="75" t="inlineStr">
        <is>
          <t>open ↗</t>
        </is>
      </c>
    </row>
    <row r="124">
      <c r="A124" s="49" t="inlineStr">
        <is>
          <t>LAURUSLABS</t>
        </is>
      </c>
      <c r="B124" s="49" t="inlineStr">
        <is>
          <t>2026-10-23 06:46</t>
        </is>
      </c>
      <c r="C124" s="49" t="inlineStr">
        <is>
          <t>Laurus Labs Limited (LAURUSLABS.NS) Stock Price, News, Quote &amp; History</t>
        </is>
      </c>
      <c r="D124" s="49" t="inlineStr">
        <is>
          <t>Yahoo! Finance Canada</t>
        </is>
      </c>
      <c r="E124" s="74" t="n">
        <v>-0.226</v>
      </c>
      <c r="F124" s="49" t="inlineStr">
        <is>
          <t>Negative</t>
        </is>
      </c>
      <c r="G124" s="75" t="inlineStr">
        <is>
          <t>open ↗</t>
        </is>
      </c>
    </row>
    <row r="125">
      <c r="A125" s="49" t="inlineStr">
        <is>
          <t>MARKET</t>
        </is>
      </c>
      <c r="B125" s="49" t="inlineStr">
        <is>
          <t>2026-10-23 06:21</t>
        </is>
      </c>
      <c r="C125" s="49" t="inlineStr">
        <is>
          <t>Sensex, Nifty rebound after 3-day fall on IT stocks buying</t>
        </is>
      </c>
      <c r="D125" s="49" t="inlineStr">
        <is>
          <t>The Hindu</t>
        </is>
      </c>
      <c r="E125" s="74" t="n">
        <v>0.077</v>
      </c>
      <c r="F125" s="49" t="inlineStr">
        <is>
          <t>Neutral</t>
        </is>
      </c>
      <c r="G125" s="75" t="inlineStr">
        <is>
          <t>open ↗</t>
        </is>
      </c>
    </row>
    <row r="126">
      <c r="A126" s="49" t="inlineStr">
        <is>
          <t>AEROFLEX</t>
        </is>
      </c>
      <c r="B126" s="49" t="inlineStr">
        <is>
          <t>2026-10-23 05:27</t>
        </is>
      </c>
      <c r="C126" s="49" t="inlineStr">
        <is>
          <t>Market crash: Sensex sinks 1,314 pts from day's high; Nifty tests 22,400</t>
        </is>
      </c>
      <c r="D126" s="49" t="inlineStr">
        <is>
          <t>Business Standard</t>
        </is>
      </c>
      <c r="E126" s="74" t="n">
        <v>-0.511</v>
      </c>
      <c r="F126" s="49" t="inlineStr">
        <is>
          <t>Negative</t>
        </is>
      </c>
      <c r="G126" s="75" t="inlineStr">
        <is>
          <t>open ↗</t>
        </is>
      </c>
    </row>
    <row r="127">
      <c r="A127" s="49" t="inlineStr">
        <is>
          <t>AEROFLEX</t>
        </is>
      </c>
      <c r="B127" s="49" t="inlineStr">
        <is>
          <t>2026-10-23 05:01</t>
        </is>
      </c>
      <c r="C127" s="49" t="inlineStr">
        <is>
          <t>Microcap 250 index slips 2%; Aeroflex, Rallis, Bluestone slide up to 8%</t>
        </is>
      </c>
      <c r="D127" s="49" t="inlineStr">
        <is>
          <t>Business Standard</t>
        </is>
      </c>
      <c r="E127" s="74" t="n">
        <v>-0.34</v>
      </c>
      <c r="F127" s="49" t="inlineStr">
        <is>
          <t>Negative</t>
        </is>
      </c>
      <c r="G127" s="75" t="inlineStr">
        <is>
          <t>open ↗</t>
        </is>
      </c>
    </row>
    <row r="128">
      <c r="A128" s="49" t="inlineStr">
        <is>
          <t>MARKET</t>
        </is>
      </c>
      <c r="B128" s="49" t="inlineStr">
        <is>
          <t>2026-10-23 01:36</t>
        </is>
      </c>
      <c r="C128" s="49" t="inlineStr">
        <is>
          <t>Sensex, Nifty recover after sharp selloff to close flat; small and midcaps sink nearly 3%</t>
        </is>
      </c>
      <c r="D128" s="49" t="inlineStr">
        <is>
          <t>The Financial Express</t>
        </is>
      </c>
      <c r="E128" s="74" t="n">
        <v>0.402</v>
      </c>
      <c r="F128" s="49" t="inlineStr">
        <is>
          <t>Positive</t>
        </is>
      </c>
      <c r="G128" s="75" t="inlineStr">
        <is>
          <t>open ↗</t>
        </is>
      </c>
    </row>
    <row r="129">
      <c r="A129" s="49" t="inlineStr">
        <is>
          <t>RRKABEL</t>
        </is>
      </c>
      <c r="B129" s="49" t="inlineStr">
        <is>
          <t>2026-10-22 07:00</t>
        </is>
      </c>
      <c r="C129" s="49" t="inlineStr">
        <is>
          <t>R R Kabel (NSEI:RRKABEL) Stock Forecast &amp; Analyst Predictions</t>
        </is>
      </c>
      <c r="D129" s="49" t="inlineStr">
        <is>
          <t>Simply Wall Street</t>
        </is>
      </c>
      <c r="E129" s="74" t="n">
        <v>0</v>
      </c>
      <c r="F129" s="49" t="inlineStr">
        <is>
          <t>Neutral</t>
        </is>
      </c>
      <c r="G129" s="75" t="inlineStr">
        <is>
          <t>open ↗</t>
        </is>
      </c>
    </row>
    <row r="130">
      <c r="A130" s="49" t="inlineStr">
        <is>
          <t>RRKABEL</t>
        </is>
      </c>
      <c r="B130" s="49" t="inlineStr">
        <is>
          <t>2026-10-22 07:00</t>
        </is>
      </c>
      <c r="C130" s="49" t="inlineStr">
        <is>
          <t>RR Kabel Share Price Fall Streak: Four-Session Decline</t>
        </is>
      </c>
      <c r="D130" s="49" t="inlineStr">
        <is>
          <t>Univest</t>
        </is>
      </c>
      <c r="E130" s="74" t="n">
        <v>-0.612</v>
      </c>
      <c r="F130" s="49" t="inlineStr">
        <is>
          <t>Negative</t>
        </is>
      </c>
      <c r="G130" s="75" t="inlineStr">
        <is>
          <t>open ↗</t>
        </is>
      </c>
    </row>
    <row r="131">
      <c r="A131" s="49" t="inlineStr">
        <is>
          <t>MARKET</t>
        </is>
      </c>
      <c r="B131" s="49" t="inlineStr">
        <is>
          <t>2026-10-22 07:00</t>
        </is>
      </c>
      <c r="C131" s="49" t="inlineStr">
        <is>
          <t>Daily and Weekly Digest - Latest News and Updates on Digest at Groww</t>
        </is>
      </c>
      <c r="D131" s="49" t="inlineStr">
        <is>
          <t>Groww</t>
        </is>
      </c>
      <c r="E131" s="74" t="n">
        <v>0</v>
      </c>
      <c r="F131" s="49" t="inlineStr">
        <is>
          <t>Neutral</t>
        </is>
      </c>
      <c r="G131" s="75" t="inlineStr">
        <is>
          <t>open ↗</t>
        </is>
      </c>
    </row>
    <row r="132">
      <c r="A132" s="49" t="inlineStr">
        <is>
          <t>DIACABS</t>
        </is>
      </c>
      <c r="B132" s="49" t="inlineStr">
        <is>
          <t>2026-10-22 05:45</t>
        </is>
      </c>
      <c r="C132" s="49" t="inlineStr">
        <is>
          <t>Diamond Power Infrastructure (NSE:DIACABS) to Invest Rs 25 Crore in New CCV Line for 132 kV XLPE Power Cables</t>
        </is>
      </c>
      <c r="D132" s="49" t="inlineStr">
        <is>
          <t>Kalkine Media</t>
        </is>
      </c>
      <c r="E132" s="74" t="n">
        <v>0.34</v>
      </c>
      <c r="F132" s="49" t="inlineStr">
        <is>
          <t>Positive</t>
        </is>
      </c>
      <c r="G132" s="75" t="inlineStr">
        <is>
          <t>open ↗</t>
        </is>
      </c>
    </row>
    <row r="133">
      <c r="A133" s="49" t="inlineStr">
        <is>
          <t>ACUTAAS</t>
        </is>
      </c>
      <c r="B133" s="49" t="inlineStr">
        <is>
          <t>2026-10-21 22:41</t>
        </is>
      </c>
      <c r="C133" s="49" t="inlineStr">
        <is>
          <t>Acutaas Chemicals posts 70% profit surge in Q1 FY27 on pharma demand</t>
        </is>
      </c>
      <c r="D133" s="49" t="inlineStr">
        <is>
          <t>scanx.trade</t>
        </is>
      </c>
      <c r="E133" s="74" t="n">
        <v>0.625</v>
      </c>
      <c r="F133" s="49" t="inlineStr">
        <is>
          <t>Positive</t>
        </is>
      </c>
      <c r="G133" s="75" t="inlineStr">
        <is>
          <t>open ↗</t>
        </is>
      </c>
    </row>
    <row r="134">
      <c r="A134" s="49" t="inlineStr">
        <is>
          <t>E2E</t>
        </is>
      </c>
      <c r="B134" s="49" t="inlineStr">
        <is>
          <t>2026-10-21 15:18</t>
        </is>
      </c>
      <c r="C134" s="49" t="inlineStr">
        <is>
          <t>1:10 Stock Split Alert! L&amp;T Backed Small Cap Stock Fixes Stock Split Record Date | How To Get Eligible?</t>
        </is>
      </c>
      <c r="D134" s="49" t="inlineStr">
        <is>
          <t>Goodreturns</t>
        </is>
      </c>
      <c r="E134" s="74" t="n">
        <v>0.624</v>
      </c>
      <c r="F134" s="49" t="inlineStr">
        <is>
          <t>Positive</t>
        </is>
      </c>
      <c r="G134" s="75" t="inlineStr">
        <is>
          <t>open ↗</t>
        </is>
      </c>
    </row>
  </sheetData>
  <mergeCells count="2">
    <mergeCell ref="A2:G2"/>
    <mergeCell ref="A1:G1"/>
  </mergeCells>
  <conditionalFormatting sqref="E5:E134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"bhavcopy"}, "2026-10-21": {"open": 737.0, "close": 689.35, "src": "bhavcopy"}, "2026-10-22": {"open": 688.0, "close": 673.4, "src": "bhavcopy"}, "2026-10-23": {"open": 659.9, "close": 639.55, "src": "bhavcopy"}, "2026-10-26": {"open": 646.0, "close": 688.35, "src": "bhavcopy"}, "2026-10-27": {"open": 691.35, "close": 687.2, "src": "bhavcopy"}, "2026-10-28": {"open": 689.65, "close": 718.65,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"bhavcopy"}, "2026-10-21": {"open": 509.95, "close": 488.95, "src": "bhavcopy"}, "2026-10-22": {"open": 487.0, "close": 479.45, "src": "bhavcopy"}, "2026-10-23": {"open": 470.0, "close": 451.3, "src": "bhavcopy"}, "2026-10-26": {"open": 450.0, "close": 445.75, "src": "bhavcopy"}, "2026-10-27": {"open": 461.5, "close": 481.55, "src": "bhavcopy"}, "2026-10-28": {"open": 488.0, "close": 492.25,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"bhavcopy"}, "2026-10-21": {"open": 627.15, "close": 627.15, "src": "bhavcopy"}, "2026-10-22": {"open": 595.8, "close": 595.8, "src": "bhavcopy"}, "2026-10-23": {"open": 566.05, "close": 566.05, "src": "bhavcopy"}, "2026-10-26": {"open": 537.75, "close": 594.35, "src": "bhavcopy"}, "2026-10-27": {"open": 580.0, "close": 565.05, "src": "bhavcopy"}, "2026-10-28": {"open": 543.6, "close": 538.15,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"bhavcopy"}, "2026-10-21": {"open": 2052.9, "close": 2012.5, "src": "bhavcopy"}, "2026-10-22": {"open": 1993.5, "close": 2002.5, "src": "bhavcopy"}, "2026-10-23": {"open": 1987.5, "close": 1970.0, "src": "bhavcopy"}, "2026-10-26": {"open": 1960.0, "close": 2058.9, "src": "bhavcopy"}, "2026-10-27": {"open": 2075.0, "close": 2142.0, "src": "bhavcopy"}, "2026-10-28": {"open": 2142.0, "close": 2181.9,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"bhavcopy"}, "2026-10-21": {"open": 23016.0, "close": 22811.35, "src": "bhavcopy"}, "2026-10-22": {"open": 22687.75, "close": 22687.65, "src": "bhavcopy"}, "2026-10-23": {"open": 22742.2, "close": 22600.0, "src": "bhavcopy"}, "2026-10-26": {"open": 22524.4, "close": 22753.2, "src": "bhavcopy"}, "2026-10-27": {"open": 22708.8, "close": 22749.75, "src": "bhavcopy"}, "2026-10-28": {"open": 22678.0, "close": 22698.85,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"bhavcopy"}, "2026-10-21": {"open": 1467.2, "close": 1447.2, "src": "bhavcopy"}, "2026-10-22": {"open": 1438.0, "close": 1425.3, "src": "bhavcopy"}, "2026-10-23": {"open": 1431.0, "close": 1380.0, "src": "bhavcopy"}, "2026-10-26": {"open": 1365.6, "close": 1575.0, "src": "bhavcopy"}, "2026-10-27": {"open": 1607.0, "close": 1674.0, "src": "bhavcopy"}, "2026-10-28": {"open": 1679.9, "close": 1650.0,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"bhavcopy"}, "2026-10-21": {"open": 5017.5, "close": 4860.5, "src": "bhavcopy"}, "2026-10-22": {"open": 4844.0, "close": 4782.5, "src": "bhavcopy"}, "2026-10-23": {"open": 4755.0, "close": 4690.5, "src": "bhavcopy"}, "2026-10-26": {"open": 4651.0, "close": 4634.5, "src": "bhavcopy"}, "2026-10-27": {"open": 4635.0, "close": 4762.0, "src": "bhavcopy"}, "2026-10-28": {"open": 4780.0, "close": 4680.5,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"bhavcopy"}, "2026-10-21": {"open": 2356.0, "close": 2327.8, "src": "bhavcopy"}, "2026-10-22": {"open": 2302.0, "close": 2263.1, "src": "bhavcopy"}, "2026-10-23": {"open": 2260.0, "close": 2140.0, "src": "bhavcopy"}, "2026-10-26": {"open": 2120.0, "close": 2182.0, "src": "bhavcopy"}, "2026-10-27": {"open": 2225.0, "close": 2194.4, "src": "bhavcopy"}, "2026-10-28": {"open": 2180.0, "close": 2207.4,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"bhavcopy"}, "2026-10-21": {"open": 3262.9, "close": 3152.4, "src": "bhavcopy"}, "2026-10-22": {"open": 3152.1, "close": 3215.3, "src": "bhavcopy"}, "2026-10-23": {"open": 3219.4, "close": 3137.7, "src": "bhavcopy"}, "2026-10-26": {"open": 3136.2, "close": 3348.8, "src": "bhavcopy"}, "2026-10-27": {"open": 3365.0, "close": 3793.3, "src": "bhavcopy"}, "2026-10-28": {"open": 3850.0, "close": 3710.0,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"bhavcopy"}, "2026-10-21": {"open": 345.85, "close": 337.85, "src": "bhavcopy"}, "2026-10-22": {"open": 337.0, "close": 326.65, "src": "bhavcopy"}, "2026-10-23": {"open": 320.0, "close": 315.05, "src": "bhavcopy"}, "2026-10-26": {"open": 316.85, "close": 325.0, "src": "bhavcopy"}, "2026-10-27": {"open": 327.95, "close": 334.7, "src": "bhavcopy"}, "2026-10-28": {"open": 327.0, "close": 325.4,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"bhavcopy"}, "2026-10-21": {"open": 1970.0, "close": 1908.7, "src": "bhavcopy"}, "2026-10-22": {"open": 1908.7, "close": 1869.0, "src": "bhavcopy"}, "2026-10-23": {"open": 1859.4, "close": 1784.7, "src": "bhavcopy"}, "2026-10-26": {"open": 1775.8, "close": 1819.4, "src": "bhavcopy"}, "2026-10-27": {"open": 1838.2, "close": 1888.4, "src": "bhavcopy"}, "2026-10-28": {"open": 1888.4, "close": 1911.3, "src": "bhavcopy"}}}, "entry_override": {}, "news": {"fetched": "2026-10-28 12:35", "days": 7, "items": [{"symbol": "MARKET", "title": "Indian markets end lower as IT weakness and crude oil concerns weigh on sentiment", "link": "https://news.google.com/rss/articles/CBMi0AFBVV95cUxQOWZoUXlONnJ6X2V1bFJOclpWWVlXcGVzWmtNYzdlbHJoZThoMEJ3RnZoUlJsOTkzal9jZWtyY3hPTnU4R3dwZ0JpdDcwT0RvNXlhZ2M5TUJ1QzljYktmNmpYbkxfREVHVklXbkpFc2dfb3cyRTdYX1VvYnFRbkczSEZuY0cweG0yRVdsVUluVHRBbE1IZGZjMXAxU1FBRUhPaXZvNkhmdHFKLU0tVTlvc3JMSldjTGRsY1JSTzVtMk1vNTRzR2NZbjZObG5jUG8z0gHeAUFVX3lxTE5zYWI2anl3OExsVTF0RFVuM0FnbzdYQXNQaDNoME8tQ1c4ejE2NWFpVG5aa1BaeXpIc2drSUFIcjB4NkFzUkpydmFxODJnaEp2VnNsMEthLTN3TS1PaXM5b05LQUxIWkdLdVVQMXBmcF9LUTlkUThjVzFoMG1URjhHemxxX090TDBSS3lqOXNWT0lGVmdxQy0welU4RDZySjV6TGhrcXFDSVBJNW1xTmg4RUlCY05EcnY0cTBpVU5vYURybm1hM2l5V0ZZWm00cTNZdEZtQkUzaUVNdXJKUQ?oc=5", "source": "The New Indian Express", "published": "2026-10-28 12:18", "score": -0.807, "label": "Negative"}, {"symbol": "MARKET", "title": "Sensex, Nifty Slip as Crude Near $115; IT, O&amp;G Drag Markets", "link": "https://news.google.com/rss/articles/CBMiywFBVV95cUxPWW9WemFsdTYxd0YtRXFGNGktZFJxM2lCV0ozWnFvRElEdWExdDdDSmRGVU5Gb3RBanh0Qld6OUNyVnJjR2JGSnFEMUttV3Bjazc0eWM3V0FEcm5feE5aV0t2Z2FlT0NiMUkyX1c5UlAtZmxRQkNwX1IzMmRib2NWaWs2V1ZsSUVsRUR4S29FdmV1dkdzaGJaRWdtelhacGRjcmFITlU5RndRMWxUcy1wTkxReDNCci1TeDhvenZhZXhsUG4tVjhFQTF0dw?oc=5", "source": "HDFC Sky", "published": "2026-10-28 12:04", "score": -0.649, "label": "Negative"}, {"symbol": "MARKET", "title": "Share Market Today: Nifty 50, Bank Nifty | Oct 28, 2026", "link": "https://news.google.com/rss/articles/CBMi7wFBVV95cUxOWjVEcUU2dFBsQU1mZ0tXN0JhUF9CNWkyZ0VYN0VlTUQycFNQaFphdmhrSTU1YlpPV1VaMXZvbC1JbXdZNjI2QXBremc4MThKNDFyY3NGbGNZdjliQ3lCNFl4VEJId3FnVkVJSEdrMEJYS3VhQzgtcmhia1lYNFdsMkEySW5MMmhlOWJtTGJkS1RrOVFkQTlKNEVTTFh3MG1CaEFDclI2cE1iVC0wSWtZWmZQZV9mZlNxRjY2VFRKUVFCcFI1aXlhYXdyclJTcGtzblc5R3gwRW50TGZId2tFTXFCTFZMenNYaURGalptMA?oc=5", "source": "Liquide Blog", "published": "2026-10-28 12:01", "score": 0.66, "label": "Positive"}, {"symbol": "MARKET", "title": "Sensex ends in red on selling in IT stocks, rising crude oil prices", "link": "https://news.google.com/rss/articles/CBMingFBVV95cUxPWHdjeTlxY29wcTBTRVJKZlg0eklLVDZXX005c3AxOG1ueDdXV0NmcWJHNVFIaXBlX2FUaVI3SUhqaUY2RG9rc2JqWmppVnhPQzlPdjY5ODFFajZ2X0xLMnNwYWNIZXlXX205aTBRTm40WnJncDNOeFRPdWU4ZzhjNlVQSUNoWkxaSEZNU0E0aXAzZzlNalhkRWc1M1NXUQ?oc=5", "source": "DD India", "published": "2026-10-28 11:30", "score": -0.572, "label": "Negative"}, {"symbol": "MARKET", "title": "Sensex falls 353 points, Nifty sheds 51 as auto stocks limit losses", "link": "https://news.google.com/rss/articles/CBMimAFBVV95cUxQRXduWnhJbklRbVFxMVVpd3NydnhKSkdncnVHS3pCY2syQ1VFU1ZIdk9YcHJfVVNHX1RBdzczOW9fVkM5LXVBOXZmS2ZJd3d2b1pDR0JDc280ZmgyaVZmSHNMczluN1VKTVhtMTNuNExKcTlOdW9hYmkwTVIzNDdGNGk2RVJmZTUwYm9BOUJnRERHWWlHWTFHNA?oc=5", "source": "Telangana Today", "published": "2026-10-28 11:12", "score": -0.649, "label": "Negative"}, {"symbol": "MARKET", "title": "Sensex, Nifty decline amid rising crude, US Fed caution", "link": "https://news.google.com/rss/articles/CBMixAFBVV95cUxQMWFfb0lXdlExR0JWV3kxcmhLZlZERWJiWUFmTjhBb21lRExvaGJrNWJPWnUxMTlsQkNMMUxzY2xHMFZPTXFsczZnZWo4cWNpaTNxWVNyWXNCWEsxdnpWd2NmZkxBU3ltMUE4T29wYWRkN2ZXLUdIX3JkMUtVZGFUUTNQQnoxMVZkUVZrOEVINEdkNmotNFg3S051T1VRSVVnU3g4MVVEeVc4Z2pNcXFnY3FwMXdKUHQxWVhoTDdtZUhNMUNK0gHHAUFVX3lxTFAwOFVDVDNYOTFkT1Q4dmtzeTd5NEdfcmE2Vmd6VGhicmY4ZS1hY1VfZTgwdFNBZmtTRVA3bjNCTVotbi1vN1RzUkJ1aEJ1elhETF9GOUFxZGZFZGV5ZzAxaXVoT1U0MG1hTm9EdUtVRmxpZnQ0Mi1jeTZFdnFleWZTQjltQ3lVeDJvLWNIQUJrN2lNdzdiVXpXUUFpbW9WN2M0cGQ2X1FrSXhuVEFtNGNqV29lTGt6clI4M05jRVppenJnM0dGalE?oc=5", "source": "Rediff", "published": "2026-10-28 11:06", "score": -0.557, "label": "Negative"}, {"symbol": "MARKET", "title": "Stock Market Closing Bell: Sensex Falls 353 Points To 73,246, Nifty Ends Below 22,700 As IT Stocks Drag", "link": "https://news.google.com/rss/articles/CBMi1wFBVV95cUxOck04dzYyZlBRV1lwRlhZUTREc19pMWpRWllaYVg5Z2o2YXM4Wmw3M3NuT0JVX3ZtRGpvRVV2ZkNZNk5SbVVwR0JWZ0FSbWl4SDZkeUpGTDVFa2xsbU9VOU1iVmctaldnYUhzOEU2aEpGZDNNYi11LXJBbjBDdmU3aC0xR3NCWmVVSHdBVGlVelRjYzV1WXY4ZG5CLUVQRkFlYUNOU3dubnlXY0FOMDV1MExKeWpyZE9Ia0YzOW5TcEVZTjBXYmVRUE1YUXhjWUJfUUlFbG5CVdIB3AFBVV95cUxNV2VEWHdTR0NLNWI0Q0RiNGtPUm1xeFRRRGRuSGZLcWxFb3Y4dktzcE14NzBuUFJRLV9DLU1veDd2QnhIVTUxV1pjT0lmUWswaTNWaWlyZ0o1RVlyMzRpd0VKUlA1OXJINkhEMVNuWUttSWFTTUNlcUlPMEZOODR5eVphS1dPYk11Z0FLaUtxXzR3dlNmNVlicXZZcUM0ZVFRQ0hGNkVWWEVCRlAydzdXTENDb2JUZU9rM2hoTXpyXzIwSHhRNWVJOHJYSFFIblRzbXltYm9OMUxXMXRV?oc=5", "source": "Free Press Journal", "published": "2026-10-28 10:55", "score": -0.202, "label": "Negative"}, {"symbol": "MARKET", "title": "Sensex Today Ends 353 Points Lower | Nifty Below 22,700 | AWL Agri Business Down 6%", "link": "https://news.google.com/rss/articles/CBMi1wFBVV95cUxNbThUTUdqT0Y1SGFqVDZBS28tQ1ZYOG5HZF9lWWU5YWEzOWozb1NpVHN4WEI1SkxXWnhudWRacmtPZnJybms4QmFYWEkyUF9JUkFKWEJOZXlueF9pZnh3SkJpc0dPckk1YWM0QTdzWDZpT3Z4VXB1dmdyNGt4QmowXzM0ZFdCYkJVd3NSYWRsc0kycFFXVndUcnpDc1FCbFpOc0xlR29mYXp5ZmRFMUlUREJEc2w3dHJxVC0tRHowOWF6N2RjVmNMamR0cklQVXd4Wk9SMEgwcw?oc=5", "source": "Equitymaster", "published": "2026-10-28 10:43", "score": 0.226, "label": "Positive"}, {"symbol": "MARKET", "title": "Sensex falls 353 points, Nifty below 22,700 as IT and oil stocks drag", "link": "https://news.google.com/rss/articles/CBMizAFBVV95cUxNZTliNHpyYmJJOEJwOHk5MWkyOHFFTnlnN2EzUXdBR2pHVl9ZZHlZM0pTLTZGb0lhSXdaOGhfakNheE9OLW93WHd2S2o5TEJRdHBDR2lSdkxJeTR6TGVzSk5uZy1zWVBCVWl1R2NDdmZiT0RpN295T3BDWGxNcy1GcDFTUWpSZXBQbVVOc0luTm1Za2dUYkNCYVRtLXVNeHdLTUhzWXhrbUxKTmJWbDI3QkN2UjljV1l4bUdoUjRiX1VUTHpKUHZvbmtXR03SAdIBQVVfeXFMUHFvV2hZS2dRVGRqRGtEMWVxQVhaalp6cVBGbVVUZzZTNWIzS19Zbkk2SVR1Z0syU1diTmlQRXNVYzEzUUNRdzdtelp4ZEpTazJTV2JFX2ZhMnNBQkFpQ1p2MFlBZlg4SkxBT0s4Q2R4UXBxTk9KdlpQd1g2ZUh0djZTRTdTQ1RnUXdNQnR0RWZIMG03dWd3Z1JmTEQ0TkNmamdFQTZGbTJCX1ZSUTZKRFZlZS1wRzU5VFZ0VEJiNnYxM25TNjNYY1VScTBBVnJMczdB?oc=5", "source": "India Today", "published": "2026-10-28 10:40", "score": -0.202, "label": "Negative"}, {"symbol": "MARKET", "title": "Closing Bell: Sensex Falls 350 Points, Nifty 50 Slips Below 22,700 as IT Stocks Drag Markets", "link": "https://news.google.com/rss/articles/CBMi1AFBVV95cUxQVlVPTlVvWVkyLTh3Z2Zlbi1sTWgyWHhJcERZcnZkdHk2bTgxLU42a21PSVBXUlQ0alV5ay1hRkhDdFBmSFpXV1VzYlhNT2hKTGxnVmVZNTFKZGF4RXpHV3plSnpUMFM4N1ZOTjV3THV0WHJiYk1tODY0em04am9kZ2lmN2JVdEg1bzhjbjlhYzRRQ2pWZ3I2VEpwcktBdGxxUVR2cWp1emlDQ0NTWDBsSXo3THhLRENTbGJvQXZ1VmctMWE4Tkd1cElzbk4wRm1lUF8tRg?oc=5", "source": "Dalal Street Investment Journal", "published": "2026-10-28 10:34", "score": -0.494, "label": "Negative"}, {"symbol": "MARKET", "title": "Sensex ends 353 points lower as auto, banking stocks limit losses", "link": "https://news.google.com/rss/articles/CBMiswFBVV95cUxNOUpuLV9Qa1pnVHZtT0o3VzROelBzUGd0aU9XNERFek9xRmxqeWZuRmcyT3poUUFabGhUaVVCOThWVTUxbHp1cHZtUGJtWnBwOVZGaUVRM2Q4V1dSSUZVS0UtcEJUX2xOdG9PcE1hNWc5VnJJRVNjRFlOUU9VR2ZhcGdiLWZzZWtzbEU5X1piYzV4OHVJMFQ2RFZlc1FrcE04eENaOUNXQnVwT09Xb2VhZ2dIVQ?oc=5", "source": "The Hawk", "published": "2026-10-28 10:29", "score": -0.557, "label": "Negative"}, {"symbol": "MARKET", "title": "Closing bell: Jio surges on debut, L&amp;T and pharma stocks lead gains; Nifty IT slides 2%", "link": "https://news.google.com/rss/articles/CBMixAFBVV95cUxPNk4tUGNVSG9BQkppNzlYZ1VzQVhZblpoTW5PNmtWQ1ZQbXphSDFNUGVWZGJiblVBaGNnMzcwZ1ZQTmJXcENDS1NRWnRIQUU5bWdSanV4MV8wVV9VcXhUdWluMENYQnB5dlpKR2N1Q0ZDT21aQ2hQM2NkX1Fwd2lZYl94eU1NSjhuSXpVeE16Z0JXR0w4aGVIcXJTTzNKOUU4S09mYTZlU2RFa1hBc0h2ekxTbVZqTHB1SHRMRVFUUEpEbmU20gHKAUFVX3lxTE5jTVFNSWt3cFgyOWRQUFgtM3NZcTFZbld5bkRlWmNaaTFmNjZnT0treThaVTlXc3pwS2ZVdi1mZHVPb09RX2hGNU0zajhVb3JjUEZ3M1dBZDIxaURiZzR6YUxZanRfaEZzTnJHeGdpSWFjQ1VxWmUxNFpKal9iajlPRVNfWFk1V0FHSTNxYklDRHZTR0loR3ZQN2x2c0xOT2wtakxTYUNHYXcxb2RwRmZVYXVnODdXZmtLZ2dNUmNVYm5XYXdvV2lSRFE?oc=5", "source": "CNBC TV18", "published": "2026-10-28 10:26", "score": 0.818, "label": "Positive"}, {"symbol": "MARKET", "title": "Taking Stock: Sensex falls 353 points, Nifty slips below 22,700; mid, smallcaps outperform", "link": "https://news.google.com/rss/articles/CBMi5gFBVV95cUxNdU5RUjlXWFJLdVlycngzdEJ1aVdubEJfUU0yaVI4RVo1eHNLQ1NIVGZMVW1TYTZDbHloeVg0aHgwR0VkU1R3V3g0RE8waXVVOVE1SmtGUXlBaVFENzZ5TWtPcE1kQTRUT1VuMHg5NGgzYVlMVENxS2tGdzFxS1YwNVFIRWxybkRJc1VnR2d4MjlXNzA2elpJRXdiZzNiRGN5QnBDbUs1bjEwMFJoMmU0bW1NcHB5TV9ISzhhbEE1clJaOGZFaUdPWVhyM3FBV0h0VVdSRGZZbGFwbkRIVlNUVm85OEs4QdIB6wFBVV95cUxQeFlDSjE2VVRtUWhheXB3SXdZaWZxaHVtWngzeUsxNlUya29pWFJ1b2dDV0VwUzdDaHFzaUtUTWF3VjRuLTg0TmxhcmRiZGRySXpFcHBVY3VfSHo0M3E1UDc1T1pJdXgzdHpDajNESVk0QndqNTg1d1AyQlJWVDJIRkJvREJNQllqTHV1bC14WUl0YzYwNFg2bWVUY21rMi0zQ3N3YTJQdFlPLUdwQkhsMmxlUF9BeVlqZjdQaGtQaWtlSlhROFhJNFRsTEU2QzNlQjIzUFFGVE02WGRaWURmamtHd1lKUVllU213?oc=5", "source": "Moneycontrol.com", "published": "2026-10-28 10:14", "score": 0.178, "label": "Neutral"}, {"symbol": "MARKET", "title": "Stock Markets Fall, Sensex Declines Over 330 Points, Nifty Tests 22,700", "link": "https://news.google.com/rss/articles/CBMi5AFBVV95cUxNLWQ4ZktVbUtMa010NDdoOGY2dHZoa3MtQldHNkRIUmtxd2g4aGNITk1DOW9YZEY0enlHSjJRalR4UGEzNFBFb0k2VURXREl3aG5EV3ZjT3ozYzBLbFAtbjB4bEl2ZEJ2a3VLZTZYYXBDNlVaOWl4X0lsdHByWHRTMmdUVzl6SVotS1F4b2ZieXFvNmxreHFJVldkQWN3M2JFLU1KeGtyV3IzWi1WVnhHaG80bXFWcmdIVWJDVkZoV2c4cTB6R1U2WU9aZnc5ZFZDYTZoUUFWMVNQcnAwZng5el9pNmzSAeoBQVVfeXFMTWtrZ0NBQTZ1Vk1IQlBUaUlpVDJXSl9qblpZMy16VzVaU0U2QXN1eC1HelRKclVwMUVjUzVWWENpNjJONVViVmRxTEVndVVVaWthR2RhcTFyTlppZFJmOTNldDUtTVZtc1JyN29xRE1vajN5dmFHeGhxbnpWWHNEekF1WU5OZ0hsMHcwczNqMmFwZkI4RFlBZmVLOFU4ZDlvLW82dFpybGJmaHc0Q000Nm16WFIyRGJNcUF5SkJXNzJKRk9Da0lpeFQ4dmxDZWNsTkh5LTZ5M2M1VkFwNFF6QXZDN3dlRFZITWJR?oc=5", "source": "ABP Live English", "published": "2026-10-28 10:07", "score": -0.318, "label": "Negative"}, {"symbol": "MARKET", "title": "Closing Bell: Sensex falls 353 points, Nifty below 22,700; Infosys, Reliance, TCS top drags", "link": "https://news.google.com/rss/articles/CBMizAFBVV95cUxNTmJvbVBYN0Q4aWdUaG5KQW03by1oSFZ0LWt3NzU5bktRV3YtUXM5ZWZrdDJRV3VvMVNwdlZ1UGRYVE1HRkZCbXFSdl9RYTEwWlk2YVRROHhhVUwtcFN4T3FqY0o4UTlfMnhZNFRxMmktWk1ZQUhqc3lNSHgwSnVTSHRicDhGV1BJamxkVld3b2c3ZHJwUFpCNDd5dUh4YUc4czBlX1B6VzAtWnNfbi1hb1hCS1kxenJNWG1lSERUdFFrSFBzcVE5OGFsZ1M?oc=5", "source": "Zee Business", "published": "2026-10-28 10:06", "score": -0.128, "label": "Neutral"}, {"symbol": "MARKET", "title": "Diwali 2026: Sensex plunged 10,000 points, Nifty dropped 12% since last Diwali. Will Samvat 2083 bring som", "link": "https://news.google.com/rss/articles/CBMikAJBVV95cUxOY0lETjU2TElLbmQxWFJfUTJrRVhwdFQzZ3V5aERJck5XeER1eVZXbVB5cjVubklRcFFzY1VfejlMWmhObDlFY2lEMkdJa1k1ajZGUXlQLTVmWVl3ZlYyZWlNcmRVTV9sR1FZNndiMHhHa0g4V3JqZXVHMGFlR2xLQlFhejl4WVJMWlBwbmFyQ1hTbjVRNVk0RzZ2RXJ0N0prRnhINWg2b0dORlBiTmlMcUFuMUVlclp5TnhHVklNUy0wVElLY1R4VFFaWTJtUWs0ZVhLYTRTOUpfd0huSkhCNEdIci15QlEwODA0bi1NVEFrbTFJUUt6ZUYzSEZPWTJieXRRQ0pxVDN4SDJuRk9NUdIBlgJBVV95cUxPZkJuSkVMWnJkTXg5ZDUwV0RJdEdqcG45ZEIydmRTSVVwdS1UdnhFaVk2YU9QaDZVZXJndkZrZ2FlbUNkTG5YV0thVG00c2MzN3JwSDM2NTE3VE1xVkxvYXBTcXFzandDMFI5dXJUN2ludVFUZ3g1a21Mb3ZCQy03UTliQUIycTZhNFViMGNySnhlb1h2cEVBMkZtOE9fUjgzczMwS2xfQnVHRmw5RVdZVkNIX0h3VEtfN1hyUlN3aXFacFZjWGc5RTdTRkRKVVFxaFljZ0xkUmhfSDhraVVxZ2JzeG1idkxBRnQ4NHhoOGlOLXJNTWVQam9SLU9JY25TaDJmS292T0d3YkhDSjdGXzFtWUFMUQ?oc=5", "source": "The Economic Times", "published": "2026-10-28 09:39", "score": 0.402, "label": "Positive"}, {"symbol": "AEROFLEX", "title": "Aeroflex Enterprises wins MCA approval to expand business objects into data centres and hospitality sectors", "link": "https://news.google.com/rss/articles/CBMi6gFBVV95cUxOVV9zNy1WaG1teFlscngtRW44VjJpeXN6eElSYzZUVnFnd21vbEFFekFxckJCYTJXbXp1VHNmVjIycVVEbE1UdU92U2F0amh5eXFiRmhPZllpaF9ad05IY2ZZWjZXRkU3ZkhmVjg3UWFacFNudjFWaThSejNiV1BTV0VFYll6T2xNSkl3YzRTeGpUOFNjaFBRT05RY1pjeXQ4QTB6YTBwLWhpR1VQeVNhZ2tOY1VFeFZpY3RlT3JZSmwzT183UV9saFFCNjdTTVhyX0VlZ2JOOGRkMDItbmVpTGRYakVwZjJrb1E?oc=5", "source": "Trade Brains", "published": "2026-10-28 09:25", "score": 0.784, "label": "Positive"}, {"symbol": "MARKET", "title": "Sensex Falls 356 Points, Nifty 50 Slips 65 Points as IT Stocks Drag Markets Lower", "link": "https://news.google.com/rss/articles/CBMiyAFBVV95cUxPVVlEREZJc0o4MUtJRHJ5Yi0xdk12RFE3eUZkV2lWOUkzeVJxNXFndS1IUWJZQ2YwcXdPWHVCUkdoMEIwUGR4ckVmQk4tbDBnVmxTOUlsc0VueGg0Q3VfYm1pbWMzZlEtTnd5RWF0U19POFdLemtLQzdUZXFPSFpHY3BQNjBQTlRkUUx5Q2Fydi1YVWltUGlIbThJVjhvQW5tel9YakI4UzIyeE8wcUZoQUVCQ0x6WHlYOUJYVnlSUjBBdmJlVUxFdg?oc=5", "source": "Dalal Street Investment Journal", "published": "2026-10-28 09:03", "score": -0.612, "label": "Negative"}, {"symbol": "MARKET", "title": "Sensex Plunges Nearly 1,000 Points as Oil Surges Above $115 and IT Stocks Slide", "link": "https://news.google.com/rss/articles/CBMioAFBVV95cUxPMFN0dzJlVFg4cVVqTkJrTWJrNlhtNm9EUURZNlM0eHlmMGlUOFVPdFFZbDdvVDVvUThLaHFSZ3BLRG1CRTdoUkpSd3pLb25YZVBfX0dheFZ5V3BHVVFRRmRYVkRQWEx2YV9hQmxVOGpNVXRUN0xEa1pVakNoNHZoMkhabDZsVGVyb045b1g2MFYtOTF1UGVyamxuUFo5bVhn?oc=5", "source": "www.nationpathindia.com", "published": "2026-10-28 09:02", "score": -0.077, "label": "Neutral"}, {"symbol": "ACUTAAS", "title": "Buy Acutaas Chemicals; target of Rs 4693: Prabhudas Lilladher", "link": "https://news.google.com/rss/articles/CBMiwAFBVV95cUxPVXFqdEtDTmRrSlZUa201VWpBU2xMbS1WZ2E1NFpoLVAzaGtkeXJkdW5DSE1meWhHT2R4Y1ZwQmhQSlgyR1UxX21CdmhiWXo0bDdUVGNtNjlNY1VjZXdMMFFiUklnaTE1a2pjaW9LV0QtN1YxQVBDTUpHWDJyMGhWb0RBWU1fZDJ2aW9kUUg1WF9haVA1dFRnVWt0dmNZUFBEMEJINzcyeS1SZFRZMXg0S0JHSWJMN2JwUnJDaDZJQmfSAcYBQVVfeXFMTzNtV3FRM0dwV2FhVVVCTTlpVzNIdXJWemhNMUJBWDhENGFpbnM2cThKZnZhb0twd0pnajJRZHY5dWhtTHUxaVR1SGFqMW5hczNMVm9KODdjYm1VRkdEMERraHlIcHloNVNvN0JPUnlZdU1hYl90R2VhZUZuY3JyRE43VGxNRGxKUjF6Tk82Y0tkMGhJQUxMM0NMMk9mbElmOFFQSWtmR3lWM3VsMUdNX3R4TGZVRmF2TTRwV0NVaGEyckJkYWdR?oc=5", "source": "Moneycontrol.com", "published": "2026-10-28 09:00", "score": 0.421, "label": "Positive"}, {"symbol": "MARKET", "title": "Sensex Crashes 826 Points: 4 Reasons Behind Market Fall", "link": "https://news.google.com/rss/articles/CBMilwFBVV95cUxOdFE3ZHg4QnV5OVNqekRJY0pkSVgwUEZfLWpzMmRlNDNUVzJKODBuRlNZZk9BQlhlemxhN0hXTVlad0Y0eGlHdnllLTY3UFJZLWxvUUZ2OXJoUkhkTzhwVUw0SjZEY3Q2a0xhZFlPTHBLRnNoc1p4ODE0WHVUNEJTYTNHcGxNcDQxTTI2LXY2SHE0Z1AxY0dN0gGkAUFVX3lxTE5GUmwzVkhIVl80RW45VzAwb25oemd5c2NkWFR4VFJOd3puVEc3N3h3UTJJRWJRQjNaZ1lLeG04OWpDWm9jUGE5Y2VNUGxNRFlHWHRka05TMmVXU1RIZWN6ZzBPYmM4blp2Z2Z0Z0VwRks1cFlLMTVwZFVlVUZnY0xZb1htdWFaVDNYb3FVYlJqWHhDOERNRFYwTHFyMHJpV0tNeGZM?oc=5", "source": "Analytics Insight", "published": "2026-10-28 08:33", "score": -0.34, "label": "Negative"}, {"symbol": "MARKET", "title": "Sensex recovers over 700 pts; Nifty above 24,700; what's keeping</t>
        </is>
      </c>
    </row>
    <row r="3">
      <c r="A3" t="inlineStr">
        <is>
          <t xml:space="preserve"> markets on edge?", "link": "https://news.google.com/rss/articles/CBMiwAFBVV95cUxPdUdTUTdaall5dFYxQm9TbHotSlVSNXRKYmNnVmJlRV9SNUh4VFFnMkZTeG01ZjdtR1VlVlpFWV95NUYwVEVUbzNHWXVEQ0d6VVVPaXFrWVFzQnRKOUl1UHFEamZwNjhCS1BuX3ZDdkV1U3ZjQU5fb1hXQUhFX2dFVzMzREZfOEVySzNSM3V5THc0aXhfZU5pZXhUMzYxSWxIdklEQlNhTWltMEVRMXgtSU5UZDNYdlJVMXIyU29Vdmk?oc=5", "source": "Zee Business", "published": "2026-10-28 08:29", "score": 0.402, "label": "Positive"}, {"symbol": "MARKET", "title": "Jio Platforms opens on BSE, NSE over 21% higher with IPO debut at \u20b91,357 | Business News", "link": "https://news.google.com/rss/articles/CBMi-gFBVV95cUxObm1KZjJaQy1LM2RRRWdEYTZaZWhSSUptcmxpUDhqNmlialVxZk05OUdQaDE1c0w3Zzh2QzJoRzRqQ3YyMklKaVFVRkNQTURFYmhtVkpwckU4ZV9LMFhhc3RQcXk4b3hkTDBxd0gwWlk0dy1HRm4wMnE4dFJTNW15aDhTeHdzUUVsSFlUeXRBcGI4YUpUSGZHMlhvZkg2YWxyckxDWjl2VEJsY1hUNHJxQ2pGaUdGNkNYSXpZSWYxRVY0TjFkRzZrd2VOYnN4WjNJaHZFYVVpRzh3NVZELVVyQWFLMG5iVFkyTWNKdEFVOFBkTjdIeUhRWUZB0gH_AUFVX3lxTE5MLTFnMHRMVy1sb0ZtWTBVVVlLamV0S0tiOWNpdktQRDk0dXpRd3pHeGdtZkJRdTFQOExIYnpCTE51UjBoS3pOVzdYOXBqNVlOSWdqb3htZ3BIVEtydU81ZVd4N3RRcDhzRDJPOXB1dmVvRGZWMFJtb0ZUMXdPSDZFOENOVFRfY1lzOTBLbHlzOThMUFdWREdrQmFoM0kxZWQ2OC1BMHFzRTVDMUNuWno5UDhadzJyaWp2UDhwTl9lT2NXZk94NGhiNmlUS3lLemtvU1hBSmpRQ1NKdzFiY3N4V09LdkVLY283OTd4OTVVTmpHWnZibG9nYk1Ta2o3cw?oc=5", "source": "Hindustan Times", "published": "2026-10-28 08:17", "score": 0.0, "label": "Neutral"}, {"symbol": "MARKET", "title": "Jio Platforms, L&amp;T among buzzing stocks: SENSEX recovers over 700 pts from day\u2019s low, NIFTY below 22,750", "link": "https://news.google.com/rss/articles/CBMi9wFBVV95cUxPTFRINU9ZOWRoXzQ5LS1naU5uaV9QZHAydzRyMFAyenF2SXdQZE1lZTlmM2E4azlVUDRCcHg4dWNWZ1FrakkwR09PR1VpUm1yUDFPSjRmT3MwWUU5Q3FMWXJveHJzOUxGRXJ5eHh6Y0xOaTJITy1UVjE2YXFhcWRtZGJHUU95RXBobXJTNW1veHFiQUpjZU1BQ1lLWGlvWTFfdzJvRVhaa0Z0aWEtQ0FHQ1N3VEptYlV2aUE5ZkVqMlc1aHhYNXhSaFllOW8tTzItUTgtU3NhMGsyQ0NPSUFYMUNlZm0xcFBPdHVVNGJMNHhkeVNMYUMw?oc=5", "source": "Upstox", "published": "2026-10-28 08:11", "score": 0.325, "label": "Positive"}, {"symbol": "MARKET", "title": "HDFC Bank, ITC, HDFC Life, Nestle, Britannia, TaMo PV hit 52-week lows", "link": "https://news.google.com/rss/articles/CBMizAFBVV95cUxOUlBRN3hYa1RJQVU5ajRWaHVEQ3ZHdnA0bFl0Qzhub3A2U1JvU2lhUW1ZT2RScHlwcHNPekRHaS0xb1hXNUZuU3BfdGQyRTRHWVhaWXh0emdydnozeGliOFFCa2NESkpXTjJjNDJibUI0b1NwOHUzZGhKX1ctbjZnbjlKa0dKWkZQUWJJYzZBeGYxaThRanZTTmRYY1NkZm54ZjVsS01uMDJMOGx2dkJYS016RVJZN3JBbzBya3ZWUk5RT1BPSHVWNFI1R0zSAdIBQVVfeXFMTXVtZ0huaFN6aUEtSm90Q2FMWl9aSDFDaDVRZnZKQlliSkNQNXIza1hfeFRvN1gtYVRFMVhYRkFsRnhPVDF4UGlLb3dmQUp3OF90TkhlUjd6WXFwZHY1eWllMmIxaGhoZXZMODd1TGRNamp4Y0t0V3RkRnZsNnQ0U195Wmp3djl1a1VkZGxmX1ZMOEFNVUNrRmNiX3hTcS1LRGp4bDhiX0YwVWV0cmhBMzNaT0d3NUo5OTM1dXNPcW1qb2VtQms2SUdVX0tUSkVNVzV3?oc=5", "source": "Business Standard", "published": "2026-10-28 07:38", "score": -0.34, "label": "Negative"}, {"symbol": "MARKET", "title": "Sensex Slides 601 Points at Open as IT Stocks Drag Markets Lower", "link": "https://news.google.com/rss/articles/CBMinwFBVV95cUxONGpDbDA1bzZXdnFwcnY2SlctLWt5RXBVcnAzSE1UVlZKeWFPRWZLZkN6QzByYkFkSlZrcEF3dUZDbm53T2dzY0JZTFg3eTFfeUYycnRDdXEzVXY0ZVRoR19ZNUFsNHFud1dQMi1ZTVVrbzUxNTFITi1DYVExazBxQ2pCRkhIb0w5b3B1WjBYMWZ1b1dJeXhXTjFyS3RSUFU?oc=5", "source": "Business News This Week", "published": "2026-10-28 07:28", "score": -0.402, "label": "Negative"}, {"symbol": "ACUTAAS", "title": "Acutaas Chemicals (NSE:ACUTAAS): What Did Its Q2 FY27 Results Filing Reveal?", "link": "https://news.google.com/rss/articles/CBMiuwFBVV95cUxPSWNuak1WSm5WQ2RMa0pNSHluclg2UXFQSlhoNFNpaVRycmVzSXIyaDZfNXFKOWh0clgyNlJyb1Bncll4X3NGRFBmZDRDQ1ptOEV0VUtja0lXdDBWY0hORjd2TnRmRW5fUXZKMkpFb3ViQklTQnAwQ2pFQzc0VEU1TlJCTjZ6V20tSzFld3daQU5faHFZOGIzVGZZOWFfanlJSE9oXzRFSzJXNW1DaG1MY0tHVUJnSl9CT2pZ?oc=5", "source": "Kalkine India", "published": "2026-10-28 07:17", "score": 0.0, "label": "Neutral"}, {"symbol": "MARKET", "title": "Nifty, Sensex post sharp losses amid elevated crude oil prices", "link": "https://news.google.com/rss/articles/CBMimgFBVV95cUxQaHItazVYWVhHdTRBX3MwN25KcUhoZl84aXgwMmFrYXdzOUdMWXp6UENYN196QTc2eFRuSWdFNU9jZkxHelFWc0N3ZTVHMXU4ZlBVZ2dRX0F4a0ktaWxxZEdpd0tmak14NTUzdjRoWmk5RFgtc3Y4WUEtRzR0TDNGUXRoMXZTbEsyOHJVWk1VekhFUzhmb21vc0RR?oc=5", "source": "IBTimes India", "published": "2026-10-28 07:15", "score": -0.586, "label": "Negative"}, {"symbol": "MARKET", "title": "Stock Market Crash Today: Sensex Falls 995 Points, Why?", "link": "https://news.google.com/rss/articles/CBMi8wFBVV95cUxOUllvS1R2dEpBc19KdU5zZndKSTRrRWFKSDZNQkR1ZUl1b0RGRmhqZVBkcUJDUXhhLThHZTRGdjlReVk0WElFUWlERGtZMWZEbXpXOUctY3padVkwZWEzUXdXX19IczEyeHQyNW8yd0FEVXpOYlNkdHVaUFRISnZUM0J5ZGJESXo2WEtSOXJnRVN5UFdFdzZEVk9BQk9RdUxETVh5MnhRTFRWT2VkeVlJS3VYTTBuWmxYSkZ4T2JIaTRuYlY1c1laR1l1QXc4ZFAzWlNRYVZwUFBITXlJdWhOTmg4OENvaU9FOXcyNW5jYkJTczA?oc=5", "source": "Univest", "published": "2026-10-28 06:20", "score": -0.751, "label": "Negative"}, {"symbol": "MARKET", "title": "Sensex Falls 602 Points, Nifty 50 Slips 0.60% as IT and FMCG Stocks Face Selling Pressure", "link": "https://news.google.com/rss/articles/CBMi0AFBVV95cUxPTHhqUWFOdzNNcFF3NUQxVC1XbjBFMHpob0RzZUZfb0FBVWxQSDg2d2w2aGVOblZ0TGxURW1XeWVoNFlSbWExNDY3UWN0SVQwYVdYZ1pHMUQ1cGxTaTFxbGlEQ2o2emhVdDcxbmZ5RnE5MDMtSXZyaDZ5d3JkMjJsU3BTWlBvd1I1eDNVMkhUQVE1dS13MVBSeHMxNHpCa0VfVWZ6Y0tBSzhQYUYtMDBpMXQ2WkRjMDhKN2hteGUzU2phRmJZMnJKcVZZdkU5ZUdq?oc=5", "source": "Dalal Street Investment Journal", "published": "2026-10-28 06:18", "score": -0.542, "label": "Negative"}, {"symbol": "MARKET", "title": "Sensex, Nifty Crash; Indian IT Stocks Tumble; Here\u2019s What May Have Rattled Investors", "link": "https://news.google.com/rss/articles/CBMiqAFBVV95cUxQNU9HYy1nODl0SWk0cnhuR3ZNTXp3dHluazF0NXJ2a0FiY1NHUS1PeWI1X1c2X09ka0FXWC1nbTZhOXdZTzh6T3FjbThMSHh2Tkk1d1dfcUs0X3Q5bXhMNUZqRFJhVjQwS2l6NzVoMHh3YVhvamRKbmhjTUxQdGJDazhMOWhpQWdlbmRKTHZORHRGeXdTODd2Rlo2M1FtN0dkOEZ1RDl1WW3SAa4BQVVfeXFMUEw3NkJsdllxRENIMHA0dFJYUl9aWHRTTmNyR0FKZDV5ZlhuODhHNFNVck5CRk9yWjBFTURFRld5VkxVWkhwb1JZOTNPOTFFWENiVmhQR3RzWVhkNF9TZXZNaldtMnhuTkNBUWhocFF4bE9HMnZPaG1sVXExU19ZOU4yaW9haUpFVXVnZ3hmd1RRVldTcEgzMkQtcFlrVDJqN3V1UEY4SU5zRkVPWll3?oc=5", "source": "OdishaBytes", "published": "2026-10-28 06:12", "score": -0.273, "label": "Negative"}, {"symbol": "MARKET", "title": "NSE, Sensex Today: Stock Market Latest News; Infosys, TCS, HCLTech Fall, L&amp;T, Bajaj Auto Gain", "link": "https://news.google.com/rss/articles/CBMizgFBVV95cUxQM1laLU9WQ1dtMXZOcW50alFuVHd1V3dqcTBCQ2M5aV9pNDFjUWJBSWdpT08wOEVUR0RPWGk4elpYZjFXc0tURUZDWlZNM2NhcjE2d3g4ZWlmSVZQdXphSXVOcG96Wk94dEpKMGlkYnpNMU4wTzduQ29QU1pmVlBEd1RIX2FYTHhXLWMyOTZEYnNUa2NvaThFNUFUU1ljTE43YUtpZ0pnR3UzTEtXQmRiZURNTmNERGlleWw0R1FOdGYxalRxZmdWLWZKVlo0QdIB0wFBVV95cUxPa1JFWlFFSmNTRDRlek1tS1VubWg0WjF6dzJzLWF5V0NwQnpwVlJpYWJEakF6Z1dMc0EwSktlcTVxc25KX3d2ZTVRVWp2SjR5NHpWajlVeGlaSHFYaEIzYjZ2VUhvYU43ODZEdEtseUpYcU0ydHRlM1JOWTdfRFNNZGhGT29XQUo1NkZfVE1WVnEtemhsSkhJZ284NzRtMVJKVTVOeTl6Z25PekUxdVZ0QUxtX2hCVWZsUnFmLThGM2p6TXRlM0lYT1RfSTE0TzRobFVz?oc=5", "source": "The Sunday Guardian", "published": "2026-10-28 05:41", "score": 0.0, "label": "Neutral"}, {"symbol": "MARKET", "title": "Stock market crash today: Sensex plunges 995 points, Nifty sheds 1% ahead of Fed decision: Here's what spooked D-Street", "link": "https://news.google.com/rss/articles/CBMikAJBVV95cUxOMFlUOGxPbER6VGFzUWlYX1hkbGdNNlpHb2lIU1VlNTNhQ3Jvdm9TZ2Z6NHdhUzVhV25aNXBpT2hrUmt0SW9SVjJPZUJPOEtlVnJaVWtfUWdMWE9QdkJQV0E1ZVlDSzV4alhSOTZtR05SWEd0TEZfbFdWZnV2VGp0VFcyMmZnQVh6ZlhCbmpDTmY5NXNxZWwxWnZhV0xMUXJxdFNQbHNwWHB2LXc4cnJiVnFXeXJNX2lYc0lQZUd6MHRuOTM1TXlCek4td1JveFNnZU8wYnQxZVFaRWIxWWtOdUNCUTRHLW5hLWNueEUzcGJ5Tzc4NXpseUw3TFViZHJwZ0k2OGFEWGt0RnJ6V0RjaNIBlgJBVV95cUxNQXlWaURfa2owSFdwNGtDa2JvalN2M3RKYmlaYVl2d1M2QVV2TURNemU1dmlOMnVqa29EX0tqYm44OTNDUnc3NVpoSlU5Z2YtYU16T3AzNHlaWGFyMWkwNUJ6SDFHM1o0b3hla25rQkNvZ2t2cGo4c21oM0txVUdzeDhPTFRYOUVUN1BHSEt1ajROcTU4UFpJc3I4WmxIMnVCbGZKeGpYZXFMYnRRSXZqUjNVUHNNaWRaN2U3THZqWEtHYVEtS3FMVnRiRmNNR3p4UkpSekF5ZnJtM2wtUDEtNER2eGhhdl8ta3dBeE1EbS0wMlktSnhjaFhRUHQxalFncHk3WThfeEZrWVNPN1lzbm50dHVTQQ?oc=5", "source": "Livemint", "published": "2026-10-28 05:37", "score": -0.802, "label": "Negative"}, {"symbol": "MARKET", "title": "Sensex falls 700 points: 3 reasons why the stock market is down today", "link": "https://news.google.com/rss/articles/CBMi7wFBVV95cUxQSkNEYmZ2aUc2RTdSbnFEMFFJaEVlYUh5RXBRa0Y5d1lnX2MzNGFqM051N19FSGFTc1BNUnN1VDdhak01Z1JULUNyZ1pDX19TNHZSY3hrZnc1ZXRNVVk3bWM5YU1uSHBtS2NCcGxmVFBOdjIwOEp6LUo0TVdkUWVMcmMzUWZuX3AtYUdPMVNleTFTN3hNSFhSelFLLS1NZXIzWW1NbWlnVDRGS3R4Qi01UWJfdXBic25ZMk1heUg0aXhRRkd4bVhWVmFzTlA0bmtDNGZfbGcxM0JaSkpxNC1UWThsY2o4VkRVcEpqUklQZ9IB7wFBVV95cUxQSkNEYmZ2aUc2RTdSbnFEMFFJaEVlYUh5RXBRa0Y5d1lnX2MzNGFqM051N19FSGFTc1BNUnN1VDdhak01Z1JULUNyZ1pDX19TNHZSY3hrZnc1ZXRNVVk3bWM5YU1uSHBtS2NCcGxmVFBOdjIwOEp6LUo0TVdkUWVMcmMzUWZuX3AtYUdPMVNleTFTN3hNSFhSelFLLS1NZXIzWW1NbWlnVDRGS3R4Qi01UWJfdXBic25ZMk1heUg0aXhRRkd4bVhWVmFzTlA0bmtDNGZfbGcxM0JaSkpxNC1UWThsY2o4VkRVcEpqUklQZw?oc=5", "source": "India Today", "published": "2026-10-28 05:36", "score": -0.382, "label": "Negative"}, {"symbol": "AEROFLEX", "title": "ADITYA BIRLA SUN LIFE BSE TOTAL MARKET ETF Stock/Share price , NSE/BSE Forecast News and Live Quotes", "link": "https://news.google.com/rss/articles/CBMiugFBVV95cUxPS0VNUFhVZDJqeFJ4TC05UE54TXVoYVhZdkVDUkE0aFY1OXo5VDhabG9XZHJ6V2F3b3hBZk55WVBTbXM1RGpKMG5BWWtwV2ZaUWctb3JoWG9saE4yTTJFMG9YQUYzN1VnTjBLV3B3c3A2b2dQS1IzdmxOd0swZE9PTDY2UGxyZ2dVTkd3WHBjU2p2dFpDTTFSOVI3dlc1MDVmd0h0RWVTODF4ZmIyUDR4ekxSQmNNMW9MVUE?oc=5", "source": "Equitymaster", "published": "2026-10-28 05:27", "score": 0.0, "label": "Neutral"}, {"symbol": "MARKET", "title": "Why Is Stock Market Falling Today? 4 Key Reasons Behind Sensex, Nifty Crash", "link": "https://news.google.com/rss/articles/CBMiuAFBVV95cUxObWxhVDV4ZlIydzBlUDdmdzFaMGRMcWw5N3RjWHRSWnZKOU85V1BaM1pOVDJBU0NjcUcycEZ0a1lGdTFjT2JBU3hGRl8xV0tmRmN6Rk9pSmo2MTJXLW1sRTFEZXROZ2NyaWlOc25CajVNNlBBTWN1aTNrWk9rTDU0QlhJaUt4MHV0cDdwSUs4M1M0WEZGYUJxTWtUUDhJeUNRc1Z1NXhlZTRPZHFzZmgwQzlWQWNxeldN0gHAAUFVX3lxTE5jb2ZQVkFqMmdkV1pQR3ZUaFBnRnNEODlSbFdlOWpxNGUxVnlRTlZjX1JraXlkVlZhNjc0ektuZ0VpaVFfbkhwRFI2N3JaSEtKc0pkZ1RQRjFVS3hhQlFVSUJHdE0yODNqS1NJRXc5LU9mM19GMWc4ZjdfbXd5WnRZTWpqTDJ3eGs3NnUxNmdhOWg2S2YxS2FnUUdPOFZoQ1JBdElkQWZJaVBNVXNuRDB2c1dpSEpxaDVwWWdKOFo4LQ?oc=5", "source": "NDTV", "published": "2026-10-28 05:26", "score": -0.402, "label": "Negative"}, {"symbol": "MARKET", "title": "Market fall explained: Sensex dives 995 points intraday, Nifty at 22,500", "link": "https://news.google.com/rss/articles/CBMi0wFBVV95cUxOajRZeW5FeTk4NGJnOHFzaHlmWjd0WDk4NU9fWTVlLXJqWjhpUjVSaUR0UHZpOW9jN010OWhpQU1TakwyMlhSWlM4dFdYZnlXbnRsUzlQeW5FZnN2MThOLUNacHZCQ2RzNlkzaFZONzZTVXNPNlk2QmVZcnFJOGdRM3hPMDFGd1JiSEViZE1KN3pZRF9MN2NXcWo4amV4R1VMVmxkMmFxSDJXNXhSTDZXWHRaakpIdkIxR2VUVmVqLVdVWGkxN1ZtRnRTUmlQS1E1T1800gHYAUFVX3lxTE5tUW5DWXVQQzNNazEyRy1Jci1SeUNrSkNCOEc4OXBJZVR2NTluNUxidGtDNFZBSEttQkhHNEhOSE51ZE5taEZaa1JyX1NEZlZTRDZHWUtOdm5KdVR5d09wMmdsWDVCMlY1SlZhdGxFd09oWXpmUkc1YmRIdUVTa3duUWpLbkF4R09WdURRSER3WC1BYndqYno3cV9Fd2RJNXB6cjk1eUxTMTFISFhHOGcyRmpuaGNJUHlMU2tINDE5UjRHOTNualZLMFlITjA3Tk03RmV3a1owVA?oc=5", "source": "Business Standard", "published": "2026-10-28 05:26", "score": 0.077, "label": "Neutral"}, {"symbol": "MARKET", "title": "Jio Platforms Lists at \u20b91,358, Up 21% Over IPO Price", "link": "https://news.google.com/rss/articles/CBMiqAFBVV95cUxNVUZMTHFlZ29pT1pfajJtbFVoTTNxWVIxZVZoRFhMVjdRSmxiWE1aakFXTTFDSGdtX2I1S1NPRGJYOHNwN2R3NDVtTlVoQUN4MzZjcU5pSnJHYTBSYVFmcGxTSGJMeEtlWnlITTYyUG9qaGROVDZsai0wVWRVU3NkazhLdGI1emlSamZLUW5DaUNxYzdWa3c2SU9RR3ZDaVgxaEJCYUVmN3c?oc=5", "source": "HDFC Sky", "published": "2026-10-28 05:11", "score": 0.0, "label": "Neutral"}, {"symbol": "MARKET", "title": "Sensex Today Tanks 793 Points | Nifty Below 22,550 | Nifty IT Index Down 3.1%", "link": "https://news.google.com/rss/articles/CBMizgFBVV95cUxPbUh2RTZSdzNlNTlTY0U5M0NRNEc3a3c0SDExWmVuWlVOcVk5SFRfWVJKeTdOVEJicEFPWjdqZndIUmZjZ014V3VJd3hVRkxXc3hvQ1lYLS1QWXUyVmdNZUdxMWtuNXhway1Rd3pHOWV4SWN0WDBsX2IzNmpvVTJ4TGp1cWpzX3loMGppRU9XcVBUNkhNNzFoS1pYdTdnbUFzRVdwN0QySGU5WVF3QkhBT1FVeXppeWowR1FualM4QzRfV2xybm1yMXlaOFJ4dw?oc=5", "source": "Equitymaster", "published": "2026-10-28 04:56", "score": 0.296, "label": "Positive"}, {"symbol": "MARKET", "title": "Sensex falls nearly 700 points as rising crude prices, FPI outflows weigh on markets", "link": "https://news.google.com/rss/articles/CBMitAFBVV95cUxQN25aS1ZxTW1tUkNIMkpGYTRyUDdKWVA5aGF1ZnRDY3dpZkRrbjBjWUtjRjVXbXhLRndScEdobk4yUW1mSi1mN1hzQ2poVDBlYWJvanJDVFFNNEl6c2k0aHVIWFJ5bHMzNG93c1JTQ0YyczFtTlMtR3NKMGhBT2pRVk1xSXNkYjJCMFhaTnB5Rk8tMDNCdzlVcjViZkR6azItdWt3MTE3S2VKcWZTb0RrSkdiUXc?oc=5", "source": "DD India", "published": "2026-10-28 04:46", "score": -0.743, "label": "Negative"}, {"symbol": "MARKET", "title": "Sensex Drops 600+ Points: IT Stocks, Rising Crude Blamed", "link": "https://news.google.com/rss/articles/CBMiqAFBVV95cUxQdGRnbS15V3NMMVNRaHdrMXFfV3JsTF9wYkdHMF8zX2EzVkFfeVpxdERoNWhQRTkyaU5QQXdYRURhb1A2OGlNdEw0TVE2ZDRBUzRvRWYzTVQxcHc0Q3pjWm5BRzBDSnJ5eHJIcGlQT01VN3BOVTNRem1KODdxSW4tdjFpVURDZlctcHZObHJBRVBMMnRyYy1JeFdUY2ZTYUNraHhHeVMtZ0PSAa4BQVVfeXFMTXYwM1cyTE54bGxybXNZdG4wTFVtOTNrdzV4QnNJTlNLRUdSdVhmaWRzV2hqc1o3d1dldU9kak1JTVF3LWJaWmQ2amdTSTZQY05VZzdQWmVkRnUxSV9UbGJjc0JJVk5Ldks4bVZZRkZMc25hcVFpYm10V2JEQ0dpWEFibG9PREdFNUVLeldWa3k1QmJVNVEtX1RKTWxReHNjcVJiWTR2eFRicjg4ODRn?oc=5", "source": "Rediff MoneyWiz", "published": "2026-10-28 04:38", "score": -0.778, "label": "Negative"}, {"symbol": "MARKET", "title": "Sensex Falls 600 Points In Early Trade As IT Stocks Slide, Crude Oil Tops $115", "link": "https://news.google.com/rss/articles/CBMi0AFBVV95cUxQNXh0ZzJfRlFWVVNsUjdqSHpMbXBLQk15dnIzVFVUSmVzWl9LdTFGdUpfdl9NRUR2VWJhZlVWdFZQUjB2UGhQa1U5eFZsR24zXzFlUzZyYjItUm5mdm5PSjU2VFlHR08ydHc0VlY0M0ExcVRod3RQZ1A3N1lXZHVTVm0wWTBsNWt6M29TNEw0WG4xRkdFTkZCVDFDMll4dUtVRGw5S1FRZDlfQU5yQlZfQVMtdWU1SnhDMHpGc3d4MzFSQ3NXcDY0cGhYWlRpcnNR0gHWAUFVX3lxTE14dHdiUkVVMjFqenN3RWotZGhzcVdtazZnR3drb3BhX3BFMDhZTVMxOHdBQTR3VS0zQ3ZreFNldVF2bnNsWFhmVERjMVNVc3ZUTGxIbFJyX19qWTNWQXo0UmdHTU1ITmVfQ1dmOXpJb0xJZkdnWVJuYUdQamExbi1hRlpnTHFqRVpvOTFzTHF3RDE0YmRqYWd3Tk1FQ25ZUmszLWFwUENHOTk0enh2MzhTemxyLTMzRDBLRk1ILVJURnU2eHBRbDhtZWJnN0NRYjBMVVV6TGc?oc=5", "source": "News18", "published": "2026-10-28 04:38", "score": -0.459, "label": "Negative"}, {"symbol": "MARKET", "title": "Sensex sheds 691 points, Nifty falls below 22,600 on rising crude prices, FPI concerns", "link": "https://news.google.com/rss/articles/CBMisAFBVV95cUxNTVhwVWxMZ0EteGF2NHZ5ekpSamxCN24wVklBaFljblVtcWhNY1FLN0tpcjRuWWFIQmlRcEIycmY0eUthaVZLOUVOcjBuU21XR3pXdVphanhwdnp2a2dtY0tQSTllbll6dUpOOG1PcEducmhrSzR6blhxTlNHTnFRT0hETUdZcWhWM0xXTEJuMzE4Y01UYTM2alpOVnBEdW5ZaGUtZV9LQTJEeV9mM3gyaw?oc=5", "source": "ChiniMandi", "published": "2026-10-28 04:35", "score": -0.735, "label": "Negative"}, {"symbol": "MARKET", "title": "Sensex falls 684 points, Nifty drops below 22,600 in early trade", "link": "https://news.google.com/rss/articles/CBMikwFBVV95cUxPWmExdDBRYTNiejJZeGhPbEhsUElycDA1N2JLWUNSb0xKWFpGSi1vaEJSZURnemxYbjZwNkMxRm44M1d2cG9wTVhhLW1CYlowSm4xanZ5OV9tQzdIVFhrVTJ2RWpzLXlHUU1GSHJWYnh4QUtsV054dm1oYXRSd1QxTmQyR0pPX2N2b1hDSmg0WGxXS3M?oc=5", "source": "Telangana Today", "published": "2026-10-28 04:35", "score": 0.026, "label": "Neutral"}, {"symbol": "MARKET", "title": "Sensex, Nifty Slide as Crude Near $116 and IT Stocks Tumble", "link": "https://news.google.com/rss/articles/CBMi0AFBVV95cUxOUVVIU2hUd1lTbTJOQWNJeUdXeENUbC02SEJ3M1JPTU1acnU2d2NHWmxucTB3Nk9MNVZjc29BUGprR2VSZzhZN2UyX01KdEdBWDBFQ3h6UVhVQlRtYnJaTE1TX0FGSTFvMGo5SlQ2RnVfNnM0TDJLTV9lVXFRRzhGMUQ4OTN6bXh3M0tPaGdLNmgxUVNFZzlxVjg3Uzg0enFlUE8welpMT1E3Z2NnWUhkcmxhZkNXUFg2R3FnajhTaFlKV3I3bmVqWG8wMHFmSHZq?oc=5", "source": "HDFC Sky", "published": "2026-10-28 04:32", "score": -0.25, "label": "Negative"}, {"symbol": "MARKET", "title": "Stock Markets Today: Sensex, Nifty Tumble as IT Stocks, Crude Prices Weigh", "link": "https://news.google.com/rss/articles/CBMixwFBVV95cUxPUjYzTTdhbkI4NlczWmJKbWxMblNncjdaQnpoRzVQbTBjdEc2YW9hZk5rclZ6RXVIU2hJOGdpTkttMUE2cTFieVZ2ekg5QVJQbU1vWkg1cHFIMFRzYlVjM043SS02aUozQ2xQenQ3alZMZzJ6U1c5VmJJejk1NS1RdWhBcTNyeHBZaWhadi1UdlpJQ05rUWxBTkJaOEJtejBvNThXSXlnTVdSWWxhSXVVdG1vcGJpQkZFZmNSM1h3T2NuSDg1NEsw0gHKAUFVX3lxTE83QUF3N2RZejc1a2dBQVZQb1pmczFoWUpSeVYxNVhBRjFqRDlYMTdJTEZUdEhuQlpyUTJMUUI1T3JYaVlqQVlaN191YXRpNXRxb0FDNVROdnEyZlk5MWVFM0tvSUlLLVo4X3dJYzhsTjlUTkdWdDdUSncxdm1TQm5FbFgyWUwxSE9BSXRtb2ZtN04tNmJlQ01qWHNHWkF0TkNtZ3FhdkhyejRqVVhzSHBWQ2l1Y1d4cWlOQ3FYdm9IMC1iRWdqSVJGa1E?oc=5", "source": "Rediff", "published": "2026-10-28 04:32", "score": -0.25, "label": "Negative"}, {"symbol": "MARKET", "title": "Jio Platforms lists at 21% premium, becomes India's 2nd-most valuable firm", "link": "https://news.google.com/rss/articles/CBMi5AFBVV95cUxNbWJsU3AxVllaOFJDdW8zLWlrZzRVS0hmOWVoMjRfMmJreGRrUTVQSV9FY2tjTVpEbVh0VUZmVTE0SnkxVlFSdEg2cnhJNTJ3M1hiSWFNc3JTcFBWVUVJOXNzQ0VHQWpzb29ua3dMUlFqLVZQcFFLclZQM05RWUU4ZHZadU1oOHRaX0l0aURtb3plcWxWMlpOQ2txNk04eEZjWmdpTldkcy1UZno2cC1FcDE1N2ZIbVNxVUlmbDR6QkRTRk1OdVZQVl80Zlg2M3RBRTZaNFk5eXFlVm45WjhjeTBWUGzSAeoBQVVfeXFMUGhZYlJZNkJTZzJ6NEQ1cHFpb0JjdkQzUXo3REllM1Z2dmhEXzNldUthWmt5NVhnZlNERnV2VlBiMFUwenhQNUlkN28tVk9YeG9aLVg5UnZsdXlpX25nN1VBbUVxNVVaa2d5OHRMTkxDVlprbDRsanlzRzRHZ29ObzUyOVhaRVBwVlN6a1p1Xzc1WXV1cjdwVmtTNG1CUndXVEJlZWJoUm9EeUN0aWNVNUtUeHYxay00MTN4UlVqa091aHlpMnRCY2xjNUZyaGtQV3E1NzkydVp4U1h2MkRteHlicXBsc3NiV0F3?oc=5", "source": "Business Standard", "published": "2026-10-28 04:29", "score": 0.477, "label": "Positive"}, {"symbol": "MARKET", "title": "Sensex crashes nearly 700 points, Nifty below 22,600; IT stocks sink", "link": "https://news.google.com/rss/articles/CBMiqwFBVV95cUxNNGJZT3NYN282ZGt5Zko1SWdmS2tLOW56MHctbGIwU0FFcGZnOXlXVHpuODhnbDk1Tlh6RlRVQ0s5eHNKYUxGZ3MyTHVEeGNreEg4U2owSEhtX1RFd0ZsVUFhUktkWUljWmpvR1J0VWhqRm1OVXdXZzZmUHdadUNmN3NFamVzMzIyaVBGMFYzRU1GNy14MGtMV042VlRPc1YwYXZLemtrUlFGWUXSAasBQVVfeXFMTTRiWU9zWDdvNmRreWZKNUlnZktrSzluejB3LWxiMFNBRXBmZzl5V1R6bjg4Z2w5NU5YekZUVUNLOXhzSmFMRmdzMkx1RHhja3hIOFNqMEhIbV9URXdGbFVBYVJLZFlJY1pqb0dSdFVoakZtTlV3V2c2ZlB3WnVDZjdzRWplczMyMmlQRjBWM0VNRjcteDBrTFdONlZUT3NWMGF2S3pra1JRRllF?oc=5", "source": "NewsDrum", "published": "2026-10-28 04:28", "score": 0.402, "label": "Positive"}, {"symbol": "MARKET", "title": "Why Is Stock Market Falling Today? Sensex Drops Over 800 Points, Nifty Slips Below 22,600; Key Reasons Explained", "link": "https://news.google.com/rss/articles/CBMiigJBVV95cUxPWWg0dDRpcmtjNklEc0lVSG5lZWxUR2JXMF9EaDR5YWozMk1rMjZhU0hOQjhaR0lLMDZFYWNuNUxPV1NmdkdLTGRwMnRMVDVDNFlaSmpONU5qellPa0lVTjRfZ2FxWERCbVptWWc3WFlZazJTUlp0bW53U3QySDBHMW9Ic2g3djNHbS1oWV82NHVmWTQwaDNOU3UtWDFqRmtjSi1jZUgwczZ3dW16SHFYbXhieUZQWlZRV3ZnbVY0bjFyZXdyS1N6eG81QnU2c2l0dFNSdlRCVXFhdTdnSmN5WEdkQ1dGTXZiblVMUVRpX2NCLXA1bWxadmMySVFaZDcwY25EQVRyY3BHd9IBkgJBVV95cUxONzVPaXVRSE1WNE8teUkxaWRiR3JXMklmNk55OUx4YnlTX3lDLXQyaUx3ZXRtekFFcm9XbDlNMmt6NEJYeVpzNlJPRF9DQUVzSS0wbDZSTHE4QjJ4UDhCRTJNLVMxY1hRV3FoZFhpeGVqQkpFWHdqYzVQZHpIb24tckxGWWpMTHVtN0pQbXBfXzczMG1kRFVnN0ctWXdCbmhKNzV6YlV0dnNyQlFrX1hjZzd2bHhfa0tIZ3l3TDhqMnExTFVlcnIzci10cG1YSURiWUpvMEs5S2JNV3hZdmYydmRETGlKMGE3WGVrTC1YLWtGbFVfcG82MmNtZjZ1X0tGZEN2U1pyUkFVQWpPVEJ5d013?oc=5", "source": "NDTV Profit", "published": "2026-10-28 04:25", "score": -0.077, "label": "Neutral"}, {"symbol": "MARKET", "title": "Paras Healthcare shares list at 4% premium on BSE, NSE", "link": "https://news.google.com/rss/articles/CBMiswFBVV95cUxNb21ZdGpsN3E4SGcySGthUXYtYmx1OWo5SVFPbXlTYU9XNlByUVMzU1UxMFRKSmtfamVkdUY5UGxmTnVzTGhCNlJuSFVMMU05Rm1fSjBCS3pBNkt4T3A1TGZEX3VxbVMtSG1ULVVJanYzTHdSejZ2X0RLRHJWVVdsTnR0Sk53NE91eVhvOXFSTUI1VW4wbUxDREVNeFRGS1JhcDg2R24zbG1CNUg3cW81NUJkUdIBuAFBVV95cUxOWkJwendRQnZud3htQlItMzRWemVaakFlMHBTdDJTdWVEMnE5dUhrV0MwVnFiSW1ZZlVrcFdDaUZiNGEzenZ1ZXpRNHVHVWFXY0xPVUNWaGZqTVByclBEMEQ2QVBHeXBycjdKaFlEUzJkRDl2bllRdDZjNmlacE5RRGxXZldYYkhPMm10MjFtckRSWklRM3lId1BkeEFyTTdvNDN1LXhTeG1CdXBxWnA2QW81d2xKS09u?oc=5", "source": "Moneycontrol.com", "published": "2026-10-28 04:19", "score": 0.0, "label": "Neutral"}, {"symbol": "MARKET", "title": "Jio Platforms becomes 12th Reliance Group company to list on NSE, says CEO Ashishkumar Chauhan", "link": "https://news.google.com/rss/articles/CBMi6gFBVV95cUxQVmpfeVpRbWpoMXJWS3BUZUQtMXRSUXgweXpYTEdsTERjUVNUdWNtbWJTZHFzeDBhNTdvUVpDUVA4b19UMXVjYVpNZ09HbVd1VmhqRlRfeTNrYVp4LXR1YXRGaTI0V1pOdnYyVk0wWmlrd01PazZzQzIxQndjcGdDZlBmYUdfQ3BXSEdzMF9sZExrcXRNV1NFRGFfMGo1MVZ3S0JpU1lXbmNadFc2S0RWV3JOSzVxc1Q3MzAzV25jMTc2WDY0SU5jRkthRy1JVGQwQUNDZWRSWXVMVFBKaVRINXdsUnRKdHVHX2fSAe8BQVVfeXFMT054SUVmc0J6eEdQOWs4NzBLcGRoOExnZkEzTWpwMVFYeDBHZjBnYkJkTDF4WTI1d1UwMWFheFgwQWRJTHJCb3A0dGF0b3l5R01USkMwUmtiUktQWE4wWlluU1dhRDBvbVBfTHpUNFhzZ0gzTEN4WmtXOGVzRlo5U0RBb3g3aGRwNzRQdkdqcEhyOXlYYTc1eWJKQ3d0MS1FbkJxT1FmbUc0NXlId1Q3ZmRKYWtORWRmUlQ4eEpTQjhlbkVhQ2lqRWNQdUhwaHo1UHU4UEd0c0p0bU13aEprR2ZqUEFLdE5takk0RU5fWTQ?oc=5", "source": "Moneycontrol.com", "published": "2026-10-28 04:15", "score": 0.0, "label": "Neutral"}, {"symbol": "MARKET", "title": "Stock Market Down: Sensex takes a 900-point beating despite Jio\u2019s solid debut; 4 triggers spooking D-Stree", "link": "https://news.google.com/rss/articles/CBMimgJBVV95cUxPN3hVTktXNUNKT25YaFFQM052YXZtRFJhT2x1cmVuUlZ0SmZqWEM5VHlmcjJrcG03cFRiZHlmZzdKMjRiT1VOLUdBWFc1Y3V1REpYdzd0N2NXTFBMM0hVRExkZ3JjS2NZX3hObU5PTERMZmJ6VGVKSERCeEl2bmp4aFFYcXZINEplX3FCNGwtMzZxamJ2bzAwcTF4ZmVHa19UeUJPS1NfUW5FWHp6cGM5c2tjRGFoT2NMNXJQQmpHWk1VaUNqZkY3S2R1dlZLbVhpQXgzZUJlc05zdHpHQU85Mm13a1ZQMzZtUHc3WDNBS0tReWtVQmFiVHdWemtzLVFuM1JUN05wbm5fYlNpVjNDNEV0WVdMMGFOV1HSAZ8CQVVfeXFMTlgyVjJwSnZEQURZMTMxWFdXdGdJUHdhVXdxaUR3Q2g0RjVBaG1PazdmQmlfNU13NUVNUEQ4UVoyaWcxX015ZGFiUGdyc29LQzRXanMtODBZbGlVQVFTTV9sRmEzdHA4NFdOUENlU1F2WjkyMloyTWxyNzJvMkZRZU5HZ0xxTVpsOHowaVVYT2RqdGNGeHBMb2xkWUpaM0g4Tm5YaW5qcmRQRHpta0FUVlRvVVJhaEJvcHc3Qnl1WWhxMlQyaEFUTzVFZ3d1cDRBUm02VFpvUzNuWXFQQ3RPdTRVTzVOME5TeFZiUHYtcGFUQ2RPTklPbG9iZXVfek1PcHk4bVNsWmdtXzNIWGtuREtWZF9OLXRpSE1Ra0RLU1k?oc=5", "source": "The Economic Times", "published": "2026-10-28 04:06", "score": -0.534, "label": "Negative"}, {"symbol": "ACUTAAS", "title": "AMI Organics (ACUTAAS) Share Price Touches Fresh 52-Week High of Rs 3,949.50", "link": "https://news.google.com/rss/articles/CBMiiAFBVV95cUxQUlBQZ05UZzh1NmlicUdQTnctWFVPYzRpM0ZlSkFzS1J0dUtybHQ0TTVnYW9VclNiS2RmWGdieUN2dlA2RGRBUWRIUzdBTlFhdXVTdzNyd29LRXJyVmZnSElwVmppOWtfTWZTWGJRMVk5eFppQUZuQThveExwUlVNREVabU56Z2xW?oc=5", "source": "Univest", "published": "2026-10-28 04:02", "score": 0.477, "label": "Positive"}, {"symbol": "MARKET", "title": "28 October, 2026 Stock Market Updates: Sensex down 345 points, Nifty below 22,700, IT shares drag", "link": "https://news.google.com/rss/articles/CBMigAJBVV95cUxPbU9JaC12Nkw0cWw0dF9Zdm9OMFVTVlNvTE5yMl9nZzZNT19vZW9ST0VIc2RydXM2SHNjMTk5cXZUOHFBR3p2b2c0czZCV0tBT01yaDNWbmx2d0JmMWlVVU01REdtb2JBU1F2SzFyNzRCVnpTSWI5ZGRDemJkMEpNZXBDajlpRFRJa0Y3cE42THh3OVlxOVluLUZMc3gxbFN3eDY2cHNTTUNCZnRockZtWG5xbEludEtUa25hNG1vbGJZcWhIejdLUVZuYUFtbVRlajNna3oyazBabVhONVBQR1ZfWjlwYldaZ29kWUtmeWlGN3l5eldiaFlFNHVLWU9v0gGGAkFVX3lxTE1tS3BXQ3ZsQmdiR3pWWW1wVVN4Nk1xSWZLOGNGMm5LMkVDV0tBTW1hMjBic1ZoOXhBbjlqRzlRRHJNdWxnVzVsa29LaHdobGxCZlJZVVFmakplM2sxOFhGVjVtTW9GbEFjRTRCWVRnbkFtQTF5Y3BUTHdCa3dsWnFlTkY5eXp1NUdwSWhENHJXSTIwcWxWNXFPRXRReHRIXzlIMWFaQ2VHZnF6UmtTeXFlX19EX3hJM0VibkZxSlhFVlVrNGRYRmdaQ1d3N3lvRlN0ejJWT0oyVkxqd2hhUHJEaEk3VENRQ09KQWoxUnpWVGM1N180NWt6cFRpOV9IRzRMYVBMQmc?oc=5", "source": "India TV News", "published": "2026-10-28 03:50", "score": 0.202, "label": "Positive"}, {"symbol": "MARKET", "title": "Stock Market Today (October 28): Sensex Crashes Over 900 Points, Nifty Slumps Amid Oil Price Surge; Bloodbath", "link": "https://news.google.com/rss/articles/CBMimgJBVV95cUxNd21PY0J0WWZSV3g3UHltVDBIU1BlbEdFSThGbXFsRUhiNFl3YW1OdXBzaDVYckczY3E4azlsSmJoek03S3pTRjNFVTRaTVdFLWJ5TUd0WkNiZlNMcHEwMEVrZTRZTFJQX0FFVW9qMU4ydmd6ZENkRlpNM1hOOUsxYWFhOTBtb3d5UXBQY29IaFpyWmM2dWtuTFFPOU1LNVZacVUzelVSam5majF0S3hCZ1I5S19XeFZBcm1qWkJsd2RYdDdYR2N5M1pZSkNpRzFDRG02Y1ZuOW1XRk5DWlk1Y0hoODdpZFFGSWlnTF84RUpHMEExUjNxdDZVZW1fVUhOcWUyc1daTExnTDFfVjB4SzVsby0xbFpTNHfSAZ8CQVVfeXFMT1FjTXE2VmZqUEhoeGdIZVVRM0FvcVN0OUN4VTM3T3FjOFZMVjRUNGtCWHVrTndxdDRUS2JkeTc5djhQRWJlSFEwby1tWllZWEFvMWhmY1lQcTJsZjlWb3lxSE5xNjJJS2o2b2RZc3NaS3VJVGMzZTBvb2UwdENJUU1FSEZMeU43STdfTHE0aVN3WjMwNlFqM2I1V29NbV9xVXBkaHNjWVpiNlNMZlBJbUp2RmxiWnJfRmZXb0YtRm5DaVhYREprVkNzdDNQRk5WejZIODhwSHU0WkZVLXpoSGRWQ1lZN3FmTUt6Ym5pT1BaMkJYazl6Q3pUNi01NHlmQ25ZRldyYWpjTHM4YU45ZzJzeU01Wl9YbUxpU25odkU?oc=5", "source": "Times Now", "published": "2026-10-28 03:48", "score": 0.402, "label": "Positive"}, {"symbol": "MARKET", "title": "Jio Platforms Listing: Revisiting the Debut Performance of 10 Major Indian IPOs", "link": "https://news.google.com/rss/articles/CBMipgFBVV95cUxNbHV1cExNaWdWTGxsMnRWVEVVbnROUGZqTHJCUEFEejNUSkdyeF8tVk01MEZZOTJsVXJIOXRCVXFuSTZ3amctV25wTTMyUEpnQnlfX29Gd2tEZG84WW1IMXYxQ3ZhSXd2TXFFb1IxRmx6Q0toYjVISEJ6SjcyQnhqQ0FoUkt6N1NqV296aU5TRzFQbS1ZYktENllKY2NscXVTVGE5YlZB?oc=5", "source": "HDFC Sky", "published": "2026-10-28 03:33", "score": 0.0, "label": "Neutral"}, {"symbol": "MARKET", "title": "GIFT Nifty crashes over 220 pts, signals weak start for Sensex and Nifty despite global rally; US Fed in...", "link": "https://news.google.com/rss/articles/CBMigwJBVV95cUxQODRoS2dkTW5ybk9WdnFlU216MXdvdFdkWXZ1YVlWbFRvcjYyZDFYZG9KanZueFFXazEzQ1ljRURydm9MbWlMNmM1dmY2dHpucnlXOEIzNXdWRVNBc3JCR2FnZkhZMEMwLXlpVS16UmtvNWlKR3BDRFIxb1pIY0NQN3EzNXRlNGc2Vk5yV3EtX01JOG5lUXFmM3doeS15Ml85WWMtZmtlTkFCRjdmU0licG9DUDIyZjFqMzNUUTBjRG9MQV9FVGhlYjZJV0lYQnE1elJCb1RJZFhCN2VUWEpmeURfYTYtdmM3YlVpckdORG13VHMwXzVvUWh5OURiRkFkZWh30gGIAkFVX3lxTE1yUWV2R29fUFY5TGFZWUZLRTRlX3RTQ3R3cHN5dFpxRUVqVFllUDVZMFlQZkd3cXN5MUlCWlpNMl9ZQXJEdFNuRFBfZ0E4OFBSVGtWdGE1VWo2LUNyYVg0ZEN1Y2xZRnBEQnZ4QTNFOGhjVXNCSWlhdUJfc3IwNjR3N1dDdENxbGFMelRSTEJnM1paN1RRY1dMTDBQUEg3XzhXWVU5aFQxemRXZ3ZvZUhjbWg1Q3ZzWkEzZzJkeG9NZTUzWkRVa0FNVlRQX0lIT1ZZQmZtdkItczRDME9tUnlCUU84cnU5QmNVQy1nRi1LeXI5YTVwVDFxZENUYlkzUnI1YmJKRWRXWg?oc=5", "source": "Moneycontrol.com", "published": "2026-10-28 02:47", "score": 0.606, "label": "Positive"}, {"symbol": "LAURUSLABS", "title": "Bharti Airtel, MCX, Laurus Labs look bullish on charts: Chandan Taparia", "link": "https://news.google.com/rss/articles/CBMi6wFBVV95cUxPY0hza1JGN3BpRjJoVWFmMVNNODM2eWYwMy1JRy0xSjFEaXQ1Rm5sRVpKZjRDUl9vQ0N5T1RJQkEzbGxDLU0zSHhrbWpmNDlHZjZzOTQta3ZNcmdrMFJDUnJERVlPbVh6NDhIbE1qTlpGd0pyVEVPZExjMVdaRjRQNE5abGdrMHdIcVBHUlAwR0NzVE1LY0MzRDR3UElya3NDZFBVMTludFdJbVFoVnZkSnIwZkhRbjhuV094QkN4cGRCRjRyWXUySk9KRkJtdFBHbzNuV25reTNzbTFkb0RsNXZiUEozMG9TYmtZ0gHwAUFVX3lxTE1OR25QeDU1ZW8tSjdraHBqNlZuU0xzUHhMTDVjNFp5M1JpY05KejVPNzI5clF2ZlRmaXFMX2FnUzNiaFhkS3hYdWNMSlhxTVZZZXg3TVZ3LWZnc19FUXl3SGs1bU5jNHc5bkcyZkdkdjBIbi1wbGRXcExtdG1qdms2Wkg4dEJ1YU1JRDhxYUVzbVpNM0hsMWFZX1pwaEQteWRfLVFkRFIyQXp4a2dKUEJQSGRYak5uckxublh2M1JxczdmYmZldE1DZ0NaRmVHZTRmN1hPeW1kMDBzQnYxZTAxLUl4UVd0XzI1b2VHUW1YUw?oc=5", "source": "Business Standard", "published": "2026-10-28 02:25", "score": 0.527, "label": "Positive"}, {"symbol": "MARKET", "title": "Stock Market Today: Gift Nifty, Jio IPO Listing To Nasdaq, Kospi Rally; Five Factors For Sensex, Nifty 50 On Oct 28", "link": "https://news.google.com/rss/articles/CBMigwJBVV95cUxOV0NNUHlXN193VWhlcWJONTl4M0taMm1wN0ZUcmRoOXZNZ1dhWkdjWjY5a3U3ZXJzNTlHRlM3NjZuY095QVZITERNU091VFVud1FYQmM1aXRVc1BnQ1NKSzlMNDJtMzFwdUpUenRjLThPZWJIRGxvWnRiYkdxSnlwYUIxS0NRWU9ERnJ4N1FhRGIxSUxWRm5USjRGdGtnWjRTOUtTUzJFVUoxNF9vS0ZtNVdSbm9icFZJRWM5UWp1MndBcmotY3FvNHlxeklhOElDaU5ZWUR0VG96MjVKZUpkSC1ZWW94NWU5d2czcW15OU1sXzljN0UxSTFIeUwxLVp4ZXVV0gGLAkFVX3lxTE1CaEZOVXM2WVpwS2RtSGNma1A2M1ExMklaUXR2eFZnU1RDVmZLV1hjTnFUQkJxNmJiamJPdU96a21udE13bm8xZ3g1LWdIRXhaekJITWJPMlJ4b0ZwM2hCSENsRV9QNjFWUTU5X1RDcjV1aXZHdkNBVkg4em1YalJPSV92SGJNUDdJWFNLWnZfSUNXTDhWSDBMX3FtbXd0aGlzVWVPMlpVbnV4VkJYY0U2RHRSU0doa3l2TktzZWRKdFBoMUtjUU9rWHl1UVlBZ1lyc2VCS2hGdkwxcXFFbERVQndQS2JTOHgtMmJuUEhVYlZSUXRTZGN0bW5NMzFmdVIwMlNzUlcyMkpjaw?oc=5", "source": "NDTV Profit", "published": "2026-10-28 01:54", "score": 0.883, "label": "Positive"}, {"symbol": "MARKET", "title": "Stock market outlook for 28 Oct: Sensex, Nifty prediction - Jio Platforms IPO listing, GIFT Nifty, US and Asian markets", "link": "https://news.google.com/rss/articles/CBMikAJBVV95cUxQbGQxcFFLUDN1THJXOVNaMEsydnpFQWJjQVZRWW9jNGJXczJxZDNpdElrOGx3bFluNFFCWVgyM1RQR0RUWFgwTGFCc3FaLTlBcTVGQ2JDRUNCVll4cFJ0V2pxVGw1TkJaTjZqSjE2VGZHZXdqR19talF2N085OGJBYjF3M1lCaWNlZjFLRGtaNUVBVHpIWi1mNXJaTE9iZVREdTkyQ0djMWNGdGNaZkV0WGlqOS1HTUJUcWRpSDZYTkc0VUVya1JBSEVzLUlibDhZUjJfS0JrdVdWTGJTYWJpTXVWeWRNdU8tSXZHQ25ybmtZQzlhR21mNzl5TlBtbzhNRnJmTFcxN2VWLUdJNEp4Q9IBlgJBVV95cUxONVlXWWJCbVhCZDBjM0ZhUDlEcnBWNVJUdTNGNjJXeXV4NlRpY2lwQlNmVFM5dDlwdVVEejdRX2MyZWFvbG1LLUJ1VGc1Zy1KamlfWHk3SHRiMlAtM0VBUjY2MHIwVzZyR3Jyc3ZMNnkxSTlLTUNHQ3hRNHdJRi00UEZ5TDNrS2p4UGVxUFhyX19RLUZSOXd1c2NzSm5LczdpRkY1UnFzRks3cjdBX2NWVXhVSkZoaXNfOGxvMXQwX3p3VVN2M2tVZTZmRDIyZ1FvN0tfTWF4LUt1ZXI2RTZkTGY1Zndpdkw2Y3djeUdNT2pwOU44Q1JXWHM0UkV0bEdTVWpaVTZ3SXA0SzZSTnYtWjBLMUxldw?oc=5", "source": "Livemint", "published": "2026-10-28 01:45", "score": 0.842, "label": "Positive"}, {"symbol": "MARKET", "title": "Sensex, Nifty Today: GIFT Nifty signals weak start as Brent Crude continues over $115/bbl", "link": "https://news.google.com/rss/articles/CBMizwFBVV95cUxObjBpUzNFd25jMzZNSndqUjJ0LV9RNDVQWkZaVFBKenhPRTg4OW5OTk5EWmVZOGwtMGtRQTFHYnljU283ZUtZeWlMU3RSZk5SZXBRajUwOU84cUg5OHU2TXlWVDNqQ2s4WWhnNkJ3T21JTVBoYjN3US1ha3BKYWhOWnRONW82a0lPVTZ2SW85Rmx1OU5qaEJSUWFCTlhrWnIwbmRsRzFvZjY5VnFpbzIxZk9IUXFKblM4M2pVVEJ2UjI0X09aY1ZXcl9FUXBmR3fSAdYBQVVfeXFMUHA2MEw5RC1kWVgtWS13RkxSU1N4a19xbWdkaF9nTkxKWllpYjVmNmJWajhpXzVtVG9KUVBkLUNnNVZGOExHaFZZSmNMSzNjR2NfRFh5RWJoVWh5eEdITG1jdld0aHRCb082dF9NOTN0dG95enEzUDBLZmNwZzhEMlM3dUUzRWlXNGJPTVpHalh4Z1dBTmZjWlRXZlVCeVV3OWJhVGVrdTJPTER1c2tQUzNpSm5TWk9rckxEYTRKcWt0SzlwNlRzNzlWd2lFOVNMb2RBcG5yQQ?oc=5", "source": "The Financial Express", "published": "2026-10-28 01:45", "score": 0.408, "label": "Positive"}, {"symbol": "ATHERENERG", "title": "Ather Energy Ltd (NSE:ATHERENERG) (Q2 2027) Earnings Call Highlights: First-Ever Positive PAT ...", "link": "https://news.google.com/rss/articles/CBMinAFBVV95cUxOQV9MUFZMYjZpeHJPdWNZakczN2t4YXBFRGpoNV9meXNZVGxLby0yLWdpdkJ4N2t5c0JuRlNxMF9lNlRJb3RLWkpuSzNwX2ZqQ3J2Y1RoZ0RqdW1nY2diWXRrNkF</t>
        </is>
      </c>
    </row>
    <row r="4">
      <c r="A4" t="inlineStr">
        <is>
          <t>0S01pYm80TUFtM2lLd3Y0UTZfUmFrdVA4NWYxWHAxeXdBaUc3SGJtZTBjUGdHRGJTMHU1RVktNmQ?oc=5", "source": "Yahoo Finance", "published": "2026-10-28 01:06", "score": 0.691, "label": "Positive"}, {"symbol": "ATHERENERG", "title": "ATHER ENERGY LIMITED Share Price - Live NSE: ATHERENERG Stock Price &amp; Chart", "link": "https://news.google.com/rss/articles/CBMia0FVX3lxTFBBbmFLRldTRHpDM1JfX1ViYy15cGtDRHlKUnJCWmMyV2JRaU96UHIxYmh1Ui1DbmZaRVdsQWY3UHppNnZQNTl3em9zZk9aT0VSd0U1SHV6bTBIN1hMMlFlMUNIZlQxYTcyV2xB?oc=5", "source": "Upstox", "published": "2026-10-27 20:33", "score": 0.052, "label": "Neutral"}, {"symbol": "LAURUSLABS", "title": "Laurus Labs among dividend names in focus this season", "link": "https://news.google.com/rss/articles/CBMixAFBVV95cUxOdlkxQmUtVkxyRDN1NXZOTnNFLWo0RktDVDVRdno3aDVHbWhtQW1XSGZkYWNQN3JvV0lmZEF1LUJOSVZPNkY3SVVjalhRNEpJSlplQ25ERnMwNk11c2dMT3k3ZVNORWUyNk5wekM2MDJOYTNPQ2h1ZmcyWVNVeFh3eUl5Q3FfcDR4T3FaWDY1Y1l4TlJaU1R3Y2JFOEpLUmhBNVMyT1ZiQVoyY2hpRTV6TlBZdVNUSjJwR2cyTDZnLU5pT01U?oc=5", "source": "Kalkine India", "published": "2026-10-27 18:21", "score": 0.296, "label": "Positive"}, {"symbol": "ACUTAAS", "title": "Acutaas Chemicals - PVR Inox among stocks that hit 52-week highs and rallied up to 20% in a month", "link": "https://news.google.com/rss/articles/CBMi-gFBVV95cUxPRkgtY1IxVGpfV29XQm02S0N2Y0pHMmVkUTUxbzU2QWR4Y1cteTVGeEVhOER4bzQ1SEF6cWhWclhZMjdQVnBXR0pza21XTVljVTNnRUhHOVBxb1dCaFVlODY5X1FlYzJ6VjBMSFFoM2N1MEFDNzc0cUN1R2pmanJfZFprdTltMDM1UWo3SWpYQjdIUVc1c180cGg5UEpTeFBERlJidzRwenVNS3huY215VF92RmRNN19ibHJSeVhialp0YnowbDJOQTMybjRnVjRsUWNYZXIwRzUyUVhKUjlTSWNjNXNaNUdxb3dYSjc3bUktaFZPX3hNeVRB?oc=5", "source": "The Economic Times", "published": "2026-10-27 13:49", "score": -0.153, "label": "Neutral"}, {"symbol": "ACUTAAS", "title": "Acutaas Q2 FY27 slides: revenue surges 43%, margins hit 40% By Investing.com", "link": "https://news.google.com/rss/articles/CBMitwFBVV95cUxNb1JiSks1MWQ0QkZhVExTS09SdWpoM3M3MkttUVJ2RFNPdHJfMG55RDRFcWs4Q1Q5UUQ4TG5SOVdDY0htUmUwNWVKNzJVTTl3Y01FYVppVW4tUDJlWUpudVQ4eHJFbV9JZG5GUWllRjBOM3dPTTZXZkxIWEMtcFZuWWExTGlPV2pwbGNpMThtU2xxSjhYeUo2dC1ZNTlaOFE2T01DM2pRWjFSNmUzVDdtcnBScDVpS1k?oc=5", "source": "Investing.com India", "published": "2026-10-27 12:32", "score": 0.382, "label": "Positive"}, {"symbol": "MARKET", "title": "Stock market today: Sensex, Nifty flat as smallcaps rally and IT stocks fall", "link": "https://news.google.com/rss/articles/CBMi0AFBVV95cUxPWGZBRmlDeUJ2YWlaNjVHQXo2RnRkS2R3VlRrdEVNd0t2Ymg0Ri1qQi15dEI2NFdhYkRKSkVBejd6SzJZSS1FejBQcWNaNmY5UC1ZcUVqZ0U4djcxNk9BWHZmeEFQRjNrT2dmZEI5bkUxUlNMbk9HTk9Uam9zRGlDclI4bmNVOFNYMS0xQ2tQUm5SYjdvb2Vmb3NsaDFzcExOeWlRT3p0M05jbnk3VDlqQ0ZKaExWN09RdGp0ZVZUQVc2X0VxYVlKNjVZZDRlbWVv0gHXAUFVX3lxTE5GZHRLX2Y0cVZ4eUM3TUUtZ0dEMTd3Ml9senV2YWFkTmVXX3RndG5vZzRFN2xJNmZidi16ZHhVTllyLTJzcUExcWp5SDJJVXJnRUtpOF92WWNXMkNnN0ljVURlbVhwcENBZmFhYXBGNTRyazhwZ09FMURzd2dRSDI5dXZyTW1PYWlfa0FZV1RTRkRQQ3lfSFVFT3ZGSTZvMnVtS2VQck9yYTFxbmlfX2pOeUtEN0xybDBKeE9CU3A2T1RzVFNVNUM0dk8wanVnZHUwWGEwMTRV?oc=5", "source": "BusinessLine", "published": "2026-10-27 12:05", "score": 0.511, "label": "Positive"}, {"symbol": "ACUTAAS", "title": "Acutaas Chemicals Shares Jump 13% on 71% Q2 Profit Rise", "link": "https://news.google.com/rss/articles/CBMi2gFBVV95cUxOTUNleDZOV2xhaGc5dGw0blZrZlJpZUdzNkotZm5NXzdpN1Z5VVliMHYtblFjMGs0NENYZEx4YzNXWjVneTZNeXczc3oxZTJYRjZHRmpheXdCYWhyZFVyNS1tdUNVbHV1OS12eVNPSTA3LWZsdkNvZDcyR0tFOHd1d0xuWVhXazFQVDhpTjZlNDM4SmExbXdrLU1aZGh3X3ZZa202YW5yTjVVcTg2QXdyOGNXZ2tBYTdxT0hrZ3dHaXV6NGsxZTU2NnVWUTBfUkllWWdyUnRPZE5Pdw?oc=5", "source": "Univest", "published": "2026-10-27 11:41", "score": 0.637, "label": "Positive"}, {"symbol": "ACUTAAS", "title": "Acutaas Chemicals Limited reports Q2 &amp; H1 FY27 Results", "link": "https://news.google.com/rss/articles/CBMilwFBVV95cUxQUDZ3NVA0bnJIOEJLRTBoNjQ4ZTV4RkJxYzJwRzluYnN4emxHdE15NWZlbENiY0JfbzA5NElna1BERnk3UnF1MHk0RnVfY1Q0OUVXT29iYm9EVmxKN1k5d0dRMHd6M1M3TEZSNWpTNFRBSTlEV1M3UGdfNXVHMVhNOUthcFMzYjlEcU5UQUEycldMd1JTeFpN?oc=5", "source": "EquityBulls", "published": "2026-10-27 11:36", "score": -0.226, "label": "Negative"}, {"symbol": "MARKET", "title": "Stock Market Highlights: Sensex, Nifty 50 End Flat On F&amp;O Expiry Day; Asian Paints, Coal India, Grasim Top Drags", "link": "https://news.google.com/rss/articles/CBMi0gFBVV95cUxOTkxWdW4yQXdPNm12MEU0dmYwN29LYl9tMjV3Zml3WmhvNXdpU3doc2h2bWEwcEE3cElFRkVIZUJjeTdTdXl3OWxZZ1luUG84LU9vbGRsVWNldnhPNWFWT2RTRUJMNUxaV3ZmWmxXQ2tHelJHMm5UdjFCSFpRNzlVYjcyR19ZZ3ZicVhrZVFITzAtQUZXaFRpZlBaOUpHOXhhelhURW1qUmhhbEJfREFOQ0hnSUJ4V3RHVHlTMHZwV1c0d2dHSm5UV0pseFJCMkJjaVHSAdoBQVVfeXFMTmx6S1hjeHJac2pGQjRHc0ZwMWw3c0R1Z3o0Sm5paS1VMG1ILW5ieWNnN3dXVUhwZFFVSm1YUmdTYURLdDdVUEpTSm1vaFJVSGQ3MEdqb3VOVUdVVHJGNGhSb3JRM2pwWm02aUEtd3oyN1ZUVG1XVC1iam1zTjlLY3VJa1BHeUNYc3V5NXFTOW5aVmRSOGI4WUNQdmxpT1hzcUFjMk5lQWlrd2lyZmZxLVNDMUtHbFVqNjEzR2Z0V3VRREJFcm9uRzl1WHB2cklZeXN1VU5FY29tUXc?oc=5", "source": "NDTV Profit", "published": "2026-10-27 11:36", "score": 0.273, "label": "Positive"}, {"symbol": "MARKET", "title": "Sensex, Nifty End Flat as Oil, Fed Jitters Cap Upside", "link": "https://news.google.com/rss/articles/CBMiuAFBVV95cUxQNmV5cmNlY2hydnc0SVZGcWdIVGZxWEhyUWU3QlE1M05YNUpMeWw3R0Q3Z2JWdUo3d2tSZHdjR1RRV1FQVlZOLURJTzBEOVJydkFXREtsUmpkeHFIemJOMW96Z3c1MElNVzlLdzVlcVEzX1N1OEhvTW10NFdOZkJUUm14RzU4Y2ZEOXAwWHZzY0lGbEpsY2FDWFZKZUZlZ0JDamZKRzJYcld5ejdHU0RDS2VnaS1iTmR2?oc=5", "source": "HDFC Sky", "published": "2026-10-27 11:30", "score": 0.67, "label": "Positive"}, {"symbol": "MARKET", "title": "Share Market Today: Nifty 50, Bank Nifty | Oct 27, 2026", "link": "https://news.google.com/rss/articles/CBMi5AFBVV95cUxOc2VwSFZ0a2liREdUT2hxM0Y5UWdEVlNUdTE3RXN5SjVxcDdRN0dJUWsyNVBNMWFzemI0MzROMzUzYkM4M3J2RHJVY1I3OXgtRmVMSUVQd0ItUEhtRW1OU0xhSmI2WGtuem9PWmFtandjYmhyVkxSQWEtZTlSdXh3ZjNCUUxocGlNV3V0dVFoOU9Zb21OejhpSGxyYXdYRU1FRWpjTy1rUWR6Vm1fYWJJYUItNy1MellJV3F5ZFdTakVvNENJOXpReGVjYzZxeEJvZWh6UmVUaVp5b0xjZWFacG1yTjA?oc=5", "source": "Liquide Blog", "published": "2026-10-27 11:16", "score": 0.66, "label": "Positive"}, {"symbol": "MARKET", "title": "Sensex, Nifty end flat as pharma, realty stocks shine", "link": "https://news.google.com/rss/articles/CBMigwFBVV95cUxQSTZFTVlCQUxhUFBuSFltNS1VNFZFQTlPMU8xdU81cWc1RW5lU3dfRkdNYWhuZkNWQm53b1R5b1dxakVyN2tRYnRaQW9JRmJBQXFtU0o0WFVadVNMeGpvZFB4VnVPSFhtTVRtVGphU0NHRFY1WWxTVl9BbUR3YlI2TjhFOA?oc=5", "source": "DD News", "published": "2026-10-27 10:59", "score": 0.402, "label": "Positive"}, {"symbol": "MARKET", "title": "Indian Stocks Flat Amid High Oil, Bank Sell-off, Fed Caution", "link": "https://news.google.com/rss/articles/CBMirwFBVV95cUxPaE94ZzJ5dnQxdWVKWG1pRDVyUGRja0JfdEdSdXBnMzNLTjl1Q0ZhRUNfMDNmTWhRamdJQTJUZzNBdWNSWG5TYVp4OUQ3Z0p2bEpTTk9kZUVJY0thSk9IM19qSy1DVkNxOFR6SFphTEkxWHRuLVl1T1hVd1BDUnB1MFpaZ056anFvZDZhSWFDMUJ1V2czT3dNbnp0eU56MkMyYUtBMnZFQkxyVVN5OTBj0gG0AUFVX3lxTE9sdGR4dWFjdV8xTHpMMTFyeERSZEVjNWNBOFpNWW9DNkN2M0pnYkc0T08tVlFIQ1V2cnlrbmF6OGZwSnp2TDdsZmY5dTVadTNHdFRHdEs2cUpBQlRieFFud1hRS0daLUNzMTRrRUFfLVhXT2tFV1JVQ2t0VDJXQm1QZmFsWWZZMko5eHpBODE1V3dZVENIb3ZYMWk5aHU1b1QyUkd1ek13VkNOSS0zbHRzcmpycQ?oc=5", "source": "Rediff MoneyWiz", "published": "2026-10-27 10:43", "score": 0.202, "label": "Positive"}, {"symbol": "MARKET", "title": "Sensex, Nifty end flat as high crude and Fed caution offset sectoral gains", "link": "https://news.google.com/rss/articles/CBMi0AFBVV95cUxNSE5fd2R2dlZMSHNPUEg2cnQ3WktSX1BzbUVuWnE5aVNkdlZjSzN5NkVXZzZHUE1MUldtRFdCRXYyX2l2WFo3allFekdTSW91VEl4RFVoWG1mZ2wxOHk0YmhNRXo0dmZfNkdUZUt0VGVGNmhsMkN1d0lCaGxDS2VSTFh0WGpmS2dHSVpfMWUycTZTVTZ4bjktU05VQ0FDOFZHVlBoNzhzUFYyNU9YSFZVUUM1WFg2VC1yMHFCZmJyMEZwWW9pNzNDWlZjSHNjQTRS0gHWAUFVX3lxTE44RkJWdG9HajgtbVZVSjlnQ1hPdF85akRSWF9BZTBpeGMzeXlNTDMwRXFpYk9QLVdfRlFMZ0xPYUI0MGpHZnVfWmZLdTJrNlVzeGpLOWdSOVNjV25EVVRBLTdqNTl4NXlGQzlucThWbWVyU1hxVGFNQ3M3bkthSnJYSTIwVW9TcEJsanhyV0lDNldtd3NmbE8wU0taeHpVUkM3RVBLQTZkYzkzMXB3dVdaSS1oMF9ndE1ZcUhXMHBiT2JjbkhyckJwQzdjZnIzLTJSelB4cUE?oc=5", "source": "India Today", "published": "2026-10-27 10:37", "score": 0.34, "label": "Positive"}, {"symbol": "MARKET", "title": "Why stock market ended mixed today: Sensex, Nifty flat as Midcap Index gains 565 points", "link": "https://news.google.com/rss/articles/CBMivgFBVV95cUxPWXUzSV8xY1IwQmZCLVJRSWl5b29heE8zSWE0dUExaUFsR1pBaGNacFVaZVc5OXUzbFdwajRYMVBFZ2tad0IwWDVrMnEzeExrWktpMHRvWFlENnFybERmSlhLVzZsa1laa3k1Yll2aUVXbC13THhFOUhIV0NIX2pwcTVOSml5ckZJRjhIY3JlTVgxenlXR1owRmdGdDZkSnZSM0w1SDY0dGVGTHRzUDRjYTRfbjhqT2Zrek1HOEdB?oc=5", "source": "IndiaIPO", "published": "2026-10-27 10:35", "score": 0.649, "label": "Positive"}, {"symbol": "MARKET", "title": "Taking Stock: Sensex, Nifty end flat amid F&amp;O expiry volatility; Fed decision in focus", "link": "https://news.google.com/rss/articles/CBMi4gFBVV95cUxOVDVaQWF1NThNeUhRc0VFTnB2b05IQ2FnNWxIcXRJQzBpdFZpUE5xcG9Fcl9nUHYyZFg1bWJia3VlMnlnUUtVYjhKQllaZVBGNU14c25FV2pOU1RxWkRtWDM3Tk9jVjZCaUMyM1AxanFfcjlrM25yZDhvdE1ld1VaZXRVX1FaU1RFbVhrUjNxa2V5RzRwbzFHQnRuLVlEX3UyOENmd3JyV3ZWMTRhcHk3Rmx0RkVpNGo3WkN4RkI5THVuMkFNc3dfdVJDQ1c3YzhNbklGbC1GNjZvSXZHbE9OVW930gHnAUFVX3lxTE8xa210QkM3Z3hZT2ZmNm5BNTYxeGY5Z2NvaWJJeXphNld1NVhNS21JbFhsNXk5VTA0cDl0dnVfVV9CS0RyRzRIWGt5VFp5VWhyVVJLU0VMbl9DRElidk5sRWRQQW1MU19BeVBvalEwMDBjWGRhQzVHOXFMR0RTSTRlTndjM3VSUWJWbU1XVjZjdVBGaHJST0NrYlRWcklYNVNjMDVyVWgzb2syRC1WeEJvVDBNRVl0Z3ZFS3p2ZkprR2VoZ2o5YWdWWDBsb2x6ZC1lLTRjZ0FmT01JMU5xdFpoYXc4eEJybw?oc=5", "source": "Moneycontrol.com", "published": "2026-10-27 10:18", "score": 0.402, "label": "Positive"}, {"symbol": "MARKET", "title": "Stock market closing: Sensex, Nifty ends flat; Financial services biggest drag- Check top gainers and losers", "link": "https://news.google.com/rss/articles/CBMiyAFBVV95cUxNTnVicGVBYWdyRzFsWDhFWUEta25XYkdYeU9BUjgzX1BTckFUQkVmMHdSMXRmdWpuY0hHaDVTWW12S1lsZHFRUEZic1EwaUhvRXBoSGRweHZJMUdxRWhPMFl1bWtGOUxCb1UwMlNCVklnbmRuQXdMOTZSdmhSa0tDWUJVaDh3bk8zT0s4b0F2eW5EdHJtcF9aaXN3WDVWMV95UnhYdm9fR2JhWjFURG5fSDhuQkVNZjNFeGN4LXFZZ3Npb21aYlVWaNIBzgFBVV95cUxNSzlySjZEbkRFaU9SNW01TFkyemhFdHVBWDVHeUFHcTd2MGdCb2tZaFl4emxSaS1jbTRRaW5lOEcxUjlLdTFuRkJ4eEdqWm5uWTJBeWNVaWJMajhvS2gxZFh4OHhVbEoyS3gzWmpPQ3hyNGNuNWtkT1d4b09vNk1aNWVLRzZpZ3cwTEdrbWNhdHpxTmxuZlc5VklteERFeWhzUnNtZEZ0Q2YwQkhKNlBhcVhlNmpSZl9yeGJpVjFrUC15U1o2Y001QkpWR0EyUQ?oc=5", "source": "ET Now", "published": "2026-10-27 10:16", "score": -0.202, "label": "Negative"}, {"symbol": "LAURUSLABS", "title": "Laurus Labs rallies 4% for 2nd straight day; stock hits new high", "link": "https://news.google.com/rss/articles/CBMiyAFBVV95cUxPVlVZVElJT3lFZTdGNUlMbTFoN0p4REMzOGFHaE43SGFtN1dfZ1pyR01SN2ZLNTNCUEF6TW1zS3YwT016R0RCVTRXZUNYQUNYSW12Y1cwU2FCT2FnbGNEOVA4aTJZd3NiN0tuRG9RV2VmR3BOTWtvTmVyVnlJd3VPc3B4OHBMSjdSTDNqOG1yZWpWY2NQSWxDcDhyT2JGdmZLVEhLV2JSOXJsSXFVNFhQZ3h2ZEFmVlNYUGJQbUhERDI1TVc4MERKbdIBzgFBVV95cUxQYlZEQ3pWVk16Nkdwdm0wYThqLXBuODFNaDV6R3lwcVZxdjU0LVdxSkl0ZjVseW1XOU1lWDFZdTN0bHh2dzg5YW9fd05hZHRzc2RXZG84UHRCQm91NWlrMjUwSUgybldvdUNwbTE0b2NkTEVKWHVKeWlQQWdOVzl2bDhFYjhVSGltNlBJekJfNWNHVW1EN3FycnpabDZpSlQtaEN5cDM4RmJETHJPa19qM1JDbDNWZmMxZzAzN3pYLWQ3SkNrTWZwbmJtdHQ0UQ?oc=5", "source": "Business Standard", "published": "2026-10-27 09:38", "score": 0.625, "label": "Positive"}, {"symbol": "MARKET", "title": "Is India's Stock Market Heading For Its Worst Year Since 2008 Crisis?", "link": "https://news.google.com/rss/articles/CBMivwFBVV95cUxQaUVuSEo2MFlJdEl2TzJpb0FDR3QxUzQ2TnJaWVk3V09oMW8zV0w0S0NtZDRzUnZiN2RIRGQ3aElmeG5YelB5MVF3MElkYmFJQV9RX0ZMR2FsSUJzdDcydkVZeS1zZUJTSDZtYTdfTGI4cm1ES0JRTjFkd080YS1JbHNzOUFYQ2pwYjE1SEE5MkY3TXBLSE04d1BnOFZ0S3dnR1I0cjI3Yi0wUWxzSWxfZ19ydnNESlJIS0s1NFpVUdIBxwFBVV95cUxNOHRRcjNnTjFKcHlkWFI0eXBXZ2R3QmhQcGZzRXQ2OTVqdE1ZWlZrdGNBTEFlMzJtdlpJMTVPdFJpZ3pDaVRYd0Myd1FraUwtV1d5X29zM1pGNGJ1dVZ5OF82US1rRGRyMGR0UEFrb0RBQVFRRHNUR054UVdKYUJBTHhmYjhjWkVXZ1l3LWRtaWRPNTRDNXJacHpoNTYxN0Fxb3NnNHR0MzkxMmpibGdKY0hkeWh1UHNRUmZNUXdtWFdMT2hJVGhr?oc=5", "source": "NDTV", "published": "2026-10-27 08:56", "score": -0.848, "label": "Negative"}, {"symbol": "ACUTAAS", "title": "Acutaas Chemicals rallies 13%; hits record high on strong Q2 results", "link": "https://news.google.com/rss/articles/CBMizgFBVV95cUxNdXZYMVZYMnBNM1NZb2ZFTXVDOWY4d2Q3cmduREdRQ0Q0M2NQaFZKLUhXMWpXemo4T3plNkNpZi1mU2t5LUNzR1NwT0JrRnRMRmw2UW44eHAwLWlKSTZIcFFVYUVvN0NydGRxYUNSc2JETFYzWURhMmduSVFZQXJET1hncUF6akp1cFUtTTg5Ti02cmFmREltLW9nQVhmbnNlQW5DRjUwVTJyUDJwTG1sUXZiUmFPbnRIU2RVaWJiTG5abnIxRklsM29PeExsd9IB0wFBVV95cUxOM1pfWWdQVFpXTWZNLUZIdGtyZk5vWTI3NV9qTGZ6WkY5M2h3UUFmOWpNcHJSc1piNU1Mc1JKeEtxank5TVljYnduNlRRbVhwVDg1WlhLcURjOFJib0tzNTJhVktNTmVVRlRXbEZMNS1UaEJFdk1tV2dnS1gxVUg4UG1Lc0ZGV1c2ck5PRHhObmRuY21hQlZWT001YmQ2Yk51NVFKdDk0SUFZcURjLVJJaHpUQWJNak03ZzdjR1lBMzZnWWE3bEEzNmZUMExnSDFhVjNF?oc=5", "source": "Business Standard", "published": "2026-10-27 08:39", "score": 0.807, "label": "Positive"}, {"symbol": "ATHERENERG", "title": "Ather Energy (NSE:ATHERENERG) IPO Fund Use and Factory 3.0 Timeline", "link": "https://news.google.com/rss/articles/CBMi2gFBVV95cUxNWnc3WTlnUHR6SE1lczUxQnJBeVVCY3VvZjlmaF81czNtT3RkVlQ5MHE4Yl9ZeVI2c2RmWEo4OF9CRG9XWlJDcWt4X0xsTTBEUE0xSUtWc3lPV1U3d2tIYkVCZzRXWjRSU1JVbzRsdXBnSW0tNEpESTJkcVQwYUtBWHc0NnNNakY1NlRqcjQ5ZDBRellTQmQ3UW5odVVaMGo5c09TZkhNSWlmcjU3R2o3S1dGalhRTGx0b3dfWVRqeW1OU3kxOXR0T09CdWxrY25IcmViS1FNWGxpdw?oc=5", "source": "Kalkine India", "published": "2026-10-27 07:37", "score": 0.273, "label": "Positive"}, {"symbol": "ACUTAAS", "title": "Acutaas Chemicals Q2 Results: Net Profit Jumps 73% YoY To Rs 125 Crore, Stock Hits All-Time High", "link": "https://news.google.com/rss/articles/CBMihgJBVV95cUxPX0pPd0U2TEdEbWRia2JMdmZDZklHMmRzcE1BT1p0SlBnWl9CT2NDRWZseFowN1M4MVpHNTcxWldjY2dscEZjSmVxVGNKcllmS0d4YUJMSEJQM3ZRdDRiejhGcmh0eFFZOTFRcXNBOTdXdXdqREJQVjh2bFlMN2g5TXlBS2JQYmlvcWpRcE1VdlJHSmVRaHZoNnJ2Y2hScFNyRDlsTThfTlM1NWVRNDNYY2k1RWJUT1gzNWpjVEpMSXdWQ2hoRjlHRTZwYU4tcGR4NGlrbGZya3kzeDcwdTVCSkZjTVRqZnJ2eDhpdURSNS1yYTZoX2ptSEcyQ28xTGFkYUR5N0pB0gGOAkFVX3lxTE9zSF80X0hRU2djcm8xTVFiRTJ6RkpVSVNNWXByTllORHFZeWUzRGxSLUFhNXE0OEFjZksyQkZNTUx1ZXdDVXZMYzU4Y2d2OHZHdGM4a2JuNnNEVkVZd0Y0dGdDaFZOLTVnSXNmUFQwY3JqRVJGX0x5QnBObUFWY3g4bng0TF9qdDI1d1Eya01OdXVlWERHMzA1ZWFVSUt2c1VKc3VZOC1SMVRoMDhMTTFlcllFRFJ4MlQ5dUlfZkxYTGNydGFSQi04QjF1SUNvV282VGxpbXFLMXgzb0M4dklQRDZ2WjZoa0MtSzVpVU1KRGYzZGNUUE9JYlY0ZDcySmhmMl85azdUUHRKMnlJUQ?oc=5", "source": "NDTV Profit", "published": "2026-10-27 07:31", "score": 0.681, "label": "Positive"}, {"symbol": "MARKET", "title": "Indian Stock Markets Fall Amid High Crude Oil, IT Selling", "link": "https://news.google.com/rss/articles/CBMirAFBVV95cUxObW53cEVTY0FaWWVSb1VGcTlGSFE2c05SaTFxTGtaU2ZTNk4yaWw0YVZ2MHZTM3o4aHlDWEJXaGl2VXlmV2ZSUHhEQVNzc3BBUjg2NzBackZSWjczMWppQ1hqUUhJd0ZoU3pGSkVQMjBkWWdRaXVadVl1eDZ5aWpDRWJmeFNUZkZFdVM5a0RsRVh0bXhtX1ZPMjI5dUJSbU5KeE5vQWtOOVdpWFVR0gGyAUFVX3lxTE9wdFNDQkMtdkp2NEZnT3VJelQwUUQ0Qm1Bblk3azVwWERkeWpRdzlMVXZ2RUI1VUJQbzRxQnhucUlMNUJlS1RCQ2E3ekIzWHV0dUlyM19Vb2EwaVFRNWlvWFJNZ3dwWDEtVXZEbUlORmMxbXFpaGstQWItWkQtM0t4Ry15ZjNSMnBoRlRRSEFVd25zQThodDBfUEx6UFE0MHlEUVFmYUZHeHlONTdSdVFQa0E?oc=5", "source": "Rediff MoneyWiz", "published": "2026-10-27 04:41", "score": -0.649, "label": "Negative"}, {"symbol": "MARKET", "title": "Stock market outlook today, 27 Oct: Sensex, Nifty prediction - DJIA, S&amp;P, NASDAQ, GIFT Nifty, Kospi, Nikkei, Taiwan cues", "link": "https://news.google.com/rss/articles/CBMiggJBVV95cUxQUVVnVFprN1pwVWtldGFwam9RN2lqcVZPdDRPb3R0Tk84UmlicnBGWHlqanhVZ3JRRTFPcTliOE8xTkg0SkVqRFplanRfTHdDUXdpa3o3NGt3TmRIRHZ2NzZlU20zWHpTY1gtdGVuU1JEeXNvSU91M2QxUTJNMXNUVTczZWdKN0ZkSDBvUG9nOUE0X01GV3FjYU1ocDJuS1FzVW5lZ29DTG5wWEZPUS0yTWJyZGt4UVBLckowTTdtMXd5OGZFN2YwMGotelU3X0ZFRXNkalpydUtzN3lMamN2eWxoN2JYelhLY0V5dG1GeWppeFRNWjVzaTlMUlFsOGNqY1HSAYcCQVVfeXFMTnQ1TGxaT2xKNGpmMUw4dVpEeV84S19hclJFOGpRT1Q5V3BFSXFYZXR5YWZjYTdZSndVbFFZRUdSVldRekxQcVIwV3MyN1pxb24wTnFPZXQ1UmltTF8xSm9NeVhuc3JfTXZQeEpCVy1GbUNRbWI3M2NHTkhqYk03bXVLOGpVZ3g1Y3pMeE9oUkREWEhlZzNVZ3pNOVNlcGtfeG85UUk5M3A2SEVpR0Y1VWdlX2hreTlRV1p6VnVXSjNMUnZWYVhmSnh6T20tdDNKbUUyaHNhWS1tQVU2YXpBOGlTN3Y1QkVhRVQzWFJ4VU0tUHdfaWI5ekE1UnBZU09HdEs0bW1CTFE?oc=5", "source": "Livemint", "published": "2026-10-27 01:30", "score": 0.842, "label": "Positive"}, {"symbol": "E2E", "title": "E2E Networks Q2FY27 Results: Revenue surges 411% YoY to \u20b92,238 Mn", "link": "https://news.google.com/rss/articles/CBMitwFBVV95cUxNdG5IenQtd3FqZmQyalVrbnVfVFBLTGRMdUpDOHFqZVhZbmQ4Rzc0NkRBUXJQUzR0TUY3SmJ0WmZTMHpzOENBMzZRVzRMNDBsV0V5WV9GcUFZTEk1WDhoaGVKOUU0VDA0b3pMeEs3dFIwVGtJTEVjZG12bm8tUnhDZDJlc3ZQSklSRTFBUWxDQlVzZjRDcktIeWgybGl1MVlHRUtkUWxQVDBBcmNaajhveEJfSjZxOW8?oc=5", "source": "scanx.trade", "published": "2026-10-26 23:33", "score": 0.494, "label": "Positive"}, {"symbol": "MARKET", "title": "Indian Stock Market Crash: Sensex Falls 5,035 Pts, Nifty Drops 1,453 Pts From Peak; Can Budget Revive Bulls?", "link": "https://news.google.com/rss/articles/CBMi3gFBVV95cUxNaTRicEdpc2xjWnRrZGlDQmVHYUhyYlk5bE5VeU9FSWtwWEQ2MzFWMGtmeDJ3NFo2R0dEX3cwblVQemxEWFp0U3dwalVQTnFWOGlWb08zbGNVSlYyQzUtM244eWJPeGFXTHZMMm9RdVlHaTJqb0NJeFNiekM0TmxJbnhRSl82YWFUNlpyaWR0Q0NsMEVkb05jQXVOQTI1Vlpmb1FCZzVrcjcybUpJX1NON3dMRUVDbE9jV2FHQXd1OU1FRll5Rm40NVpkYmdlZTVpUFZ1b2dEb1VXU3FKaWc?oc=5", "source": "Goodreturns", "published": "2026-10-26 21:36", "score": -0.318, "label": "Negative"}, {"symbol": "E2E", "title": "E2E Networks plans 5.4 MW NVIDIA Blackwell expansion of India\u2019s AI Factory", "link": "https://news.google.com/rss/articles/CBMitAFBVV95cUxQU3dtUGJPa0pwTFhHeTkxNFhKWWlnbTFtcVRiMjYyN1NlZ1laMTZhSlZBV0NBLUpKakMxTzlZT05CNHE0dnBFaUV3cU1rSF9iUGQyOElBN0tZTnZpVnhjUGlzeDZ1R2RhWnN5X2ZwM2dzbGdOblBOYXVNU09wUk1JRDE4eXhxZVpTSnJpd2ZOem5YM3lrTUp1MGtuLS1lUjVqWDVlenZZOFYwU3NEQUVBR2xYb0I?oc=5", "source": "EquityBulls", "published": "2026-10-26 17:45", "score": 0.361, "label": "Positive"}, {"symbol": "ATHERENERG", "title": "Ather Energy (NSE:ATHERENERG) Registrations Up 60%, Factory 3.0 on Track", "link": "https://news.google.com/rss/articles/CBMi7gFBVV95cUxNMU5FX0UzTWpiREVyN3EwaXhrRnhINWtxVWdIaEc5bER3YzdxcWxYUjhQMy1NSEg1czRRaVJ2Rm1HYmhHWC10SU5RLXVWdGdteHoyUlhtcHNSTnVFSG85a05IZTZlYWtwSkREd1htX0VteFFtQ3NxSVRuUGtDSE0xS2FLRDBhOHNBWXJqcTBiYnd1amZtX2ZfbGt1RFd3ZHdWNFdYV3Y1NGpIYldKOTl4a3VGbjNYWmNSSTV4WS04LU1RTWVRbk9mN2lNU0xQWTNVUy0yTUdYREstRDFsVWR2WFVmb1NFd05sTEZCMDF3?oc=5", "source": "Kalkine India", "published": "2026-10-26 14:39", "score": 0.273, "label": "Positive"}, {"symbol": "ATHERENERG", "title": "Ather Energy (NSE:ATHERENERG) Q2 FY27 Volumes, Demand and Konarc Launch", "link": "https://news.google.com/rss/articles/CBMi6wFBVV95cUxNcnQtTkdfR1VEMHhPMzFSOFpKVGlONkVRaWhxV3hPNEJFcTRXcEF1elRaRnhHUW4zWDJxZ1h3Rjh4X3hMbUlRcldBcHRWeGl6UFJTVHhFMm40TG1RWkVKd3RZc2ExZnhEeFlwN1RiVHE1UmozMjdKN2N2aUJpRUlrWjVSOEVXTUhQNlhlVzVsLTlud0NIcVMza0g1Q2RDaUJGbFpseG1ETWg2SzFzUUw2Z21yU0doUVpEU3VHWVpVeV8xX1FfSDZodFdTTlNPWXJFcjF3MVdVSm1ZTUtpSjA4UHRrX0xod1VTRWVr?oc=5", "source": "Kalkine India", "published": "2026-10-26 14:35", "score": 0.153, "label": "Neutral"}, {"symbol": "E2E", "title": "E2E Networks (NSE:E2E) Proposes About 5.4 MW GPU Capacity Expansion", "link": "https://news.google.com/rss/articles/CBMivAFBVV95cUxNZml0aVZ5bXdxS2ZKMUFLZWNlNlZRQm83cHFYN1RiUkN3THVtc2FDQkxOZG9EbnIxWWI5V05Gc2ZEZmwxVEk4amtKMUZjMlZxQmhoZTFneUkyQ2FGX1dTeDlBSTJISWZRNXhhYzJuUVlVNUFNcmgwR2VJcnppTndUMzRTT2ZmY3JOOGl5MmF5Q3ZrUmVmQ1ViLXdkWDZRNFJIWkI4RW0xc0xBUjR4bXpGZVpWZVIwU3JOLWNRWA?oc=5", "source": "Kalkine India", "published": "2026-10-26 14:11", "score": 0.361, "label": "Positive"}, {"symbol": "ATHERENERG", "title": "Ather Energy (NSE:ATHERENERG) Approves About \u20b9122 Crore Capex to Expand Hosur and Factory 3.0 Capacity", "link": "https://news.google.com/rss/articles/CBMi1AFBVV95cUxQUnVabTlNRnFrRHMyNFVFaW1GUVI0eW9qY1B2WVhLMkJvTXp4aEhXMjY1dzQ0MUs2THpaLW5CUElaTGxPTG9hOFpzbzlNVWM1Rm14eUpNM1JLV3RWUE54TTVZeUlVb1JHaTIwYlZLdzR5MGFSYk9aNm9Jekw1YXZrcTA2WVhvNERqb3F5a1d6WW9ObS1YOHd2NkdXaU1relNraUI0UFk5a3VaVnhWQjJ6bHVaSk44NFNaM0xoZWs0QkljZ3pObVBrSTl1SmZqdUhTNHpKNA?oc=5", "source": "Kalkine India", "published": "2026-10-26 14:07", "score": 0.718, "label": "Positive"}, {"symbol": "E2E", "title": "E2E Networks (NSE:E2E): What Is Behind Its 59% AI Factory Capacity Expansion Plan?", "link": "https://news.google.com/rss/articles/CBMiwgFBVV95cUxQbkdzUE9PMEFmYlU1ZzRVRWtMSUR2QnNYeGU1bkdMb3hrd1ppSko4ZnJaUHFfelhicHV1SFVWenMwR0hmcHp2cnZTVzhjWlYzT1M4MUQ1WEM5WGlDQV9RdktDZm9BYkIyVmFNRUtfVVhGNXRIVkFucFZVLWZxWkNGbHdKLUlVZ2NBcmhoUS14djducUE1LXlVSXhwUTRMZTZnM0NrOE9ObVZQZ0dlMGxnNzlpenN5VmRqaDN6cWdCVWZxdw?oc=5", "source": "Kalkine India", "published": "2026-10-26 11:25", "score": 0.361, "label": "Positive"}, {"symbol": "E2E", "title": "E2E Networks Share Price: Why This AI Stock Staged a Dramatic U-Turn on Monday", "link": "https://news.google.com/rss/articles/CBMibEFVX3lxTE0zZDB2ajBwYjVCYzNlTWRQRGJqRHdsTmhxbFVveVplSDBHaDBYeHhvSHp0ZFRDdk85RWNLYjZHMXZfWjVoZ05GcHR0VWt0OVZ0eFBhWlliY05xSXJvZW8zUFF3cThzMEd4REhYWA?oc=5", "source": "NiftyTrader", "published": "2026-10-26 10:45", "score": 0.0, "label": "Neutral"}, {"symbol": "E2E", "title": "E2E Networks proposes to expand capacity by around 5.4 MW for NVIDIA HGX B300 systems and other GPUs", "link": "https://news.google.com/rss/articles/CBMi0AFBVV95cUxQbGdZNlFsSXBfZ2dsT0xIcktzVW5MWjlHMnVhRUprczlGZzJRaF9PTUg2YjVzQ0NPdW9GSmJvbUVEOXJiVi0wTEJrV0ZCcmMwYURobUtRT2pySWZVRGFob1l3UHFOVWZQNXNtV2thbEVXWHpOb0JmNGNpQWFkVkdkOUtTdWFOSkNqTFFfbEVYdmhGeWdkLXlxZmVOLUFmb3JTaFNtaGNVdlNIdW13Q0J3VDUzYUZmTUFSQW5DeG85LWJYWnVkMHlzLXA1UHFwU250?oc=5", "source": "IndiaIPO", "published": "2026-10-26 10:32", "score": 0.318, "label": "Positive"}, {"symbol": "MARKET", "title": "Sensex Today Ends 483 Points Higher | Nifty Above 22,750 | Apollo Micro Systems Up 10%", "link": "https://news.google.com/rss/articles/CBMi2wFBVV95cUxPNVY4djR0M0xNQWI4dUltb0hiY0pBV0RERmduWkxPd05zT0xvWDR6TkI4UnFlWEpXQ2RoeUdzTmVCYTltSlBNWU1uelg5ZmhDLW9YaGNPLTJxeWNOUUk2QWhrd3VOZ2tkZWRtZTI1c3lHUW1qQXlRWUI5QzJ4bDg5a29rSnJ5R2tlbnJvQ3NRR2JNMzVEeG5ERmtNSmcwclc5TmdKVFZsVDlKQnM3QzN2c054Q1M2V2U3MmRKTmFOS2oySGh0dXJQRXpZQXoyaGJfdTVURHFDSW55QlE?oc=5", "source": "Equitymaster", "published": "2026-10-26 10:28", "score": 0.402, "label": "Positive"}, {"symbol": "E2E", "title": "E2E Networks stock swings from 5% lower circuit to upper circuit on Nvidia GPU capacity expansion plan", "link": "https://news.google.com/rss/articles/CBMi-gFBVV95cUxNNE1sZEg3TnFab1JsUHF2XzliYkkwM3hMdjEzbk53X2V3LTVtUVJqV2dOS2NEQkgydldFWldrSDh6R0FPX1JQUkFjZ3JreE9ndTlDYmlTZDBadDVEeWViU3BTQlpiR3FtTnhPZTM4WkxOVGRnTlR2dEZqMWR3WGljb2lmY0R0TUJYYWFKMkhfVDFncm44Y0FWMWhMeTlZYWlzTWZxc0QzU2pPYUxLaVdRMGtMazRwYV9EeHVIMTB4SVdmX1RjcWpkOWVFdVZWTzJuUUl5TVBZLTVWMnNQRm1VZW5Ibk5mR2c5R3VBNzhFcEp1X3RvdmpEdXV30gH_AUFVX3lxTFBUQ0duZTRDbm5MOWpDR3NrSHNxUXF5X3dTT2RfNzRpbTNIVnRCZWlvRDlQLVZEZXU3U1VGaUFUTDRtLXF1T0NoN3VRZThDeFpta2VDai1Pb0tVSVZlRUhnRkxQcEplbmg2ZHVnM1A5V0I3TmZxYUhiV3JBOGd4bTlGVEtqeXNEMlpkLVYteW1zMGViMmx2TV83NTBHcUtQQlJzWTduWUw3cWJ3c0RSRTRNeGpKNUM4cllGa21ET0RmLWJhcXB2eG15b1o5cVRHb0RTTW9qRTN0d1NKMGFKLXFkODJHQ3F6dnh3bG44V0VBTXFuUXlJdzJRdk9oYWNMVQ?oc=5", "source": "Moneycontrol.com", "published": "2026-10-26 09:09", "score": 0.178, "label": "Neutral"}, {"symbol": "ATHERENERG", "title": "Ather Energy ATHERENERG Q2 FY27 Results and Capacity Expansion", "link": "https://news.google.com/rss/articles/CBMiuwFBVV95cUxQUDZNMl9jaU1lRUEwUVBNUnhXa2RHQUprUy1pT3lxWURUNGZ1c1QtcTVBRmprSjBCZU5NM2xtdjZuWlgxNUMxQ1BfXzJNYjdjR0xoeTl3R3I4ZjJpV1NLVS1ZTG9UQUhzU0FvT0FHVXdrVlc0NXcxODRwamtoOEJSQnJLVG1zVHhKcGxHNFVYNnQyaG9oWjhpSHY0VjFLMWtVS1hPSW9mTW1rRVdMTVotalhyckRBeURjV0dJ?oc=5", "source": "Kalkine India", "published": "2026-10-26 08:57", "score": 0.557, "label": "Positive"}, {"symbol": "E2E", "title": "E2E Networks: AI \u0ba4\u0bc1\u0bb1\u0bc8\u0baf\u0bbf\u0bb2\u0bcd \u0b85\u0ba4\u0bbf\u0bb0\u0b9f\u0bbf \u0bb5\u0bbf\u0bb0\u0bbf\u0bb5\u0bbe\u0b95\u0bcd\u0b95\u0bae\u0bcd! NVIDIA Blackwell \u0b9a\u0bbf\u0baa\u0bcd\u0b95\u0bb3\u0bc1\u0b9f\u0ba9\u0bcd \u0bae\u0bbf\u0bb0\u0b9f\u0bcd\u0b9f\u0baa\u0bcd \u0baa\u0bcb\u0b95\u0bc1\u0bae\u0bcd \u0ba8\u0bbf\u0bb1\u0bc1\u0bb5\u0ba9\u0bae\u0bcd", "link": "https://news.google.com/rss/articles/CBMi5AFBVV95cUxNREM5U0RlMEpDdjZ2ZUI5SE5rTjVrNUVCRFppeXBWLVdHS0VtSHR0cW1QWmhXbkRITHkwV3JIYVBxRkJWbEFodHgtWVlNRjktaU5TU1k2bXVZS1A0cGFINEJ6YWhZOGUweDhtTkJ1Yi1ja1FoVXNfU1Q2ZnhxSWZMMkk0TlVySmhudW1ZOEZvbW5mT05UUV9jZGxQbEY1UTdSSFRGMi12MGNMeGUtbnliUzFuOUx5WnlVdUt2WWdoeXZrSjdoTkJ2NUhUSVhrZ1Y0Uk8tOWVkdmdSemwtaEU2cDVMVHQ?oc=5", "source": "Whalesbook", "published": "2026-10-26 08:47", "score": 0.0, "label": "Neutral"}, {"symbol": "E2E", "title": "Netweb Tech shares fall up to 5% despite strong Q2 results as global AI sell-off weighs", "link": "https://news.google.com/rss/articles/CBMiigJBVV95cUxOZWxqMXZEZGVSWUJ0eVdGRjBnT1ZpQUxlNFBpdFQ4eGtyTU9zdkhmTFdNck9yeFRZY2JpZUgzZ3ZSREJieGd2ZEZiLXRITzRUb1dMekpsQmVCdnFSTWR3RjdwRXZQMFBMakF5MmlFTF9HWlFwSllMZzNBaTdJV1JMcUVicU93YXJ3QktaTFF6RnlkR18xMUlsSmZIQllRRU0wTUo2bFJVaGYyRVZ6eXZzcnNLSmJTc3M3TTRycGNZU0h4QkRHWl9fbXRoQ0dDYjB0NjdnQlRtemFQcTBLZmd2OGVzZWdRaTdpWUhUeTBwLUZkdzlBVElGQ2FsX3IzVkh5N2RSQjdDYnBYd9IBjwJBVV95cUxObnpMOVFET0pOYWt1cHJoWXE5R1d4Y2t5MFdtYU81QXV2OGlKWklrLVY0OTNHTk1pbHhTMlN1cGZ0eUNkb0ExbXZhTUJQZmVxNkpPUEl3ZXVQcjZNQmF1T1pueEE5ak53dXdZSzFTYlR5WmN6dW0xeFZJSDRrczRld1dWS2t5QTZFUVhVZUUxX045THpaQlFUbUlrUGpIOTdOZUxONFhRZGM0ZGNGVGVvLTFEb1NjMGZUa1hMcFRWT2h3T0cwdXRkTkJGc185N3hyLUVGUEZnVzUtVEY3eEFheWtCODJWSFJLX0s5bExvUXV2MEZESDEwSGxaYlZ6Ym1QUHY0TWcxYUZycjRLS2pJ?oc=5", "source": "Moneycontrol.com", "published": "2026-10-26 07:41", "score": -0.555, "label": "Negative"}, {"symbol": "MARKET", "title": "NSE - National Stock Exchange of India Ltd: Live Share/Stock Market News &amp; Updates, Quotes- Nseindia.com", "link": "https://news.google.com/rss/articles/CBMiPkFVX3lxTE15aFBDQy1lOHpHNnVLU3dRM1lsWmNDMVRQNWJPcXBDSklxT1VIUnVxVDMwRHJsRTJtdmNLcEd3?oc=5", "source": "NSE India", "published": "2026-10-26 07:00", "score": 0.0, "label": "Neutral"}, {"symbol": "RRKABEL", "title": "R R Kabel RRKABEL Q2 FY27 Earnings Conference Call", "link": "https://news.google.com/rss/articles/CBMiugFBVV95cUxOQVhDNmVvaVR2emxWTVJfQ1ZHYlFnelh6S3BJQTF2d3kwMWY5T0JjQmo3T2t5ZDdrS0FtVmpXR1o2bWpPMjNUTHExY2RITEtBQmRuRlBOQTk0R0I3YUo5T0ZZODJmQUJPcGZSVWJKaU40REtvVTJ3U1dWS3BVU0ozbzdTNXl5bTdOZU9YMFE2Y0pqNlNleEtIZUhDNGRsNmJPV2RKNGNDRkkzUy1oX05iV05WZFg4UXNuSGc?oc=5", "source": "Kalkine India", "published": "2026-10-26 06:32", "score": 0.0, "label": "Neutral"}, {"symbol": "MARKET", "title": "Sensex settles 500 pts higher, Nifty ends above 22,750: Key factors behind markets snapping 4-day fall", "link": "https://news.google.com/rss/articles/CBMi8gFBVV95cUxObWtEb2xmNG1MT1gtZGl5QmxBd0FnOUsyTG9KRC1fZGp4TVB2bXU5dy1DbXVFT0lpMHJsdjhJUG8xUGNOUTRCazQ0eGdNNm1aRmp5STQ5WVVfVk11QmlNaW5sRVFzMGFneGd0WFR1TV9SMzRYWlR6M2JxR3FPMmFXVjctVlRQS0Fkb0dLUGN0QzdHUlV3YjBJWUhLYnppS0xrY3ljU1pScG1ZYlhYOUQ4bGJCQXRkRDNMS0h6cExQOWRkWkJhbm5UMEt6clUxbjhNamRwNnBMUF9GZXlhc29ZOEhwN0ZFdEc0OHdNM21pOXcwQQ?oc=5", "source": "Moneycontrol.com", "published": "2026-10-26 04:32", "score": 0.077, "label": "Neutral"}, {"symbol": "MARKET", "title": "Stock market prediction for Monday Oct 26: Sensex, Nifty levels, top stocks to watch - Will bulls dance again?", "link": "https://news.google.com/rss/articles/CBMi1wFBVV95cUxQaHNMNE94WElpelJxRFNZMmFoS1p0a2lrZUFFa2Vla0JFb2psbEVOSW5HY2pCNjZ5VzBfa1lyem8zRktLVVduZ1hlc1E0aW0yQ0Fxb0ZSUFJZLWlMd3hKZjFqY1VaOTRSNGxpN3QzbVNvaFhoX2Zyc2JueHVtRWRyTkhkalBPZ2M1dWdwU2NFWURyTmFLUjFvV3NybkJiTVpQYy1Fd1dLMlRxRHFZWGNobWpUclFZQ184OGk2eFRqUFBaWF9sT1FiUlJ2SjdpWTZCT1ktVzhNdw?oc=5", "source": "IndiaIPO", "published": "2026-10-25 14:34", "score": 0.542, "label": "Positive"}, {"symbol": "THANGAMAYL", "title": "Balusamy Silvears raises Thangamayil stake to 1.76% with new buy", "link": "https://news.google.com/rss/articles/CBMiuAFBVV95cUxOdmJralJGWE1fLW5aS3pPVTJpWkN0SmhfVkpESTBaMzRZdzltRE1ISWlNOWdiZmZzSlFnTGhMSGFUYWM3eEJFV2R4UU9qZ3dFclBsOFdUZnNUdzFoU0FHZlVJdU5WTFQ2ckN1RTJid2ptZlMtV3A0MmhrWU9JejA1WU50R1VtTjVZTjZIblprWXZjWWx2Ykl3SHVDeDBNVGFHUzJfOU5Jb3ZleEJTUEt3dzFBeS1HXzlT?oc=5", "source": "scanx.trade", "published": "2026-10-25 13:13", "score": 0.296, "label": "Positive"}, {"symbol": "LAURUSLABS", "title": "Laurus Labs invested INR 1.08 billion in KRKA Pharma: what it means for Laurus Labs stock", "link": "https://news.google.com/rss/articles/CBMi4AFBVV95cUxNcWx3OHlCVWF0Q2luOGtBZnNNWTBYQzhDUkxpM1R5Z28xa2xjdjRjZ2VoVGJrOFJZWEhOdE1WbWxhUFplWWRKUERXbld2NS1XQXZ4M0d3eFMxOVJFeGRvX3pKQUd0Rk0xN1FfTVl2c09PWmdCN1NLWGJZVnAzelViaVpKM3hacFpVZ1ZYd1dNNWJBd3ppOENxQ2dZN3dySF90dTFVY3FYRGxSLUcta09IVTRhWTNqS3dZOER6V0xLMTNCY1VkTllnNWZrYm9oV1FhQzBiZFhXa1hLQmFaNk5uRA?oc=5", "source": "ad-hoc-news.de", "published": "2026-10-24 23:30", "score": 0.0, "label": "Neutral"},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"2026-10-24 07:00", "score": 0.0, "label": "Neutral"}, {"symbol": "AEROFLEX", "title": "Aeroflex subsidiary Aeroflex Neu acquires 51% stake in Stilonn Valves", "link": "https://news.google.com/rss/articles/CBMivwFBVV95cUxNbUxQbk15WFNjZ1lwaGJEUnpSTTJJd0NVbFg1andHc01RVk9HZmNFX2QzSlQ3NnRHaFFab3ozcmdWdzFWbE9oX2pRMlBISnMxc2FtQWY3bEpPdDBBOWo0ZHR6VnlveGluUmVhZ1d6cWdWZHgyYTM1ZDA0bkJMQU93SHBlSXFJcVNrRVc5Q1BySVJlRjA2NzZ0cENhTU95cFVZR2E1eHo1VmRVTUNKWkNfNVJfa2VrRG5TWTU1Y2lucw?oc=5", "source": "scanx.trade", "published": "2026-10-23 17:04", "score": 0.0, "label": "Neutral"}, {"symbol": "AEROFLEX", "title": "Aeroflex Enterprises Subsidiary Acquires 51.01% Stake in Stilonn Valves", "link": "https://news.google.com/rss/articles/CBMihwJBVV95cUxPaEUxRHZBbkRBUzlydDJORXowU0dlVkQ0SEVlU0dhTTAzNExXbGlRMXVxR3Z0Yzk5aG4zSWE1Z01aUGZnNl9FaFhVZGd5bEplRDgxQzlJbko1bjZuS0htbm1fSGhCSEF1UzJjdFFZNUw3THJnM3hLZG5FNkJIYmZjbWd0UDlnMG9HZVd2MUhwRjF1YmRUaVpEUTZzY0Q0LXdRN3paR0s4QkRRbThLZGtTTW9jZGRjNFp4cVJFOTg1TE1yR3hFampYWmRwclZzTG1teGdZZzBCNVd2VHNNX0h6Vm5lMDdrSnhibFBORGxhblQyeUFVTHo5bzZ6UzFYWHA5d0tPaDh1MA?oc=5", "source": "Whalesbook", "published": "2026-10-23 14:38", "score": 0.0, "label": "Neutral"}, {"symbol": "AEROFLEX", "title": "Aeroflex E</t>
        </is>
      </c>
    </row>
    <row r="5">
      <c r="A5" t="inlineStr">
        <is>
          <t>nterprises: \u0b85\u0ba4\u0bbf\u0bb0\u0b9f\u0bbf \u0b95\u0bc8\u0baf\u0b95\u0baa\u0bcd\u0baa\u0b9f\u0bc1\u0ba4\u0bcd\u0ba4\u0bb2\u0bcd! Stilonn Valves \u0ba8\u0bbf\u0bb1\u0bc1\u0bb5\u0ba9\u0ba4\u0bcd\u0ba4\u0bbf\u0bb2\u0bcd **51.01%** \u0baa\u0b99\u0bcd\u0b95\u0bc1\u0b95\u0bb3\u0bc8 \u0bb5\u0bbe\u0b99\u0bcd\u0b95\u0bbf\u0baf\u0ba4\u0bc1", "link": "https://news.google.com/rss/articles/CBMihAJBVV95cUxObV9ZdXRJSENGN0ptRUN6SFJEUkp4X0xJX0NQYXN6NjJYMXJIOWVDaGxHVHp4RlhQTC1YZjdORW5taGN1akJVSXJwak84U1JsQ0lXUWRZRTJuM3JvNDZPY3paUzUwVmhINUJUZjRuYlZjbWNLS0xvaDdnRWt2TmN4QTd3bHZ1Z0RuaTdndTY4WWpPeXh1YXliaHdQOEd5VmExVnJIbHN1NnpqazF3SEZNQlViMDVhM0RZS2NQWTJjQkVINUN3VEhXblc5N3paTFRjcnJjVTZ6eWlIOGNhRTBXUkRFRDBMTHFiRG5RQnVZTndnRU16YVU2MV83Nkw0UWxzaDRFWA?oc=5", "source": "Whalesbook", "published": "2026-10-23 14:38", "score": 0.0, "label": "Neutral"}, {"symbol": "AEROFLEX", "title": "Aeroflex Enterprises NSE:AEROENTER Stilonn Acquisition", "link": "https://news.google.com/rss/articles/CBMiwgFBVV95cUxNVVVFQzlqUVNaMm8xRml0Mnc4NHlkQjFrbFVwZ1FtanZPa21CSldPNi1IRUUyc18zQ1FIQUJ5M3prMEVab0hlLXBXSmtFU3EyZ1ZKbzZyNms4S1JnS0Z2cV9hNEp3X0ZCWDZXaVg1RFY4U0xRVWljQ1hpYTJpSTFFTFdpdnlLM1RzcUlyMFpJYlpHYzg5VG5QTW9raUVGTlFiQmttcGo0REJUQ3pKbURVYmlSSDluRTczQk81dnFUMWlXZw?oc=5", "source": "Kalkine India", "published": "2026-10-23 14:26", "score": 0.0, "label": "Neutral"}, {"symbol": "E2E", "title": "E2E Networks Ltd. Share Price Today - E2E Networks Ltd. Stock Price Live NSE/BSE", "link": "https://news.google.com/rss/articles/CBMidkFVX3lxTE14VHZsbnp5Q3dnTngtYXRSLXV2dnowdURVZlluN3NCMjBoaElXOWFhRWJ5eExhSlRQNlhtbm9SMGgtdWUxTEI1c2ZZUUJodlRFSDlJWkg0WlgxQTFrN010eFdXTERrSnFaMFNNSnNRRmx0NGk3MVE?oc=5", "source": "CNBC TV18", "published": "2026-10-23 10:00", "score": 0.0, "label": "Neutral"}, {"symbol": "E2E", "title": "E2E Networks shares hit lower circuit for 4th straight session; Netweb, Black Box fall up to 9% amid...", "link": "https://news.google.com/rss/articles/CBMiiAJBVV95cUxQcFBFTjQtVDNpM255Z3czRXdHbno4UThYdVNRdnUzNlNOMnQyYmZ1eWRwSkhIb1FrT1Y0OTB5QlBsNTdaa2t2Q2Ribm12SDJ4ckEyYmZZamZQbEhFWktPeFQ3TmcwV2lrLTlSQmtRYjZsZU1nbjZqYkNRRHFpcVFtR1BIU0dZTUhoTjNDWHpMdmYwdmZPVC1POURWb1U0SXAyOTFtaFhkVFJpaHpfam01UFQ2X1VoYUF0RzV6MVQyNC1MUDdmQnFSV2M5SHBsb1ZZRldzWUdDT2tmV2szVkVJWWg1VjJWTDJ6cy1KdUs0WEVveGhqWE1YTTN0N1Y2RGFaUVhCVk0xcG3SAY4CQVVfeXFMTklrZEZlazREcHF4Zmw0X3dsSUFvWFFEektRZ1oxN082dWdWYmxyN21XVlNyLVd4UlVnTWs3dnQ5OERsQk45UG9JLVJ4NzQxQ3U0ZmVXSFR2M2FYOTM1STV5VzkyN1h0RzJPQ19GS3E0aExLTmFNSWZSMWg0S0NQQ1IxSENyUWQ0ejB3a05kbE1HdGlzRC1XZ0puS0ZyM1ZxMHAtT25zdTQyUXVUQ2tqUFhvNWVyVnNHbzNFMGkxVTRfN0VmWDVBbVZBWlRYcGtDQ3M2U0pVTFc4SUgtM3dCZEplUVZQdWlqVjRRNVlObVVoZmZxVFBsOG1vT3YzdktNbjEzazAxeEZMTnVZbzNR?oc=5", "source": "Moneycontrol.com", "published": "2026-10-23 09:50", "score": -0.44, "label": "Negative"}, {"symbol": "LAURUSLABS", "title": "Laurus Labs (LAURUSLABS.NS) Declines 2.31% to \u20b91,956.20 Amid Pharma Sector Consolidation - Median Line", "link": "https://news.google.com/rss/articles/CBMiwAFBVV95cUxNS2ctOGI1ZUg2UF80cVJpU2FCRmFkNVF3OUdvU254ZS16Y05aU1dfT3o4ZXRMWGo5NXFqc1VKeU9wd1Y4M0dTSDVyemZzLWxIOTU4MVBWUUZkal9sc1lrWG1EY1V2czBON0dGWkhYUkc0YmNOYll2dzhUWFA5ZGlJbkxnekZtUVJtd1lCSE54cmdRSnBwRlBpeXdzb25aLXhCMHV5NlFfb1pZSDVYUzdRVXBWUzR0QWk1eDFpTnFoVkE?oc=5", "source": "https://www.siam.in/", "published": "2026-10-23 08:30", "score": -0.382, "label": "Negative"}, {"symbol": "RRKABEL", "title": "Buy R R Kabel; target of Rs 2960: Motilal Oswal", "link": "https://news.google.com/rss/articles/CBMiswFBVV95cUxOTGQtcjc2NUVXTW5pUXpzOTlyQnVxSEotM0JoS1hzUm5mb1Y4UUI1NjljMllhVy1CeTVkdVZHdUZkbHFaWjk4ajc2WVdCQldabWxLQk03T2NTYW0yWmFxSzlMQTktZ0l4Z3lodVRuS0Rjc3RHM3FlWDlOU2FTVE9VZWZWR253bkFnVHZqdDlQMzk2c1U4UThlZWdBbUNXbEphMlVDa05yTVdhNTUxZ0RORGw0RdIBuAFBVV95cUxOaGlIdTF2eHp3dTRjdG9pTDBkdUYxTDd4bDBhYlF6a21QYUVBMmo4ZklLdk9JVEFDLU84TnF2a2FBVkE4QjVCd2tyRmhoWWJiV1JWUnZraWRtVUhDd1NtbUNvZjF3S3YtSjZfRHZEdjBCckhQZDB4Smducm5mQjlIbVdNMDlXZWt1NTNYNG9Ja3h6Z1ZxeUJiQzg5eUo5UHFhMHh1N2hYc0ZZemR2Qm5WMGl1V0EyRElp?oc=5", "source": "Moneycontrol.com", "published": "2026-10-23 07:22", "score": 0.421, "label": "Positive"}, {"symbol": "AEROFLEX", "title": "Eternal Ltd Stock/Share price , NSE/BSE Forecast News and Live Quotes", "link": "https://news.google.com/rss/articles/CBMiiwFBVV95cUxOclNkVWQzN2J2MHNMc01iQmg3OUp1c0EwYmUySGdTbm94aTJjSUMwVnZHQzExWE1hMGNvcjFDVndjQ0tBXzZlMkZMSkNlUjVWb2NiV1h2dEZxVGhQRkdjZmlfbEpuN1lCM2tsa0swdGo4TFFIMDIzdDBjd3hGckNtdHZmVXlJcmx5bDNJ?oc=5", "source": "Equitymaster", "published": "2026-10-23 07:00", "score": 0.0, "label": "Neutral"}, {"symbol": "ATHERENERG", "title": "Ather Energy Ltd Share Price Today,, ATHERENERG Share Price NSE, BSE", "link": "https://news.google.com/rss/articles/CBMiigFBVV95cUxQMWUxakhUX0ZRR3Y5UUxxblp6eURHQ2k3V0daRTVVY1RGRGJCQ2dHbU5zcUVFNnY3T2ZpT09nMHNKcDdnOHA5T2dtcmhvSnFpLVhEVnhIN1Q0M2xfZ216RnRxdHVLNnAwWkVOdXUxQldhUU5hb3YxN3pxYWY3bEJ3TEhmRXBMUHF4TEE?oc=5", "source": "Business Today", "published": "2026-10-23 07:00", "score": 0.273, "label": "Positive"}, {"symbol": "ATHERENERG", "title": "Ather Energy Q2 Results 2026 - Find Ather Energy Q2 Earnings Result | ATHERENERG Q2 results", "link": "https://news.google.com/rss/articles/CBMigwFBVV95cUxNMHFwSkVtRTVPQ0F5LUxyNzdnS3BZMGYwMXl2NVRXNkNXN3ktM2lKMVlPeEtPdU9XMWw4Nk1RQS1FTm9DM1ItdDNPZDRIa2lWc18tM0RxOFB6bndPYkFya0xvVzlkakM0cnBQTGtfd1o0MDU4VDhUSUtDU3RqaDR1S0NTaw?oc=5", "source": "Livemint", "published": "2026-10-23 07:00", "score": 0.494, "label": "Positive"},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"2026-10-23 07:00", "score": 0.0, "label": "Neutral"},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"2026-10-23 06:46", "score": -0.226, "label": "Negative"}, {"symbol": "MARKET", "title": "Sensex, Nifty rebound after 3-day fall on IT stocks buying", "link": "https://news.google.com/rss/articles/CBMiowFBVV95cUxQSlJoQ3Y4b1BtVE83ZDN5amthN0o5SXJZQlBwdzlkTXBwSUFGQmdwczNzenQ1aHQxdWMtQ1liaWdDV3hELUdMRXdfQXRwcXZoUG8zMmxwRUU5WHIzaVlBb3lROVRDOGJJWEsweTBvbkVPNWJvZl85Q3huaVJtZ2JtY1hHcV85N2UzTnlHZk03dEU2NjlFaHN1TU11TEVpTE5RV2Rn0gGqAUFVX3lxTE5kRGFuTUhWbFJHOVZuVlBlMXJkZzNsd0RUQXY2VlNoYl9nUlZZX1Q4ZmtpcUxmS0trMm5uZGlLd0RPT1hlWVBfTVhIdjJtZk9kVTF2ZkxNdWJ2SlhsV29TVEkxVTFIaWlxNXFCTnY0clVLeExrWWliWlMtcWRiVWFlMUQwZ09XdnVndHpWOUZ2aXJHTTJhbGpSRVV6c01OSkVOa2tCTVNHdzNB?oc=5", "source": "The Hindu", "published": "2026-10-23 06:21", "score": 0.077, "label": "Neutral"}, {"symbol": "AEROFLEX", "title": "Market crash: Sensex sinks 1,314 pts from day's high; Nifty tests 22,400", "link": "https://news.google.com/rss/articles/CBMi0wFBVV95cUxORHE2eXQySVVQU2tHU3hBYXNRaDlKZ2VDN0MzLTRNYkhjSXhZUXN3M1k2aHJvbGpfU21KTHc0dlh1LXN5WktJdDZERXpZcEs3a0FMVEx2TldTWmdHLUhvZWRMa2J3aUpfaENNNGV4S3VzZVBBSFBiU2dITTRUNVkxOGtHcXNMMHVOX2dHU2JJSGRiZ0I0dFpOMk94TEM4ZTdQdGlvYmhEdzNPTC1JclUwSmJNWGQ4Y0w2a1pBUldzVmlZQ0VzRGhKN2J4SEVNMnd5R0k00gHYAUFVX3lxTE0xQ1pqOHZHWlJNc3h0c2ZtanRqMU9xU09wYm9lenZCQ2tpelhKb0NKSFVwNTVzeG5ycFFEazJaM1pBR1BBMEY2Z2NvamJZWW8wcDJub3BHVDBwWERYbDl3WkxnaHExclJGb1A2cVFiQjJ2WF9sb044OVY4VzVJeTdrdkhLZUM1VC1SekVQOWtwR0pfME53YjFydk9pTTlQbVA3ZXdBdUw2cGpaSFJaMEktUjBuLXNuNjR2REt4dURWTm10OV9VX04yS2JWeFdHY3FiTFJuVTk3VA?oc=5", "source": "Business Standard", "published": "2026-10-23 05:27", "score": -0.511, "label": "Negative"}, {"symbol": "AEROFLEX", "title": "Microcap 250 index slips 2%; Aeroflex, Rallis, Bluestone slide up to 8%", "link": "https://news.google.com/rss/articles/CBMizgFBVV95cUxQSVhXc3E2UEFfWXdoODIwS29pdEFsWF9BUjJQajQzaG83bTk3cTF5RjZNR2hzQUdZVmNfcklZVmxjeXZneXlVdkwxTFgyZENGeV91NElhd2VFckNjWm9xR19aTmpCWXp6b2FmR2N1eGgwYTRYeHBMX2ZFeFQzNXVMaURRd2JuYlcycUVseWtBLXQ4VVg3d2JGanJ2T1pDYzN4SVBjdFNlWVBTYXFOMWlVZndvcHFVTE1xTnJvcVU5bVpNNlMxa0lnalRGY2EtZ9IB0wFBVV95cUxQXzh2VGo0Mko3NkM1V3lGbEVIRkpldTc4a3c2ZWRlcUQyenpnaHVmM3RNMTkzZHBLNjJiRk44bjRMUjFnV25mNWVvRUFONnZadWR1N0tOem42T2NKSlM4bUd2ZXdoelNSbkJKM0I5V1lPZVRnMVZGNlpPTHB6cDBRYU5JRUV2ZEt3V0xyZXRMSGRHdWVVSXFRdHg0OG11MGFxRHpWeUJlYXN6cDl2MjhLeUVCcVY1RVU3cmkwZVdLU00wR2d2N053TGRvOVdVc25NV2o0?oc=5", "source": "Business Standard", "published": "2026-10-23 05:01", "score": -0.34, "label": "Negative"}, {"symbol": "MARKET", "title": "Sensex, Nifty recover after sharp selloff to close flat; small and midcaps sink nearly 3%", "link": "https://news.google.com/rss/articles/CBMihAJBVV95cUxONnJMM3BTT1ZsdmNEZ3hLQlJRa2hqMWtuVUdyVzl3UnVOZFlqeTNRbWZJQTZxcjNTNFRSanZUb2Jtdll0OGhkQ2MzSjFxdUxWRlZVendyOHoyOW1YNmhWSkdSNUpMdFJTRnRKWGd6MEx0aWM4QzhiNVQ1SThIWUtBOWpSd3NteW5hQU1qblNiTEpqMWZBSzVLRElpSVRwdF8xTDdqX004UUEwTTFIdDFpaUl3bFNOMnFxLTN5czVsdWVXb2lpTzJZd1lfZVJvbE5ZWDlYR3RFOEVBUjJyaXZ0MHc5YnlDSS1PLUpWTk43UXYtNjQzYkx4WWU5N2xnVkVqU0FDZtIBiwJBVV95cUxNeVJHamZ4anZFR05lQjB3YzQzYkVfTy00WUE3X0Q3ellsNjc0M05uUGxiWGdULXhPb25KVktfeldvcVdIY28yZnY3ZGR6N3MyS1FNcU5VYk9vT0xNUS04M09BdkVKaUJyMkdoQ19GVmZLZUs5Wm5mRzJEeFRTUmJqVnYyelMyQlN0WUpfVktxam9xUXp0V1ExZ3VTQTF5RmQwdXU0a0hSYlVUTVBhbEF5WkFpU3g0UzJGeDNiaTNfeVVUaGV5c2lCbXltb2VNdF96cUNQWVRBeF9tdDRQT3RUMzhJbzlEWHVJLXF3VGx5dl9FbWNYdVhmT2diZWZHd2YwbEVSbTkzZ2xVdm8?oc=5", "source": "The Financial Express", "published": "2026-10-23 01:36", "score": 0.402, "label": "Positive"},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"2026-10-22 07:00", "score": 0.0, "label": "Neutral"}, {"symbol": "RRKABEL", "title": "RR Kabel Share Price Fall Streak: Four-Session Decline", "link": "https://news.google.com/rss/articles/CBMie0FVX3lxTE9xU0xwbVRKWVJacVV1ZjVWd3VBeXNlY1RITmJGYi1MaW1jVkFsM0ExS05NMUt3Qm1COURQNC1yQklnbkRDd0FZSVY3VGY5Wk05aWdJOHpVYkl1NjBPaGZwcURDUy1NbGcwMGUtWDRYcmhrRFRlcFZDSFFFVQ?oc=5", "source": "Univest", "published": "2026-10-22 07:00", "score": -0.612, "label": "Negative"}, {"symbol": "MARKET", "title": "Daily and Weekly Digest - Latest News and Updates on Digest at Groww", "link": "https://news.google.com/rss/articles/CBMiO0FVX3lxTE9tYXdkQlN2Q3hJZDFFeGU1Y2dHcS1KQzc5ZWRaOHJldGlEQm1GUmVwRHFRdWd2SkRWUGRR?oc=5", "source": "Groww", "published": "2026-10-22 07:00", "score": 0.0, "label": "Neutral"}, {"symbol": "DIACABS", "title": "Diamond Power Infrastructure (NSE:DIACABS) to Invest Rs 25 Crore in New CCV Line for 132 kV XLPE Power Cables", "link": "https://news.google.com/rss/articles/CBMi6AFBVV95cUxNNmRtSWFacEJ2R0ZvTmRsN1lUQkVuVmJSQ1UwcTJWWEVPc0FJNkRCbEFxeDA1ZXh4QTY3UUd4SGlYLVg5MG5UVGl6ZHJQNV9kSjdmNVhGY1NMWUNIN0ZOeWZpYlk1VG9iZHh2U2swVHg2S0xsMGp2ZGFSdGhhRVJBUnVSUnpQamQ2c3Qxckt1b0ZjaDR2ZHJQUU94bnMyNEZWSS1RZ2xjNTZUVTlaRnFLNGxneWR4QV9NUDJETS0xWTJhNkQtWUlkdkZsczZoN3E4VzMya1RwLURIbUlDRlJhN3ZhbmJXRlRW?oc=5", "source": "Kalkine Media", "published": "2026-10-22 05:45", "score": 0.34,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"2026-10-21 22:41", "score": 0.625,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"2026-10-21 15:18", "score": 0.624, "label": "Positive"}], "errors": []}, "created": "2026-09-28T13:27:26", "last_updated": "2026-10-28T12:35:43",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</t>
        </is>
      </c>
    </row>
    <row r="6">
      <c r="A6" t="inlineStr">
        <is>
          <t xml:space="preserve">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"2026-10-27",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2026-10-28T12:35:49Z</dcterms:created>
  <dcterms:modified xmlns:dcterms="http://purl.org/dc/terms/" xmlns:xsi="http://www.w3.org/2001/XMLSchema-instance" xsi:type="dcterms:W3CDTF">2026-10-28T12:35:50Z</dcterms:modified>
</cp:coreProperties>
</file>