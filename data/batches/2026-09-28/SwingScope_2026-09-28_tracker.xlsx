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Closes" sheetId="2" state="visible" r:id="rId2"/>
    <sheet xmlns:r="http://schemas.openxmlformats.org/officeDocument/2006/relationships" name="Returns %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ortfolio Path" sheetId="5" state="visible" r:id="rId5"/>
    <sheet xmlns:r="http://schemas.openxmlformats.org/officeDocument/2006/relationships" name="Batch Info" sheetId="6" state="visible" r:id="rId6"/>
    <sheet xmlns:r="http://schemas.openxmlformats.org/officeDocument/2006/relationships" name="Research" sheetId="7" state="visible" r:id="rId7"/>
    <sheet xmlns:r="http://schemas.openxmlformats.org/officeDocument/2006/relationships" name="News &amp; Sentiment" sheetId="8" state="visible" r:id="rId8"/>
    <sheet xmlns:r="http://schemas.openxmlformats.org/officeDocument/2006/relationships" name="_state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+0.00%;[Red]-0.00%;0.00%"/>
    <numFmt numFmtId="165" formatCode="₹#,##,##0;[Red]-₹#,##,##0"/>
    <numFmt numFmtId="166" formatCode="0.0%"/>
    <numFmt numFmtId="167" formatCode="+0.00;-0.00;0.00"/>
    <numFmt numFmtId="168" formatCode="+0.00;-0.00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C9D3E6"/>
      <sz val="10"/>
    </font>
    <font>
      <name val="Calibri"/>
      <i val="1"/>
      <color rgb="006B7280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475569"/>
      <sz val="9"/>
    </font>
    <font>
      <name val="Calibri"/>
      <color rgb="00171A1F"/>
      <sz val="10"/>
    </font>
    <font>
      <name val="Calibri"/>
      <b val="1"/>
      <color rgb="00171A1F"/>
      <sz val="10"/>
    </font>
    <font>
      <name val="Calibri"/>
      <color rgb="006B7280"/>
      <sz val="9"/>
    </font>
    <font>
      <name val="Calibri"/>
      <b val="1"/>
      <color rgb="0064748B"/>
      <sz val="9"/>
    </font>
    <font>
      <name val="Calibri"/>
      <b val="1"/>
      <color rgb="000B1F3A"/>
      <sz val="16"/>
    </font>
    <font>
      <name val="Calibri"/>
      <i val="1"/>
      <color rgb="0094A3B8"/>
      <sz val="8"/>
    </font>
    <font>
      <name val="Calibri"/>
      <b val="1"/>
      <color rgb="000B1F3A"/>
      <sz val="11"/>
    </font>
    <font>
      <name val="Calibri"/>
      <b val="1"/>
      <color rgb="00ffffff"/>
      <sz val="10"/>
    </font>
    <font>
      <name val="Calibri"/>
      <b val="1"/>
      <color rgb="000f5132"/>
      <sz val="10"/>
    </font>
    <font>
      <name val="Calibri"/>
      <b val="1"/>
      <color rgb="007a4a00"/>
      <sz val="10"/>
    </font>
    <font>
      <name val="Calibri"/>
      <b val="1"/>
      <color rgb="00374151"/>
      <sz val="10"/>
    </font>
    <font>
      <name val="Calibri"/>
      <b val="1"/>
      <color rgb="009b1c1c"/>
      <sz val="10"/>
    </font>
    <font>
      <name val="Calibri"/>
      <b val="1"/>
      <color rgb="000B1F3A"/>
      <sz val="12"/>
    </font>
    <font>
      <name val="Calibri"/>
      <b val="1"/>
      <color rgb="001F9D63"/>
      <sz val="10"/>
    </font>
    <font>
      <name val="Calibri"/>
      <color rgb="002F4BD8"/>
      <sz val="10"/>
      <u val="single"/>
    </font>
    <font>
      <name val="Calibri"/>
      <b val="1"/>
      <color rgb="00D64545"/>
      <sz val="10"/>
    </font>
    <font>
      <name val="Calibri"/>
      <b val="1"/>
      <color rgb="0064748B"/>
      <sz val="10"/>
    </font>
    <font>
      <name val="Calibri"/>
      <color rgb="002F4BD8"/>
      <u val="single"/>
    </font>
  </fonts>
  <fills count="19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E3A66"/>
      </patternFill>
    </fill>
    <fill>
      <patternFill patternType="solid">
        <fgColor rgb="000E7C86"/>
      </patternFill>
    </fill>
    <fill>
      <patternFill patternType="solid">
        <fgColor rgb="00334E7E"/>
      </patternFill>
    </fill>
    <fill>
      <patternFill patternType="solid">
        <fgColor rgb="00C9860A"/>
      </patternFill>
    </fill>
    <fill>
      <patternFill patternType="solid">
        <fgColor rgb="00D9DEE7"/>
      </patternFill>
    </fill>
    <fill>
      <patternFill patternType="solid">
        <fgColor rgb="00FFF4D6"/>
      </patternFill>
    </fill>
    <fill>
      <patternFill patternType="solid">
        <fgColor rgb="00FAFAFB"/>
      </patternFill>
    </fill>
    <fill>
      <patternFill patternType="solid">
        <fgColor rgb="00F3F5F8"/>
      </patternFill>
    </fill>
    <fill>
      <patternFill patternType="solid">
        <fgColor rgb="002F4BD8"/>
      </patternFill>
    </fill>
    <fill>
      <patternFill patternType="solid">
        <fgColor rgb="000f7a4a"/>
      </patternFill>
    </fill>
    <fill>
      <patternFill patternType="solid">
        <fgColor rgb="001f9d63"/>
      </patternFill>
    </fill>
    <fill>
      <patternFill patternType="solid">
        <fgColor rgb="00d7f2e3"/>
      </patternFill>
    </fill>
    <fill>
      <patternFill patternType="solid">
        <fgColor rgb="00fdecc8"/>
      </patternFill>
    </fill>
    <fill>
      <patternFill patternType="solid">
        <fgColor rgb="00e5e7eb"/>
      </patternFill>
    </fill>
    <fill>
      <patternFill patternType="solid">
        <fgColor rgb="00fde2e2"/>
      </patternFill>
    </fill>
    <fill>
      <patternFill patternType="solid">
        <fgColor rgb="00d64545"/>
      </patternFill>
    </fill>
  </fills>
  <borders count="11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/>
      <top/>
      <bottom/>
      <diagonal/>
    </border>
    <border>
      <left style="thin">
        <color rgb="00D9DEE7"/>
      </left>
      <right style="thin">
        <color rgb="00D9DEE7"/>
      </right>
      <top/>
      <bottom/>
      <diagonal/>
    </border>
    <border>
      <left style="thin">
        <color rgb="00D9DEE7"/>
      </left>
      <right style="thin">
        <color rgb="00D9DEE7"/>
      </right>
      <top/>
      <bottom style="thin">
        <color rgb="00D9DEE7"/>
      </bottom>
      <diagonal/>
    </border>
    <border>
      <left style="thin">
        <color rgb="00FFFFFF"/>
      </left>
      <right style="thin">
        <color rgb="00FFFFFF"/>
      </right>
    </border>
    <border>
      <top style="thick">
        <color rgb="002F4BD8"/>
      </top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0" fillId="11" borderId="5" pivotButton="0" quotePrefix="0" xfId="0"/>
    <xf numFmtId="0" fontId="0" fillId="7" borderId="5" pivotButton="0" quotePrefix="0" xfId="0"/>
    <xf numFmtId="0" fontId="10" fillId="10" borderId="6" applyAlignment="1" pivotButton="0" quotePrefix="0" xfId="0">
      <alignment horizontal="left" vertical="center" indent="1"/>
    </xf>
    <xf numFmtId="0" fontId="0" fillId="10" borderId="6" applyAlignment="1" pivotButton="0" quotePrefix="0" xfId="0">
      <alignment horizontal="left" vertical="center" indent="1"/>
    </xf>
    <xf numFmtId="0" fontId="11" fillId="10" borderId="0" applyAlignment="1" pivotButton="0" quotePrefix="0" xfId="0">
      <alignment horizontal="left" vertical="center" indent="1"/>
    </xf>
    <xf numFmtId="0" fontId="0" fillId="10" borderId="0" applyAlignment="1" pivotButton="0" quotePrefix="0" xfId="0">
      <alignment horizontal="left" vertical="center" indent="1"/>
    </xf>
    <xf numFmtId="165" fontId="11" fillId="10" borderId="0" applyAlignment="1" pivotButton="0" quotePrefix="0" xfId="0">
      <alignment horizontal="left" vertical="center" indent="1"/>
    </xf>
    <xf numFmtId="0" fontId="12" fillId="10" borderId="0" applyAlignment="1" pivotButton="0" quotePrefix="0" xfId="0">
      <alignment horizontal="left" vertical="center" indent="1"/>
    </xf>
    <xf numFmtId="164" fontId="11" fillId="10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8" fillId="10" borderId="1" applyAlignment="1" pivotButton="0" quotePrefix="0" xfId="0">
      <alignment horizontal="left" vertical="center"/>
    </xf>
    <xf numFmtId="1" fontId="7" fillId="10" borderId="1" applyAlignment="1" pivotButton="0" quotePrefix="0" xfId="0">
      <alignment horizontal="right" vertical="center"/>
    </xf>
    <xf numFmtId="4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right" vertical="center"/>
    </xf>
    <xf numFmtId="4" fontId="7" fillId="8" borderId="1" applyAlignment="1" pivotButton="0" quotePrefix="0" xfId="0">
      <alignment horizontal="right" vertical="center"/>
    </xf>
    <xf numFmtId="4" fontId="7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4" fontId="8" fillId="1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" fontId="8" fillId="7" borderId="1" applyAlignment="1" pivotButton="0" quotePrefix="0" xfId="0">
      <alignment horizontal="righ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center" vertical="center" wrapText="1"/>
    </xf>
    <xf numFmtId="1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165" fontId="7" fillId="8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1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/>
    </xf>
    <xf numFmtId="165" fontId="7" fillId="9" borderId="1" applyAlignment="1" pivotButton="0" quotePrefix="0" xfId="0">
      <alignment horizontal="right" vertical="center"/>
    </xf>
    <xf numFmtId="164" fontId="7" fillId="9" borderId="1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0" pivotButton="0" quotePrefix="0" xfId="0"/>
    <xf numFmtId="165" fontId="7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14" fillId="12" borderId="1" applyAlignment="1" pivotButton="0" quotePrefix="0" xfId="0">
      <alignment horizontal="left" vertical="center"/>
    </xf>
    <xf numFmtId="167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14" fillId="13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left" vertical="center"/>
    </xf>
    <xf numFmtId="0" fontId="16" fillId="15" borderId="1" applyAlignment="1" pivotButton="0" quotePrefix="0" xfId="0">
      <alignment horizontal="left" vertical="center"/>
    </xf>
    <xf numFmtId="0" fontId="17" fillId="16" borderId="1" applyAlignment="1" pivotButton="0" quotePrefix="0" xfId="0">
      <alignment horizontal="left" vertical="center"/>
    </xf>
    <xf numFmtId="0" fontId="18" fillId="17" borderId="1" applyAlignment="1" pivotButton="0" quotePrefix="0" xfId="0">
      <alignment horizontal="left" vertical="center"/>
    </xf>
    <xf numFmtId="0" fontId="14" fillId="18" borderId="1" applyAlignment="1" pivotButton="0" quotePrefix="0" xfId="0">
      <alignment horizontal="left" vertical="center"/>
    </xf>
    <xf numFmtId="0" fontId="19" fillId="0" borderId="0" pivotButton="0" quotePrefix="0" xfId="0"/>
    <xf numFmtId="0" fontId="20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/>
    </xf>
    <xf numFmtId="0" fontId="23" fillId="0" borderId="1" applyAlignment="1" pivotButton="0" quotePrefix="0" xfId="0">
      <alignment horizontal="left" vertical="center"/>
    </xf>
    <xf numFmtId="168" fontId="7" fillId="0" borderId="1" applyAlignment="1" pivotButton="0" quotePrefix="0" xfId="0">
      <alignment horizontal="right" vertical="center"/>
    </xf>
    <xf numFmtId="0" fontId="24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name val="Calibri"/>
        <b val="1"/>
        <color rgb="001F9D63"/>
        <sz val="16"/>
      </font>
    </dxf>
    <dxf>
      <font>
        <name val="Calibri"/>
        <b val="1"/>
        <color rgb="00D64545"/>
        <sz val="16"/>
      </font>
    </dxf>
    <dxf>
      <font>
        <name val="Calibri"/>
        <b val="1"/>
        <color rgb="001F9D63"/>
      </font>
    </dxf>
    <dxf>
      <font>
        <name val="Calibri"/>
        <b val="1"/>
        <color rgb="00D64545"/>
      </font>
    </dxf>
    <dxf>
      <font>
        <name val="Calibri"/>
        <color rgb="001F9D63"/>
      </font>
    </dxf>
    <dxf>
      <font>
        <name val="Calibri"/>
        <color rgb="00D6454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Return by stock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'Dashboard'!F20</f>
            </strRef>
          </tx>
          <spPr>
            <a:solidFill xmlns:a="http://schemas.openxmlformats.org/drawingml/2006/main">
              <a:srgbClr val="2F4BD8"/>
            </a:solidFill>
            <a:ln xmlns:a="http://schemas.openxmlformats.org/drawingml/2006/main">
              <a:prstDash val="solid"/>
            </a:ln>
          </spPr>
          <cat>
            <numRef>
              <f>'Dashboard'!$B$21:$B$30</f>
            </numRef>
          </cat>
          <val>
            <numRef>
              <f>'Dashboard'!$F$21:$F$30</f>
            </numRef>
          </val>
        </ser>
        <dLbls>
          <numFmt formatCode="+0.0%;-0.0%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(₹)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Path'!D4</f>
            </strRef>
          </tx>
          <spPr>
            <a:ln xmlns:a="http://schemas.openxmlformats.org/drawingml/2006/main" w="28000">
              <a:solidFill>
                <a:srgbClr val="0E7C8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Path'!$A$5:$A$19</f>
            </numRef>
          </cat>
          <val>
            <numRef>
              <f>'Portfolio Path'!$D$5:$D$19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return vs Nifty 50 (%)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Path'!F4</f>
            </strRef>
          </tx>
          <spPr>
            <a:ln xmlns:a="http://schemas.openxmlformats.org/drawingml/2006/main" w="28000">
              <a:solidFill>
                <a:srgbClr val="2F4BD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Path'!$F$5:$F$26</f>
            </numRef>
          </val>
          <smooth val="0"/>
        </ser>
        <ser>
          <idx val="1"/>
          <order val="1"/>
          <tx>
            <strRef>
              <f>'Portfolio Path'!I4</f>
            </strRef>
          </tx>
          <spPr>
            <a:ln xmlns:a="http://schemas.openxmlformats.org/drawingml/2006/main">
              <a:solidFill>
                <a:srgbClr val="9AA2A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Path'!$I$5:$I$26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32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search?q=Laurus%20Labs%20site%3Atorusdigital.com" TargetMode="External" Id="rId1"/><Relationship Type="http://schemas.openxmlformats.org/officeDocument/2006/relationships/hyperlink" Target="https://www.google.com/search?q=Laurus%20Labs%20site%3Aanandrathi.com" TargetMode="External" Id="rId2"/><Relationship Type="http://schemas.openxmlformats.org/officeDocument/2006/relationships/hyperlink" Target="https://www.google.com/search?q=Laurus%20Labs%20site%3Aanandrathi.com" TargetMode="External" Id="rId3"/><Relationship Type="http://schemas.openxmlformats.org/officeDocument/2006/relationships/hyperlink" Target="https://www.google.com/search?q=Laurus%20Labs%20site%3Aanandrathi.com" TargetMode="External" Id="rId4"/><Relationship Type="http://schemas.openxmlformats.org/officeDocument/2006/relationships/hyperlink" Target="https://www.google.com/search?q=TD%20Power%20Systems%20site%3A5paisa.com" TargetMode="External" Id="rId5"/><Relationship Type="http://schemas.openxmlformats.org/officeDocument/2006/relationships/hyperlink" Target="https://www.google.com/search?q=TD%20Power%20Systems%20site%3Afyers.in" TargetMode="External" Id="rId6"/><Relationship Type="http://schemas.openxmlformats.org/officeDocument/2006/relationships/hyperlink" Target="https://www.google.com/search?q=TD%20Power%20Systems%20site%3A5paisa.com" TargetMode="External" Id="rId7"/><Relationship Type="http://schemas.openxmlformats.org/officeDocument/2006/relationships/hyperlink" Target="https://www.google.com/search?q=TD%20Power%20Systems%20site%3A5paisa.com" TargetMode="External" Id="rId8"/><Relationship Type="http://schemas.openxmlformats.org/officeDocument/2006/relationships/hyperlink" Target="https://www.google.com/search?q=Ather%20Energy%20site%3Aindmoney.com" TargetMode="External" Id="rId9"/><Relationship Type="http://schemas.openxmlformats.org/officeDocument/2006/relationships/hyperlink" Target="https://www.google.com/search?q=Ather%20Energy%20site%3Aindmoney.com" TargetMode="External" Id="rId10"/><Relationship Type="http://schemas.openxmlformats.org/officeDocument/2006/relationships/hyperlink" Target="https://www.google.com/search?q=Ather%20Energy%20site%3Afreepressjournal.in" TargetMode="External" Id="rId11"/><Relationship Type="http://schemas.openxmlformats.org/officeDocument/2006/relationships/hyperlink" Target="https://www.google.com/search?q=Ather%20Energy%20site%3Ahdfcsky.com" TargetMode="External" Id="rId12"/><Relationship Type="http://schemas.openxmlformats.org/officeDocument/2006/relationships/hyperlink" Target="https://www.google.com/search?q=RR%20Kabel%20site%3A5paisa.com" TargetMode="External" Id="rId13"/><Relationship Type="http://schemas.openxmlformats.org/officeDocument/2006/relationships/hyperlink" Target="https://www.google.com/search?q=RR%20Kabel%20site%3Afyers.in" TargetMode="External" Id="rId14"/><Relationship Type="http://schemas.openxmlformats.org/officeDocument/2006/relationships/hyperlink" Target="https://www.google.com/search?q=Aeroflex%20Industries%20site%3Asahi.com" TargetMode="External" Id="rId15"/><Relationship Type="http://schemas.openxmlformats.org/officeDocument/2006/relationships/hyperlink" Target="https://www.google.com/search?q=Aeroflex%20Industries%20site%3Asahi.com" TargetMode="External" Id="rId16"/><Relationship Type="http://schemas.openxmlformats.org/officeDocument/2006/relationships/hyperlink" Target="https://www.google.com/search?q=Aeroflex%20Industries%20share" TargetMode="External" Id="rId17"/><Relationship Type="http://schemas.openxmlformats.org/officeDocument/2006/relationships/hyperlink" Target="https://www.google.com/search?q=Aeroflex%20Industries%20share" TargetMode="External" Id="rId18"/><Relationship Type="http://schemas.openxmlformats.org/officeDocument/2006/relationships/hyperlink" Target="https://www.google.com/search?q=E2E%20Networks%20site%3Aangelone.in" TargetMode="External" Id="rId19"/><Relationship Type="http://schemas.openxmlformats.org/officeDocument/2006/relationships/hyperlink" Target="https://www.google.com/search?q=E2E%20Networks%20site%3Aanandrathi.com" TargetMode="External" Id="rId20"/><Relationship Type="http://schemas.openxmlformats.org/officeDocument/2006/relationships/hyperlink" Target="https://www.google.com/search?q=E2E%20Networks%20site%3Aanandrathi.com" TargetMode="External" Id="rId21"/><Relationship Type="http://schemas.openxmlformats.org/officeDocument/2006/relationships/hyperlink" Target="https://www.google.com/search?q=Acutaas%20Chemicals%20site%3Afyers.in" TargetMode="External" Id="rId22"/><Relationship Type="http://schemas.openxmlformats.org/officeDocument/2006/relationships/hyperlink" Target="https://www.google.com/search?q=Acutaas%20Chemicals%20site%3Aanandrathi.com" TargetMode="External" Id="rId23"/><Relationship Type="http://schemas.openxmlformats.org/officeDocument/2006/relationships/hyperlink" Target="https://www.google.com/search?q=Acutaas%20Chemicals%20site%3Aanandrathi.com" TargetMode="External" Id="rId24"/><Relationship Type="http://schemas.openxmlformats.org/officeDocument/2006/relationships/hyperlink" Target="https://www.google.com/search?q=Diamond%20Power%20Infra%20site%3Aanandrathi.com" TargetMode="External" Id="rId25"/><Relationship Type="http://schemas.openxmlformats.org/officeDocument/2006/relationships/hyperlink" Target="https://www.google.com/search?q=Diamond%20Power%20Infra%20site%3Abajajfinserv.in" TargetMode="External" Id="rId26"/><Relationship Type="http://schemas.openxmlformats.org/officeDocument/2006/relationships/hyperlink" Target="https://www.google.com/search?q=Kirloskar%20Oil%20Engines%20site%3Aanandrathi.com" TargetMode="External" Id="rId27"/><Relationship Type="http://schemas.openxmlformats.org/officeDocument/2006/relationships/hyperlink" Target="https://www.google.com/search?q=Thangamayil%20Jewellery%20site%3Aanandrathi.com" TargetMode="External" Id="rId28"/><Relationship Type="http://schemas.openxmlformats.org/officeDocument/2006/relationships/hyperlink" Target="https://www.google.com/search?q=Thangamayil%20Jewellery%20site%3Aanandrathi.com" TargetMode="External" Id="rId29"/><Relationship Type="http://schemas.openxmlformats.org/officeDocument/2006/relationships/hyperlink" Target="https://www.google.com/search?q=Thangamayil%20Jewellery%20site%3Aanandrathi.com" TargetMode="External" Id="rId30"/></Relationships>
</file>

<file path=xl/worksheets/_rels/sheet8.xml.rels><Relationships xmlns="http://schemas.openxmlformats.org/package/2006/relationships"><Relationship Type="http://schemas.openxmlformats.org/officeDocument/2006/relationships/hyperlink" Target="https://news.google.com/rss/articles/CBMiwAFBVV95cUxORHhWaW1EeFFCazIyVU1uR2NDUWM2NEtDOWFQSFdQVGlDWWNicHVsNi1HVml6MWlJblR1TDMxcW5fQV9HWG9jUzFrRTB2cFZjbFk3SnZKbk1NUVZUUGhDSEhkU0ZwZjRjV21mYkt6UlNjTUhLeWRlMHY5SS1TaE5PTVRqUzNUNzZnYzJGTjA4WTAwZ1NJenJmQTkwUUd3OFFnTE5YaXZFamtmaGNnSnNyaTRHa25RY3EwTi12Y2gxVHA?oc=5" TargetMode="External" Id="rId1"/><Relationship Type="http://schemas.openxmlformats.org/officeDocument/2006/relationships/hyperlink" Target="https://news.google.com/rss/articles/CBMi9AFBVV95cUxOTkpxQWpVbVo4WlB0bVdqaFpTVFZCMjZhREVlX1NYdU1CMHZXSFhzWVhKMW43b0F6WUhsRUllYVYyT1dzMEo2UEhpbzQ5NzROUGtZNV9BQ0t0a05MWEctVnJValFVS1l6N2VVTkdXUzZ3STJQTUY5NWpDSk1LUHRYOTRJTU82d0VsU182aGF1Q2h6Z1lTQ3ZzZWNhTVU2dTNTVlJyWUFxeTMyb2Fxb3hsZ2gxSy15X056SktFNHY5S2JrS0NGWk5pQ2tzTkFnZ1dvSkEzY29fcDB5TnlQRW5BVXZjUWNKWUxTVnVxaDQxNmptWThX0gH6AUFVX3lxTE45RThXNkNRSGkycEd2VkhKbFFJVGdzOWd5QUJ5aDlBcmU1R0hQSmRRQ2I5Tjg1ZVktSXo3Y0xoT1QzWG5lNVJMbS1sXzNadFlFVWNsUUQ5NWRRR0loQXJXUW5WTE9xYTZ2UE12M0Nucl8tSE0xMWtUV29QLVZpWU1Yb3AxY3JFMTlrMnFEaGFySF8zbk03N0FwTVJibVByVENSdEdXOXA4d1NmTExPRVAtMnIzenYtMndnTzFFUU9selpjLVJ3VFpqRHQ1NGxJaVRTWnhIYmYyX0NCdWpfQjhxOWk3WG5iY2E1c3hSSWNSQ1o1dFpSaFQzWGc?oc=5" TargetMode="External" Id="rId2"/><Relationship Type="http://schemas.openxmlformats.org/officeDocument/2006/relationships/hyperlink" Target="https://news.google.com/rss/articles/CBMigwJBVV95cUxQaDVRaG1VMlQ2TFdGaVhENGh0VHZIdGNnYi1rUmJJTGFhY2MxcGd5MzYwdkJxZ0NwNmF0emd0Sy1aUER5emI1azI2bWxKZkJaR2prYkl5ZXNzZzAyeG5hbE9TbU5QaXhfWjhMWTh2bERLOWx1V2hwanUtdXN4ZkJGVk9sZm5LS19JeVBIVEJMSEVLbWFlcUFVMlM1VVpFd2VJeVBGTzcydTF6ZnZma19vOUhvTXktWEdKZDVJcngxUXJVa2R0UnlUY2RkS01HNTJzWngwZ1pGdWJFUXNvcXVJQkNnVVpEYVduWWV0RUk3LTJiSFZZbG01RUM4aDhPUGRGRTZj?oc=5" TargetMode="External" Id="rId3"/><Relationship Type="http://schemas.openxmlformats.org/officeDocument/2006/relationships/hyperlink" Target="https://news.google.com/rss/articles/CBMiwgFBVV95cUxPbkszOTlkTE9MazlfWEZIb0hrTW4wTnZtYVhxazlvUmt1QjRuTVh2NzFQZTdnWURJU0hDRFl2cXJUSmt1X09jcC1sZFRLd1pTUXF3dUJsRUFORGplOHpTVGpaOWg3VnNVcmdYLXBrZTJKOTRBNjNta0xkR093V21VaEZLV0ZCaE5ZcGt3Y3ZVMkJieHNsTXQ3RUIzZTJIdjZZRjZiRmlacDRMRldjYnYtblZrTEJWei1WWHhGM3lqNnYtUQ?oc=5" TargetMode="External" Id="rId4"/><Relationship Type="http://schemas.openxmlformats.org/officeDocument/2006/relationships/hyperlink" Target="https://news.google.com/rss/articles/CBMipgFBVV95cUxOMzNpTkZ6SEtIZGFSQkFfVWM1UmRzcExpcjM5ZDd1eG1rd295LWpVc1VRdzFHN295WHpVS0dLVFgwTDVWSnNtU3QwSi05TmZ4QkJEZTRhX2x0UXNZN1g0SXZ5bkNxN2k1UC1oWEcxOVR3dzd4UG1JRFFjdl9YamNPZEN2TVlVTkZjZ3V2YVFwNVFRSDVtV0J6c1JfTkRNc0ZMRi05Mk9R?oc=5" TargetMode="External" Id="rId5"/><Relationship Type="http://schemas.openxmlformats.org/officeDocument/2006/relationships/hyperlink" Target="https://news.google.com/rss/articles/CBMivgFBVV95cUxPTnNoYTRac1RYX0ZlSW1YRnRxYkFYSGNkdHZZSjlBSGdaUnFkM0t3aVhYMW5YcVF6SXBFcGd4a052QmFSUk5mOHE4Nl9oWUx2UGI1VkszOWNvd1FWTkpvYWUyNnVfV0FBbU13QThtWnE2VEZWOFV0R1dDOE53X1FfUkhvMHBJTHY0S1IyTnR2QWxQdWR5VzQ2VWc1NG55VERZTVdtTXVIVHFRdVVzMU81MTNYd0RwZXpLWWdrRnR30gG-AUFVX3lxTE9Oc2hhNFpzVFhfRmVJbVhGdHFiQVhIY2R0dllKOUFIZ1pScWQzS3dpWFgxblhxUXpJcEVwZ3hrTnZCYVJSTmY4cTg2X2hZTHZQYjVWSzM5Y293UVZOSm9hZTI2dV9XQUFtTXdBOG1acTZURlY4VXRHV0M4TndfUV9SSG8wcElMdjRLUjJOdHZBbFB1ZHlXNDZVZzU0bnlURFlNV21NdUhUcVF1VXMxTzUxM1h3RHBlektZZ2tGdHc?oc=5" TargetMode="External" Id="rId6"/><Relationship Type="http://schemas.openxmlformats.org/officeDocument/2006/relationships/hyperlink" Target="https://news.google.com/rss/articles/CBMiswFBVV95cUxNekFXb2hzckdSaDgzZ016a0N2cVNUUGJwdUdNd0F3VjBmZnBGbW9lUW52Rk9xM2g1VU5iVVF0QnB5ajB5WEVEVXBqbkRvUllVNXhkUldtMjJXeXBDWlljNHVmMzJsdm5LMEFLWnlLY19nSXJqZi1OeFJjS0VNV2xzWkVEZ25SaWNHa1ZIVmJVNlZaMlJ4UW1lYk1lT05MWTRRUnZCT3JISXE5WVhVeFpUUFJ5Y9IBwAFBVV95cUxNeWxHQ0ZkR3VZOWVoeHVwc0N5QVZHbXlUSHI3TTh6aXRzZnh2LWVOZ3FxeExjSXNneUprdVFSdE5zeExyWXJOeUI1azQxM2h3Zm1zQ05MXzlGSUozYk1kTklsdVZ5SUg4d3p5Y3ZQd3pCVk5WRTdvVUtuU0xXbDdMb0ZhYTNtZjlVX3JGUjFuWDdEUWp1dG52d284UHN5MHA2b2Jic05DSlpwOERDU0RMR094aFZOZ1VvWlYwRXJBM3U?oc=5" TargetMode="External" Id="rId7"/><Relationship Type="http://schemas.openxmlformats.org/officeDocument/2006/relationships/hyperlink" Target="https://news.google.com/rss/articles/CBMizgFBVV95cUxQSEFrNWt3eGNNNFhaX0wzMzRBRFZ2d056YlJFVGdISkxDbnMtTW8xZVhOLThjM0huSnAwOXpCTF9UTzl5bFYtVHpoQXp0NXppQzh3OWs2S0ZKWnJfd0YwSjdhcnJBaW00ODhVUHBzU1hXOHFkaVdGbThMTm1HU09QSGw5TFE0ZWNtS1ZWQVNtSXBSZUYyZV9VdTBxa2psTEo4eU9RWm0waml2aVdORTBndk9PR2RoaGJGOG45eF9xb24xbWpaaThVWXFBTU01QQ?oc=5" TargetMode="External" Id="rId8"/><Relationship Type="http://schemas.openxmlformats.org/officeDocument/2006/relationships/hyperlink" Target="https://news.google.com/rss/articles/CBMixgFBVV95cUxQb0MyR2JybndJRkFyVzhpUGVpT2xnSW5XUjNYNmZveDVDZi1jOXpYbGZZbjU5OW1HRGhmd2xMRXo4cmdUeEN2M1BUMkVWSkk3RUhoTFdVUkJUVzBTVEZIdmFQcTFfazNOR0I4VDAzU2NtTDhwRDk5ZmdtcHR1RDBvTTRUTDhKbDFXVy00QV9ZMFl6c2lkbW9aQjdyWDdCUjRZME9YVVhoaFh6OF9Dd01NNWZwSFV3NllnbFFLSGFxV0hCeWVQOWc?oc=5" TargetMode="External" Id="rId9"/><Relationship Type="http://schemas.openxmlformats.org/officeDocument/2006/relationships/hyperlink" Target="https://news.google.com/rss/articles/CBMi4wJBVV95cUxNS2tJcnBDcUhiZk12RXhkaVFpeW9ka3dKSlpJWnR0ODY4elU1UVU3MFVNSW83cGlCOTY4d2FDUnV6ZG1LbUpYYlUwamhNeUtrc0c2dzI0aVZ3aEo5S1BuRVlXNzBzbFQ5YldKM09qVnp6R05xV1RGbFdhYlYwRk93aWNjc3J1eVNwZXV0cnY1bmFkZktTMHBHNEl0bEhIVHV2SDBfZVJFZXNVOWdHcUxnX2R4VmJaQ0o4YlRKQ2xMNzlQQTlJUGZpbWVPZ0lxNndFTnQwUmlKQUdldi1xWjhfQXFqMUt4TlcwTTNaMTRCT1A1dWFSWjV2VUkyOVpWZDBCWC1QblZuYzFHT09XZGIzVnNVeENkZ3lUMjM3d21xZmtXaWtUa0dWOTNjbUNIVkF5QTJDclNvR3k1cF9mR2tMZWhKXzBfdENsOTlVdzczeUE5T3BoMUdPUHBXdU5Pd1Bscjhv?oc=5" TargetMode="External" Id="rId10"/><Relationship Type="http://schemas.openxmlformats.org/officeDocument/2006/relationships/hyperlink" Target="https://news.google.com/rss/articles/CBMitgFBVV95cUxObGpjc041Wm82bVlKdUI4SVhQQjRrNVlhRXozM0NSblRsTmoxU0labkhjeFVMYkQ3eE82N2FqOGEwbHN1OFZOd1RaM1Rkek5BLWszS09PTWFkWGVIaGV6UVpnUHhzT1AzLTFuUmxfaUVwY1hubnRpZ3JGZC0xb213NGpOTVhOQkpld0FlQ3laazVkTWlaTlRUYnNjMnpTMkFyZ1FVQ09LcGVIeVNrWnVNTWp4V3FkUdIBwwFBVV95cUxPSEEwRDlBTGJYOHM2SHNoaVE4cWktYjlOUVNYSVBXcWtUM1lsMlNmQ040YzhCZ3ZnTlB4cHhjN3pGbm5sS1QtWmNFQ09lellfbWdjcGhWeU80cl8yRElHUi1ZNXR0T2RRRG4tRlVMYTUzck5YUnJkNWxLeUdlRTFhSFJKUkhwU1A5WFl2MzZNenZKWC1SdHAwWXZZaXF1TUtlOHZYelVrcmtsdFptOHNvcV90SjgzbnE0Zlo1ZVBUbDFpTEE?oc=5" TargetMode="External" Id="rId11"/><Relationship Type="http://schemas.openxmlformats.org/officeDocument/2006/relationships/hyperlink" Target="https://news.google.com/rss/articles/CBMihwFBVV95cUxQOGdqRkVQd1I1bmlUSGJqM2tpeC1CT1N5a3ptNll5RnJ1OEJuUy1oUlozVk1jbHFndUNsczhfWWpQenloWmhBTVRnZzF0SjNDbnBjQ1JvZTJvenA0ZzdZUEs0X2tzQTVUX2FONHdrbW5ObWJOWTRoVWRlX2VKQXVFSFhmSHozaXc?oc=5" TargetMode="External" Id="rId12"/><Relationship Type="http://schemas.openxmlformats.org/officeDocument/2006/relationships/hyperlink" Target="https://news.google.com/rss/articles/CBMinwFBVV95cUxPTkpiNjkwaEI5dXJObTk0LUNManoybGVNbVVaTndvTVFfRFZ2OXYzQTZIdVRXSlozX1RBRXBYRy12VDAtWUI2MDAyN0lCenotZ1phRjdsRTVpaHItZWlDNFVadnBZOV9SQkQ3MUVFbzN4ZlprbW8wVS1XSUU5ZkhOYlhpMDQwb09sSWNHT0NQT2hudFE5THdFVVZyTmFua0HSAaQBQVVfeXFMTTZiSUxTVmV1N0lObXRreld6dmNnRTVVejZVdmF6b0FSSTFvamFHcjJMUmVlU1VQdUp3WVltOWhZWG50OVI1Ym1wcGx3bTFacHlFVnM5V2ljUlRTemxXXzVkU3FQdnFPNnBKbjgzMjhzNzMwUEJPdl9jclhBd0xXZ1dkdUFhdHc1S2ZlcVBMazE0OVIzTFZOUEZqVHdFeTZ0ZnhvTzg?oc=5" TargetMode="External" Id="rId13"/><Relationship Type="http://schemas.openxmlformats.org/officeDocument/2006/relationships/hyperlink" Target="https://news.google.com/rss/articles/CBMi7AFBVV95cUxQcjhLX0hoeWQxNlRqWi1jRkJmUDNCNk9CdUpLOEszM2pMcUliaTRPS3hHWWtYNk5vaERsT3ZBRGVYX0JGOVA4VVc2NVZPRWgtdXkybVNub0RITzdNeUlSaVlBTnU3VnRmUVF2amh5MURVbS1VZnlnZi1HSEhNcFZRV2Rib2F2R3kwaElRaEZTM1d0enl2QV83MFNTcWNtcXJ1c19acmRpdXRnLTZaVnFaSlN1d2tJWGFjdmpMOXp4cmE3NmZvcDFjVjhieVpmUmtzcGRhTC1MQXZPdHRHU3BmSXU4ZDNUSmxHZ1pCMtIB8gFBVV95cUxPcV83NjJXaVNRTkwzSnAtbXppdTNYLWFKb1h3ZVNIZE5OV3NObU92OWlhd1V2dXE1VnE0MUw3bU94WVppaFl2eFhCc2pjZmVxN05Jc1NBSWhiMHR3ekh4dmlfZG9UNHFLSVZWRWw0NmhhX3REMkFUMTZSenQ0aFpyRkZGNVlPZWh6R1BFamNtLWxnem5vaGpjYUdPY3R1ZldoRTExSWlHdVZiS1dmR1hZR3NpOTRBY3d2Ry16ZnRjdGxJZl9jNVV6Ti0wSWRZQ3pvSUVCUlJPSFlJT2NsS29Ob0tCdUtpSGd1c25FV0M2bDRPQQ?oc=5" TargetMode="External" Id="rId14"/><Relationship Type="http://schemas.openxmlformats.org/officeDocument/2006/relationships/hyperlink" Target="https://news.google.com/rss/articles/CBMi7gFBVV95cUxQMFhhRjQ4UE1Hek83TFlQZHFuWDNZZzFndFBDZmR0X2U3QUU2elJSQ0JSdUxvOXRCWDN0dmwwT2lwVWlaVS04LUpEUUUyQXJGS2dUNkxNVGZVTDRhMEJpekVTZHBaMlNjcC0yRmZlSC1WcFpaeEMtZzQ4dW9mcnlwaGhtNG90NktyRGlod1ZpenlTUEl6VkVCMVNqYWQ5dWtCZkYyUkw2Z1VpcmNMVFFQbVZWUzBVS2MyM09PSnpYNnZzUnJKN3M4NmtOY0M5QXhJZmw1azlhVXY5anp5TENvMTA0Y05rOXByQ2t6aFBR0gHzAUFVX3lxTFA1LVlMMTZMYkkzdkR6VHE3RldZWGV4cEVsY2w0eEtydWpzN1lFeFVWTDdJenJYU0hCNlZ4dE1taHMwNFhTZURra0hyT05sRXRvU1pXUXhFcDRLVWhnY2tpanRqcjBXSUxURjgyRWViV1JRTDJJQWFzeVhEQmhsQzJlV084ZTV1VEFYVkxUSm1zdVZCbG1VUkZqM0ZLNzdLaUVwVGJKM1hhOUNPR3VNSFFqZXBzVlJ0MTY3RlJBTm8tSi12XzNOeUZ4N0FjaFFmWWRKa3RDaWNQdllfN1ZnRDE2cEo5OVMyTXFoSkxnXzBNWmlaOA?oc=5" TargetMode="External" Id="rId15"/><Relationship Type="http://schemas.openxmlformats.org/officeDocument/2006/relationships/hyperlink" Target="https://news.google.com/rss/articles/CBMiyAFBVV95cUxPUzNoRUF5VnhtUm5JOVVWaVhiVjEyZy1NQ1JCTFlSZW8zT0dQS05JdEotbUo0WHpTWnFmZ2l0OGhzSnItNGJiQzhZbDdySFpaS3huVEhNRUkxRTNYcXJBSlV3cXgzUUU4WnkxcmQzOFplcUdwOVMxNDFNTnJxYVo2dTZVUUpaaExlb0hUQzkxRFE4WE9VdUNjd2Zyd2RocDdteEpUZ3p2VEFWSlYwSE54VlBJRVM4bXQ1RUd0VGIzVE9MZ05ialdrOQ?oc=5" TargetMode="External" Id="rId16"/><Relationship Type="http://schemas.openxmlformats.org/officeDocument/2006/relationships/hyperlink" Target="https://news.google.com/rss/articles/CBMi3gFBVV95cUxOWlNaMk9KZFRkWkxlQkxqSTZwUVdTVW5PenhfYzB5UGFJTVgzN3ZUemFVY3FPY25lTy1VaXluQU84bS1LbXFubzRScE5ZajJra2pKdlFjVHU3WHVxcG5nSnBfQXZ6R0FuWlhoVHRRaVFRaFctTnZNNWZrdmpRbzJrYXFBaldNdW9zOUlWcFRkU2x0emx4eHE2SF9WUFZFTzlmTHdObHdvVjdyRXk4bHZyS1FDS05GUEtUaU13V0hSbEQwdGQ1dGN4Tkl4N05mYWs5N3UweHU3eFF1dTZvZXc?oc=5" TargetMode="External" Id="rId17"/><Relationship Type="http://schemas.openxmlformats.org/officeDocument/2006/relationships/hyperlink" Target="https://news.google.com/rss/articles/CBMiuAFBVV95cUxQWVQyVS1RSEpqWml3ajhOMy1lWGxJSUF3RGpNTTh6UTVzZ1o0NHgyamM0YWpYNVNRTGlQaFhTY1hmdGlZVHlkMEc2YjJmSGxDdzRfbmhtR2R1bi1JZHBuS2tuUU9WNzZ0eUduMEk2WlROTldYbkVRNk9ZU1RLWjNvb2tsVUF3cUU0V1NyNF9uNGVjU0RWTVNFMHYtaUlIYVBnOFFoeEFGdHJFTXRadkxlWGxIMTdEajlx?oc=5" TargetMode="External" Id="rId18"/><Relationship Type="http://schemas.openxmlformats.org/officeDocument/2006/relationships/hyperlink" Target="https://news.google.com/rss/articles/CBMigwJBVV95cUxNbW5vdUhsQ0Ixcm5QZThsMjBEN0V3aXVKV0d5aUNqU1lkX0hoeE5hZDN2Vy1Wd3VJc0Vha0ZHekVVY0ZMTl8tZHFvU2M3cTJDY2pVVHF5SjR2cDJBQWZLRjhrY2hNTmx4RlZOOGVxbF8xS3VLT2w0THhTTDFzUUFTbkdjck0wUk43NHVlUlU5bl9kQ19UYXZGNFoycFNFa1RGNzJqVjc4aUo5b3dyN0daVzRXU0p4LUotek5Cd1JiRHV4X2NtRlRQTXB3QzdiTlc3VWlaVlJBeHgwZEFoT1VRalFBM09VRzRqOGo5MExPeFFKRklsRVplcS1RX3dYcWI1MldF?oc=5" TargetMode="External" Id="rId19"/><Relationship Type="http://schemas.openxmlformats.org/officeDocument/2006/relationships/hyperlink" Target="https://news.google.com/rss/articles/CBMiiwJBVV95cUxPNURoVXphcVFVS3NRT2F4dElYbnQxN082OXNLVVEyTnRUdWJGaXdObk9sYzJ6YndrZG1ZX0hlWXVyaUNGQnBPR2hmdVBaN2dFU1lOQkpacmkxMDBIWHYtYlJCUldUb0pQSHlfZ2d0cW5ZV0RjLVRkWHF3ZmpBU0RkRkJnREpkTTNuQ2RhWGMxeE1oMlc3Y0xpQzdVTnhmb2tBaXAxdkxmVUZoUzlPeDd4eXpRLU5GcFBWbVMtb1JvT19TbkVGdWpDM1JfcE05cDV5VmN0dWxBTDVXUGN3Rjh5SUNYSTdyREJRbHNXRTA0Vkt1Q0ZQb2lYcDI5TlppWUg3OEtlNGlBcU9QNFk?oc=5" TargetMode="External" Id="rId20"/><Relationship Type="http://schemas.openxmlformats.org/officeDocument/2006/relationships/hyperlink" Target="https://news.google.com/rss/articles/CBMi4AFBVV95cUxQbEh4am5nYnUxS2lSR18tZWxBTEdaMEtSMGJMVkpKZkNJQ1dENXY5N1RJMDdpU0hURTlUZWNYNWlET2FKcVNEZEFnQ25ucWI3ZlI0RzA4VjBrRzlRbVBfdzV1SG9pMGp6aFhYcHRwTC1aeW8wWWZHcHVBN0k4M3NFd3FOMzI2TDVVdmNyeTZtZ0VoS3RmZkE4SkExbklXVlJZUjBtbFFKQjlaWW15cm4yak00Tzc0dW92eDh6Rllza0h5TkZqbEVVd2VwX0VFb3ZpTklHQWd2emtoRy1ublQzQw?oc=5" TargetMode="External" Id="rId21"/><Relationship Type="http://schemas.openxmlformats.org/officeDocument/2006/relationships/hyperlink" Target="https://news.google.com/rss/articles/CBMi3AFBVV95cUxPaVlyZ1ZqSFRFc3VMUUUzRk5QRHR6Z21qdTdRX1pRaWV1VEl4S1psOERUbW9vY1N2eE5RbkVYSHFGdmEwaFZOLWJLUlpRWTlwX1F3Wnl1ZVJZbVlQRWF6bWdKMnBsaU5Pajc4eWpvVGtLSUdiUE02T05zQm9RVndOZEQ5UEJVSnFDeFVqMGRadDdLUFNQazZZYnAwM3RJVlBQNGRibUVYd0dQQmFpcjlZN2hWWGxRWHRMSHdxQmtna2x3YS1QR0RyYkZtQlFkRURNMHJvdE5ncVliZko5?oc=5" TargetMode="External" Id="rId22"/><Relationship Type="http://schemas.openxmlformats.org/officeDocument/2006/relationships/hyperlink" Target="https://news.google.com/rss/articles/CBMi4wFBVV95cUxPR1E3M01JU2pqYmxVNEVFUnJTUm9RaGU0akotN3dTY01NNXN0TEh4UjVIblFwcDVQNGt3cF9rX2JKZXBnR2dKV0t2bGJFZWtHT1o0WHZ2VXBGbm93N0w2WkxRbnNvWS1JZ3BwX0VCRHhKN0hKTEF3TTJtcWJhMjFMT3A1S1ZCbXNoempWLU9NdlFiTGRwa2RVQ2djVTEtSVZXekNVMUpzd1BzNzRlM2ltX3ZNQU82eVhxaGxzcWxucnhQTXhNZEkwMldKLTVVcms2cEpWU1NPZjZpenY3V0tSaHV3c9IB6AFBVV95cUxOZFVPX2ZUdWZsYk53ZWtORTNwYmhPMlk5RDEyVlNHQWU5ZnpSTjY0UTlTT0FETjdQR1FPMWU2eTJZdldXVlFoc3RoSG5qX3pXVGg4N194MGM1X3dGeFRhdENpNXUxSnBNTUxydzFMU2RIYndRU21NRUgtOUlfU3BIeXF2U2JIamRfdDBlcXpHOTVxX3Jsbld4UHZ4X2RUQkNrczhOaFBSenl2bGZWTEZoWWgzMzAtTE9ndnpOX1FKUUpRRFVfaDI5Vl9Ob2R6dUU4bkllcGNxZURxN0d3TU9Jb1RNLWNZZTY1?oc=5" TargetMode="External" Id="rId23"/><Relationship Type="http://schemas.openxmlformats.org/officeDocument/2006/relationships/hyperlink" Target="https://news.google.com/rss/articles/CBMikAFBVV95cUxNYlBmNHF3T24wXzBiLS1QRHp6X1hpZEtOWHhtZjU1NV9TR3VraFpfM2J4aWREVHdPcWhzaGtHOVVHM0hsb1ZiM3prallxN0dmUmRrM3F3QUl1WTZzQk05YmFHTmswUWVKNWQ1bGRJMnRsOTRrX3NrM1JBRmI0Nmw5TG9KSkt1LTdzd2MwTko2NEs?oc=5" TargetMode="External" Id="rId24"/><Relationship Type="http://schemas.openxmlformats.org/officeDocument/2006/relationships/hyperlink" Target="https://news.google.com/rss/articles/CBMipAFBVV95cUxNR1VuUFpEdVJqRE5lZlhkTWtlQ212M3M5NzAxU1ktOUZoUV9VX21YS1Rwci00RXJVWk5CMVhGSVF5N2NTOWNOQ0djTWhDS2UtRGR6UE0tZVRnanktZXNmQXVCY1l3WjNJczc2STlqeTRkdWUyVEt5enh1Zzh5VWZoaGwxWXJSeHZjV1RkNFhfb291cm4wRzlJcXhoYm9ENlJVQk0zRg?oc=5" TargetMode="External" Id="rId25"/><Relationship Type="http://schemas.openxmlformats.org/officeDocument/2006/relationships/hyperlink" Target="https://news.google.com/rss/articles/CBMiigFBVV95cUxNTlRlMnE1Smcyc3JSd0dING85ZXQzcF9CRnNfbnlBTXoxRjlfQ3BsYVdYWEp4aVFZLUlBZVFHSUlDa2dOV09mdWRDTnZjbW1tRVc1VVZUTUo3NlNfQmQtYVBfT09VcEpoX0tIbF9DZXRXXzJidDFNSGVIeWNvQ2hieklkaVcwWDBHMXc?oc=5" TargetMode="External" Id="rId26"/><Relationship Type="http://schemas.openxmlformats.org/officeDocument/2006/relationships/hyperlink" Target="https://news.google.com/rss/articles/CBMiwwFBVV95cUxOMzRwZ1N4UUVlZEUwVG1lUEVIRDBYZVFqZ2xkQ0xQUEJNVTFYYmlDTkdzems4WmozUXVvb1pLZUhVRG5oM1pxM2R4V0VsMy1ZcGhjc215c05EMTJTbGN0OU5PNzkwaWd0MjFqal9MVE5Zck5aUzFQaEtmdDVMTURwQU9xV2M5a21QQ3J5cXBJcFJaQkpvalhZT3N4eDJ2N3BOWFhzX0txY01mSnVaekd1UFZBSUlFVHVnY29KU3JQUGZuQUE?oc=5" TargetMode="External" Id="rId27"/><Relationship Type="http://schemas.openxmlformats.org/officeDocument/2006/relationships/hyperlink" Target="https://news.google.com/rss/articles/CBMizAFBVV95cUxPVTdEbktiQndGcjkxQ3lRM3NBN2hHRjM4RlIwRDdtZ0xJb19nTVVyczlaQTFNc0tYSEp2eTZjallOTDlPeGdDS3ZDUGswRTk5SVZwQnE1bzlGeWdPV2VjWkM4V0FwQUdwcXZUQXFicGI1TFd0WXJHd3BhUXgtZDBCN1FudDFHbExaYjh5RnlpUEE4LWFsMGk5QVpycFYycUxqem5qLVJFUWdJeldqQV82R3hIMmtzYXdfODJWZWt1MnRlV2dxVGVNOEdtZjPSAcwBQVVfeXFMT1U3RG5LYkJ3RnI5MUN5UTNzQTdoR0YzOEZSMEQ3bWdMSW9fZ01VcnM5WkExTXNLWEhKdnk2Y2pZTkw5T3hnQ0t2Q1BrMEU5OUlWcEJxNW85RnlnT1dlY1pDOFdBcEFHcHF2VEFxYnBiNUxXdFlyR3dwYVF4LWQwQjdRbnQxR2xMWmI4eUZ5aVBBOC1hbDBpOUFacnBWMnFManpuai1SRVFnSXpXakFfNkd4SDJrc2F3XzgyVmVrdTJ0ZVdncVRlTThHbWYz?oc=5" TargetMode="External" Id="rId28"/><Relationship Type="http://schemas.openxmlformats.org/officeDocument/2006/relationships/hyperlink" Target="https://news.google.com/rss/articles/CBMitgFBVV95cUxQZndlbWRPVV9WTGs3U2luUDczVnFPRHBKYnVXOFVMdGgwcDZ4N0dwX1d3UzdiTVRISlhOeUxjQ3JxTE5rWlltdmRaZDZQQmo1VHh4SGlFY0lOdGF3Uy1IanNKX29TelJFRkxoMldYVHpMbDVwcEZzX3NTMlRXeVUzdDZDVXlzcFNNS0x1cmthR1dqZmo1V194X1V6eEc3UVM5eHhpUm02OVhDVTBLX0hzRUVuVkFJZ9IBtgFBVV95cUxQZndlbWRPVV9WTGs3U2luUDczVnFPRHBKYnVXOFVMdGgwcDZ4N0dwX1d3UzdiTVRISlhOeUxjQ3JxTE5rWlltdmRaZDZQQmo1VHh4SGlFY0lOdGF3Uy1IanNKX29TelJFRkxoMldYVHpMbDVwcEZzX3NTMlRXeVUzdDZDVXlzcFNNS0x1cmthR1dqZmo1V194X1V6eEc3UVM5eHhpUm02OVhDVTBLX0hzRUVuVkFJZw?oc=5" TargetMode="External" Id="rId29"/><Relationship Type="http://schemas.openxmlformats.org/officeDocument/2006/relationships/hyperlink" Target="https://news.google.com/rss/articles/CBMixwFBVV95cUxQZ1BFdjlmMS1tUWlWYlgxdWF4aVNSbU4zdV9TT3hGcDZZT0IyZVVsWUhmREowc3NOSFZrMnF5WEVJMjdwck1mWGdjWlViTExBWmpTcTc5LVp1czYtYjJhVmZGeHcwbDZBdjh1NVVMcm1NZm12X1NWeTNxVU02eldyd2ZOdFNlYUZOTl84bExtaVBaMUJBQzBYS3RJdjVzSlNqLW40Yk5qOVhvZHNGVGx2VVFnbUQzcGV1UFRXWTVmTm1Jc19lUnZZ0gHMAUFVX3lxTE9Vb29EOEQyckJjc0NwV0hMU2dObVQ5OE9reVVzRFJqZTJIVVdNNmI3LTJzNXBUOWVSYW0wMW1MbUFMTFJtYzFGNUdwckxXaUFrN2RLYUhudlFrMzBheEktNTZGRmdpUHFyLVJxR0ZydnVQdkhfZ2tudlRoUzBhd1pybnVwN194T2dMSk8wUzJheVZKUkNzcmRXU3laVVg5T1RIN3NuWUI0Ym56RjczUlo4T0pIV3ZEREJIVFBDRHE2bnRGZzA5M2I1S0lKTA?oc=5" TargetMode="External" Id="rId30"/><Relationship Type="http://schemas.openxmlformats.org/officeDocument/2006/relationships/hyperlink" Target="https://news.google.com/rss/articles/CBMi1gFBVV95cUxQZGktWlprdnVRU216QktkSExNZmVSZzRWcjV4TnhZWmJQREJDODV0cXVYbHQzTlhYRVgzQm1NRW8xNUNMWTZaN0ViQzZhaU13Q1VVTXZ3MUJFcndZTGoxWVNjM1FkckFiTGxvY2xXX2NIb0VqdWs1N19MT0VXdE1TQ3ppN2NfQ1VTQmgtMVc3M1V4VUtZQkcyZUF4NmM0ZFVwdnlFdGYtMGRlZGJZUUxDb1ZGcTBwYm1sN09oRlc1VTZjTFBYS2U2OXVZaU1HbzYxMlFqaVBB?oc=5" TargetMode="External" Id="rId31"/><Relationship Type="http://schemas.openxmlformats.org/officeDocument/2006/relationships/hyperlink" Target="https://news.google.com/rss/articles/CBMiwAFBVV95cUxNbXlOYXBzNW1Yc1Q0WDE4em1VMjQ4Tkd5MnBMenpWY3c0eEpETHFjLXdwWnpCZlJUVTNvYU4yNlozeGJvMEVIcWZSc2Y1UWZjalcxdnJjRDRPUGpxSVVRcmQ5RWVaNkd3VEVTTGttbnlRd0I5Tk1wZjhlTWoyUkp5ZERTYV9UeEk5UjRmaEdha0RUSUJWSU9wZVdjYUJuQ3FGVjJnQ0NhQkl0MzBPS3lycVh1SlIxTXN3UGpQSWZmQ3c?oc=5" TargetMode="External" Id="rId32"/><Relationship Type="http://schemas.openxmlformats.org/officeDocument/2006/relationships/hyperlink" Target="https://news.google.com/rss/articles/CBMizAFBVV95cUxOQmRadHBDQ2twN1ZqZ08zZ3E3bUxLcDRlNXE5THhyMVdvdldjX2IzR2taazhhc2VGMjQwUEE3azBFUnpGQ3B4c09ha3U3Vm1KZzBJWUh6VWhCNWp3OHpkbjJ5YS16U3JCbWJXN1UxOEdYNnVKd1pDVDlaOHJjbDY2Sk9BdkFnandmMndzN2dZMC03Qzd5RFRTTEdUSXVFRF9HU1VwUFdUcDRka3JTOXZjamg2Mk9oTHJvTW5DM3Z5QlNnSDNqeHFueUk1V0o?oc=5" TargetMode="External" Id="rId33"/><Relationship Type="http://schemas.openxmlformats.org/officeDocument/2006/relationships/hyperlink" Target="https://news.google.com/rss/articles/CBMihAJBVV95cUxNRXpHZ3doYXNTeF9qM3VvdXVqbHNIX3VfVGJoOFdkenk2WkRYZWxfdnc4RW1iRXZ0TlEwSUVYMndvSE5pNGVxcExQVFFjMzFpT3lXVlVGOThGVE9abnJpY0ZhSDAtd3hzRUE1NGtTN2llejRaajFfeWZLUHY4R1cxZGFSYUQyMW9Kd3BxS2ZjWW5aaExPT2FySzZROTJaR05hUDZSYVFlR294dVp6T295bHRrN1QtaHZybTZmRkRNcmxJNXJ6TVhBWjQ5dG1BRlJXR1ZoTmhRV3Zkak5qcmhDOW9uYTN5WnpQZnpOWmpPMFJ5bDlJSzE1SmtTLTVXQlB1STF5dNIBigJBVV95cUxPclAyUk55S1duaUUwWGo1VWhsTWJveG52amFVZWxGX1BvbmItSnFIUERkaGFLZjlILUxsNmZheWFyWDcxQWxZOVBmNXFYV0xRYTljZDlkTkpsbG4yNkhMNVpTanNYU01YU21YOGpQWTZJbnpsakN5TmdKX0x1ODdfR0dvWVlZVDFyd3I5M0ZBd0JyUi1DbW0zcDVhMk1hdGpDTXVCNUNESUVrSjdDcXJFRW9vRzNHODVXNGRCZ3M1Z0RlajhNVW1CUi1sbnZtbkozVl9tSUdDYnRwMmhoeTJUVzNyOEZvRTI1a0xERlBQckJta0FOWlNFSUxVSzE1MEpCUmRjc05hWkJUZw?oc=5" TargetMode="External" Id="rId34"/><Relationship Type="http://schemas.openxmlformats.org/officeDocument/2006/relationships/hyperlink" Target="https://news.google.com/rss/articles/CBMixgFBVV95cUxPbzY2MUNzNm4ySVA1VWZlcW9Qb3UtczFGV1NuSnpWS0hGQUhtYVVCTlJrWmp2Z1FqOHFydkVNMkdMYTQzYnZZeFVPbDBnUWc2Um9WWWljT2pzZjJQN2hZRmZIazRnX1hUMWNRVUkyMmp4Q3E1ZWFES0RBWGIwTHNaRWRKekc1RlhxdGtTN0pXMDVFOVVub1Z1TFJfbFctTERZWFI1SVB6d1dfc09CeEFYbGtmZVBmRFNqVzJOamxPSTM2bzZLNUE?oc=5" TargetMode="External" Id="rId35"/><Relationship Type="http://schemas.openxmlformats.org/officeDocument/2006/relationships/hyperlink" Target="https://news.google.com/rss/articles/CBMiswFBVV95cUxPQTlzem0xU09vUnZuSXZwQXpvWWhGT0lHZmZsbXFVNE5xS0VQM01qRWxzaXd0VDRXaGZMMUlBOVdMVGhQNnktQVFzM2RUZnNkWFlfVXU0UFBySWIyZDVlUjJhTEd2VUd1U2tlaTEyTDJweEl2SW1KNG43SHFDNUd4Z0xabzBZOGNoSWpYcGdvdVBtQ2Z5MmY1SlRPX1R3V1NDT2JucUlrT09ZdzlLaDgzM1BZQQ?oc=5" TargetMode="External" Id="rId36"/><Relationship Type="http://schemas.openxmlformats.org/officeDocument/2006/relationships/hyperlink" Target="https://news.google.com/rss/articles/CBMiyAFBVV95cUxObGRPTURtWEZkU0s2czN2TFowWVFOc1hvU3l0TEhWRVFuS1F3a2VmRW00MHlYX1dySnBKQzE0NkpEaGdiOGhSVEZrbTNhRlBseV9Lb204Q08tbWdFREhUUHRMZGdIU1h1RUNQNjN3TEdQN0VkZnhXTVB3MnBGbTFsUnY1QWN4ZndXYi1QN1AwcVJ3aVZnZkphNi1nbldxajJ6djZDbGZHYUxZS0FEdEVJWm8xSzVHOURpQWkwRHUxVTJpemhSOUc5aQ?oc=5" TargetMode="External" Id="rId37"/><Relationship Type="http://schemas.openxmlformats.org/officeDocument/2006/relationships/hyperlink" Target="https://news.google.com/rss/articles/CBMilwFBVV95cUxPaXNRdUVmSDVPY29LQVhFNXNScGNDV2cwOUd0VzNvXzdCZ1doV0hla003aWNHQ2hoVHZlSVlHUWVza0JxVnJPTEFRUW5OMFQteDNUcUpLTUgtcDJ4TXFvY25CQXFDTVZLZENzTjJTTDRiLVFLTzN4aDByYzZ6enZ3OHpqbFN5LWcyRlFOR3EwTGRuc2R5dTBv?oc=5" TargetMode="External" Id="rId38"/><Relationship Type="http://schemas.openxmlformats.org/officeDocument/2006/relationships/hyperlink" Target="https://news.google.com/rss/articles/CBMi1gFBVV95cUxON0JlaTBlVXNKY09lczEyVEZodWJwcXRzdG0tQ21INVltWXh4UG1HbWJIaHNfVGJYZS10QVlrU2swUWdEOHB2T2dYNzZsNlhKYWFBY1BYbkdrZFVIdlF4cWdBVUFpTi0yU2FUY0dwTzdSbVZwM1dfSmJrSVRrcGxRc29WRTJwRDBOTC0yZ3Y1Xy1McFRZRVVQYlI1aFdCNDFKNFVNTzZOOWl0cXMtQTQtY0pUcVRNNzN0bXhZaHMyTm9rUkxieFVsNzRfdzFBOWloZjBzeWVB0gHbAUFVX3lxTFBIUTdUUHFVM1dZLXMyRVRtTTJsS0NjcVZtdm5TSVpFOVFvb28tNkR4dVVRMGJ4YWFTbGl1S1J4eFQwbktLZzJ6RHhpX0VEZmloYk41aElZZmpMWEhTZWp4TS1sa0Mydkc1RGptNjF3RnllQ3VSeFJVM0pkVlhlTGVlZ1dVYm1YZ085VHljSEVTcE5BVWVTVURLM2t4bWJad0dHSU8xX1hhNVQzajJyTUFMc0duUEdPN0owbE5ZTW1nS3p2UjIwdzNVWVhtQU9pdFJzM0x1SWJzRUVoQQ?oc=5" TargetMode="External" Id="rId39"/><Relationship Type="http://schemas.openxmlformats.org/officeDocument/2006/relationships/hyperlink" Target="https://news.google.com/rss/articles/CBMi8wFBVV95cUxOZHBIMWpNRDkzNnJJVWEyNFQzbDRNNjhMejNYMzQ5U0JucHU1dEVfOGpfV2RGWU5LSEM3TnNGcFZCVllpWjlyUDNoX09uc3dWeVFBY1RtdU54Tks3bldVLXBOMTIyRjdPTEIxNEhHMXAtV3hRNkdOWnJldFVYcVJ1SkRTdGxBTlJCeFUxVDRBQW5OSTVGMnl4YlA1Z0tLY1pLWEM3LVlsaVd4b3BzcWRSc1ZadEk4V0xIamFxcTg5Y3pEMFd2SEFEUENWLXpPUlJNUkNDcjh1aWpZVVRsUVgxbEk5NDRkQ2c4MXB5anp5eXA0YmM?oc=5" TargetMode="External" Id="rId40"/><Relationship Type="http://schemas.openxmlformats.org/officeDocument/2006/relationships/hyperlink" Target="https://news.google.com/rss/articles/CBMiyAFBVV95cUxQUl9Cb3RNa19ZSk1zX1ZuVUF3dktGdVFXYjBkbEVKajdjV1NyS2E4MHRkdVJieDZEeXRKNjhGSTE4b2l2WDBnamItM00wVTVTVzhmNF9PZXB4OUZjRExYQ1pWdmpFYzNwc2s3M3BwR1Y5MFhTRUlSdVB6a0lWWE83eVNKUDUyTU1fbXhqcHZjbkoycmpOd1RjU0JlSE05UV9wVEM1V1RZSFRxZ0xDcXBkemlITGVpTzYyTkJMTDEzSXhYZHVsak9ueQ?oc=5" TargetMode="External" Id="rId41"/><Relationship Type="http://schemas.openxmlformats.org/officeDocument/2006/relationships/hyperlink" Target="https://news.google.com/rss/articles/CBMixAFBVV95cUxPT2Y3SjBjYjlrQjFWVFlKSm5Oamo1VWRCaGJPTFZCbU1tN05PX1YtY19iYTIyTkFoWmpEVE5fejRsaUx3cTVCcmZFLTAzSDRhWV9VdS1lbWlMd3Rqd1hFdmVRUTZ1dkhzSzZGcl9TdTBaTjNIdno2WWF3MGhPZk16QjNwWldyeDRlNkxscHJ0RlMwdHk4bjBKcGFidG05em1rZlhZX0lmalloMkdrTE5qUVJqZk84bDF4M1hKLUJXVi0tM3k10gHSAUFVX3lxTE1WTTJycjBnOUNmUS02eUU2d2JwaFl3dG1Jdk5vNVJEUG9MLWJJV2Z5YXlQY1FVR1h3a0FyVURRSnduWjMzUHFRbzAzTnpkUWJEM0pnWUpwbW1HS1IyM2pady1TLVhBaXpRSWFrb0d3UjVtRzNINDJfU0NGVjJkZllLeHRMcXBManFXZVNGcmF2c29paFNRYkU2a3piYzhyc1dDcUctSUVWMEtqUHhKYkhPTmJ1M0ZUbi0xdnJlWmlXdVoxcGRXWnRNb2dKeEdSNk9zZw?oc=5" TargetMode="External" Id="rId42"/><Relationship Type="http://schemas.openxmlformats.org/officeDocument/2006/relationships/hyperlink" Target="https://news.google.com/rss/articles/CBMiuwFBVV95cUxQUW9VSFZpTmxaMmJkTTRPbV9rbWwwWEVGbDBmX2cwUVdOU0M5MDF0ZFgwRmNZdFg1b05ZRmpTSEVtZzlrdHBBNElVM1VOMlRNVzJnX3FlUE4yczNBNXhSc1k0alBuUWZWVm9WckZsMVVtNy1xa1ExN2NySDJ3bzdycEVYUUdXaGtwRFpFaV9fSU42eGtlanZCSlZQZVpYX3ZBSTl3MDd3UGtOOGdVdGFlbHZIN0xIcHR2MVVj0gHIAUFVX3lxTE1uNUhuSno4Ul9mMWZLelZZbFYtbVFxWGxKbmhiOGlrNEIzRWcyNzhqM2NwaDJMeEY4Z1dVbmFKQlFXck44UDFVNnhNMlVvQkxnb2pON0lqc2hqQWNDMDVCVmlreWF3WkppYlg5bVpQdGtHQ0lBQ2dycEZhU2tZamZnSFRyOGV0ekpua3Y1ZVdzYWMzRVdOTVp0RmtPWnN2Zm40STlnNXJ2NXhsM01rYWNVNzA4UW5udXJTa1NGM2FaM0c0RUhNczFL?oc=5" TargetMode="External" Id="rId43"/><Relationship Type="http://schemas.openxmlformats.org/officeDocument/2006/relationships/hyperlink" Target="https://news.google.com/rss/articles/CBMi1AFBVV95cUxOeHUtRzN2UjV5YThrUUlsXzhqbTFLeDZxVjFnMVRScXhCQUlFUXZKekg2a2lweDBlSEE3TFhVaXdPMHllbmpCM1dIUVE4NUtSWGllTEI0bnp2dHdHaXNvajdxeWZETEpUNnJ0WlV2bVVfWk1paEFpYkNVZkxuVmdvLWxjSW43dDI1RlNuRE5sUWR2Tkw1RFhxTE5tbUFqd3c5MFN0ZnJNRUUtUXdQZ0wtNldySG5FVFVSTjNkNWVtZ1UwTlliaGZaekExcy1PaDlaVkhXdNIB2wFBVV95cUxPek8yeXhXRG81V0xWQmFWcERtS09uaEVWcmdLNmtERmNac2g0OWhsTWhsOUswaVdIanZKQVpNOHVRV00yLTVoTGxHME91Tnk1SlRVUVZZV2Y4MktFWHBJVmctcHhsQTVNcm9kQTEzN0xCZm9udnF4LXlGNXpValEzampRdENicVlmVGo5VE8zaWVMU1MwdndTMmFFckxFY3Q3OThjeWpnVG9VVU5OZEtONG0zQ0c2dDVITndBUEVqakM0RHFQNjg3RkNBVDZVYkdwcy00N1BuV3lmVmc?oc=5" TargetMode="External" Id="rId44"/><Relationship Type="http://schemas.openxmlformats.org/officeDocument/2006/relationships/hyperlink" Target="https://news.google.com/rss/articles/CBMigAJBVV95cUxPZm9OVkR1OGdhcTl5ZnZTbjhsUldMLTBnbER2QmpLZ0hIUXJ1SWpTSmlHcTRRSDJOYmJnUUVMa3o4a25hX2VpTENtVEVJT1ZUdmJqRUo5T3ZEZkkxYkpZWFRqTkl3QUw2Q1hUblJ0Mm51Ym5RdHlHZzBySHlrNXB3OHN6MWI0UjNhejVQRlBLN254b040b3NPazNMdmNRRE04NGFnM01LcEVFRExnZ3R4U0FkM2F6bXlXUGJ2Q01ONXdZbzZpbGdQVnY4YTNiN3QwQzJhYmFfOWhCN241NUhXSEs5MFJJM1JlTzhQVHYwM3pXSUVaS3ZCMUgzTUVvYzRI?oc=5" TargetMode="External" Id="rId45"/><Relationship Type="http://schemas.openxmlformats.org/officeDocument/2006/relationships/hyperlink" Target="https://news.google.com/rss/articles/CBMiugFBVV95cUxQMjVFMGk3RjFrUDBTa2xmazlBbFpJOXNhRGUwa3dHV21DTE5rVWFlb3BaWEZ4YjcxT25vUlY0Rm90TTVuU1FWdG9EeU42aTI0MjQ5M2FzbnVjRFBtTWZxM3QzaDBTMUdqdkR2eHAyZWoza2Z5Y1FYX3ZUdUJfcnJ5b2xjZ3dBc1hWZWN0Y3lfNFh1MEVVLUVkT2ZRdW8yeTd0bUs1OGdoeHZlYzNkcEhxLWVrTXh5RnJCU3c?oc=5" TargetMode="External" Id="rId46"/><Relationship Type="http://schemas.openxmlformats.org/officeDocument/2006/relationships/hyperlink" Target="https://news.google.com/rss/articles/CBMirAFBVV95cUxNcHBsSmtUUC1IREJWVmRfMWlCSlktel9UMm1WX2pOS2R0dUlEVGdTNHJBbW1xcHRMdGhNMW42UEdyMVNqbGZvSUFkcWVVeXFHcUJELTU5c0JabUlMUWFsYVhlbmxMbTBwU1JzTU45T0FQQS00ZnRFVDBfVUROdUdqRGl1VnB0VVRWRTZzVWw2SnE4b19rcnkzZFQ4QURsWFN5Z3BGbWxqUmpMTWkw0gGyAUFVX3lxTFAwM3VHeDdVdk5GNEJwRm00RExhZTFFOTB2cE8xb2lmZm5KajNmNzJUQVk2R1dROHY2TWJSSlhpTU90cFdaODhZYWJvSm44SUtKMUtOUlZhWldaNjY4YVNXV0lFUnNvRkRLc1dkV2NGY1RmZmVuVEZSa3NRVERZQ0JEVFRNRFM0RG9vcWpBa1RJeDNIVDE4a3pNTG41elZvZjNUNlNxYnFkVmVjekppYV9QeHc?oc=5" TargetMode="External" Id="rId47"/><Relationship Type="http://schemas.openxmlformats.org/officeDocument/2006/relationships/hyperlink" Target="https://news.google.com/rss/articles/CBMi3gFBVV95cUxPLUh4eERJSmhiLU5temNBa3pVb3ZyVWVaTGliZjlpR0dyVnEwMlV5Y1phVE9sakdUV3JXVVdTV0phZ3dvdUc3VlFZbF83Q0Z6bkloSG5yejBXdEc4SG5wcThwdWtuall0czZFVG9tUkc3RlJyLWFla2VKZW9XeXY2bFY1bnE0SGU2NzJoVDI3aUxyck02M1I5emgzclJmWlljdzlYSlZFT2VHa0ZrVEF3Q21Xb1dmYWFERVlRc2FlNnNTOTdmLVBMYmVaVUNXNUU2Y0s0MjdBc1llZUxxc2c?oc=5" TargetMode="External" Id="rId48"/><Relationship Type="http://schemas.openxmlformats.org/officeDocument/2006/relationships/hyperlink" Target="https://news.google.com/rss/articles/CBMi8AFBVV95cUxPMTB3ci1XRHJzLTlSTWxBOFZQZWtSUWpSRjZMSEY5aGx1Q3poNmEwSW4tUXl5ejRIOGQwYTAxZ0gxaXIxX2RxSWZNYU5JbUozNjhDYmpCa0U1MHU4M0ExYmVQMWxmendZdW9pdy1TWERSNV9EVWQ2R1AzV3VBQ2QtRXZmcHpFRjRpVlV3b2RlYW1MczZ1OVM2SXZMR2NzY2d3UDRKcERGeXJudzVwZkhDY3M1anNtZ3J2VEMwVzNsM2F3TGVLQkpuaFh6dFprdmYwd3lUR2tKMXJ1dnhBVkZlUUNFU2lDOHJYVks2UmRJTk4?oc=5" TargetMode="External" Id="rId49"/><Relationship Type="http://schemas.openxmlformats.org/officeDocument/2006/relationships/hyperlink" Target="https://news.google.com/rss/articles/CBMixwFBVV95cUxPZlhMejYwVDNBRXAxV3JvXzNXQ2RSdC1wcm9BYUFkLXhMbXYxTFRXV1VGa0tlVkprcmNNRHc1YjlsZXM2MXRMTGZhZWlfV3BKbkdCeVVEUlI3Z0QwZkppaHF6RXozNlhUaFk5Y0lwUWEwR1M0RmJ1LU9zYzcwS1VnR2JNQkdPSjJlcGhqZzZ3bzYydHFMR3pFaTJZU0RJeDFvSlFPVmh4ZUhlNzNzT0RQcUFERC1PenJRTTdqYmVneVhKQjMwVUE00gHMAUFVX3lxTE9ZMTN2Q0hsZEhsbVZmOWlTV2U3MEVJMlBmUFI1UHduYUxGclh2VlhXcXNOZXNEMDJzQk8xUFN0ZW4zdmR4bEViZWFqMWp1SkRabjJYeEFEc2FEZE16WGg4cFRRX2J4M3RCb3U0ckhKbGxZU1huZV9EbjM0UzUyNHdxT0dDX1dwdnJWb1JYQVVTZHhIR1V6WDQ4LVctczFlMkVydGJYU1ozR0dHRVlRWGVidmFiaWpPMl93c1V3V3NvbWp4MnE0cXdtWkJ0YQ?oc=5" TargetMode="External" Id="rId50"/><Relationship Type="http://schemas.openxmlformats.org/officeDocument/2006/relationships/hyperlink" Target="https://news.google.com/rss/articles/CBMi2AFBVV95cUxORkszMXYwLWxmZzlhNGc2bUlFdU1WYlFBckhlNTBqVmJlUmJQdk14cG5QcmExY2NGOV9QaFB5UDltVTFFcjZWNlR2dzFhc29DOE5ab3l3bWRwcWYxaU9NTVZ5MUJNbk0tWFhZQVhGcGFQN3ZpUEh3T3lLLTlPTTdzMGRaSDVPOUhNMlJfMjhhZVpTWFFsT2FkOW9vZW91dU9QN1phUHphRkVlUXpXaXBLWmhMWG5KcWZYWWtpVXJTb1UteUp3OUZ0VUNlTW9lV2NfNERsRjBoRWzSAd4BQVVfeXFMT3AyWUtudXBDYVZRVzF2b1VmclpVeHpPNHBXM1oyZzA4Y2NWRlg5YXg3dlVWM05TM2dpbHo1T2M4THIwUkZZMlQ4YW1NSGRSOTRVdTJkNWkzVnloZ0hMYlNoWXNXdEdpWDY3UmtQUkhKQ1NlaWRKdzZlZjJWRXR4M1luMGdFNjRFc3JqZExNd2NUaXdtSEh5VVhyT24zcWdqdldqM2ZrTUpiQnJ5dzBzanhRY0FuRkN3Ym5qQVdPS24wcTNCc2daWjRFdzkxQ09SWGc4eUpZTEVwUFZTTlh3?oc=5" TargetMode="External" Id="rId51"/><Relationship Type="http://schemas.openxmlformats.org/officeDocument/2006/relationships/hyperlink" Target="https://news.google.com/rss/articles/CBMi2AFBVV95cUxQTDJYdnRmcnVLUmh6aFF3S29hUEt5RDRBQlNrWmlheWkyZnZqQjV4MGUyQ3VlZ0xwQ0YxTVdnaVVocFdhYXdhaVVfQjk0TENuYmlUNkt6dWU0bGRSVGg5SEo0OUhhNzY5RElZa2JLR0JSTmV4ZzJZTm1jQ0hVLTNvdjgxUVFLNmJYeDFWNUR2VFJFMmcyVHdXWDZSdnFzd1BrUUt1WFVvLUhKNk1LTE1xa3loOXFVS3RITVlaZHRQT3ItNnY3MTZzOUJlUjZ4VzhqbldqNmRHak3SAdgBQVVfeXFMUEwyWHZ0ZnJ1S1JoemhRd0tvYVBLeUQ0QUJTa1ppYXlpMmZ2akI1eDBlMkN1ZWdMcENGMU1XZ2lVaHBXYWF3YWlVX0I5NExDbmJpVDZLenVlNGxkUlRoOUhKNDlIYTc2OURJWWtiS0dCUk5leGcyWU5tY0NIVS0zb3Y4MVFRSzZiWHgxVjVEdlRSRTJnMlR3V1g2UnZxc3dQa1FLdVhVby1ISjZNS0xNcWt5aDlxVUt0SE1ZWmR0UE9yLTZ2NzE2czlCZVI2eFc4am5XajZkR2pN?oc=5" TargetMode="External" Id="rId52"/><Relationship Type="http://schemas.openxmlformats.org/officeDocument/2006/relationships/hyperlink" Target="https://news.google.com/rss/articles/CBMixwFBVV95cUxPMEl3RzNwU0pEbUtjcEFlNUZJNmQ2NGx0QUpySmlvaHJZX1hkUkM0dWlieF9oWC1hWUtnSjE3U3JsV0luUVFaRmRYVTRBMExfWHFfRy1EaDJpd3NhUjJrcGhIVjVEaXZ4SEphOFpPMjBQdFlmNzBfbWEzanZNUTg4VzJfemVLdmFkOU9kRG1kSWx5ejloRzJ0V21EUG9CTFYxX0x0NnNRSHZRbHJxUkgtd2FtSjR5VFZLUV9oUDlwbXUzZGxJbjgw0gHMAUFVX3lxTE1Xb2hmQWlnSUxwMmxod21BR1JTZTlQbUh1VXJTQl9fRFFrV2M0a2VndC0xS2xpUFI5X2pqVUFSQzFGRFBaYS1ZRUZuNEJITXp1M2VzNDJrdldwSm16TGpwdmhidnFoZVVNTS1rNnROY0RwUmYxZi1Ga3NoRmtNZ3ZfeHBhUzNsaHlTNW92QWFWLVZwTENRNzFkcnBTOVZyTUtBUlh5NkM5MEdWanVpV3BleWdCdE85dThOdnJTZVFsOFdwMlpvLWotdGxOMQ?oc=5" TargetMode="External" Id="rId53"/><Relationship Type="http://schemas.openxmlformats.org/officeDocument/2006/relationships/hyperlink" Target="https://news.google.com/rss/articles/CBMikgJBVV95cUxONjY1R2RIb0ZfUWhwV3NLUGNrZmNjbTRRZTh0cTlacmRDT3p0YzRIaEg2b2lKb0JrR1JqcjFSQXJQY29RVHhCM21xaFR5alU4bUpnbHRXNllaXzl6d1RxMW00TENmMk5hWDlZRnUyRi1uNkx1X3JTVThiUWZiY3N2UmNSRDJBUmlnRE9JNDN3ZTd6eHBfYVdkb0d2MGtxSWh3eldxWm1rMkhua0NEQXZQRHBac2IwUUYzMlBROUdXMWJYWWM3cThLb0Z0TzBOdlBWNlVOcHd2YjZpb3dxZmM2X0xPR0tNbTZLaWxpeVJfSV9JcGk1anhaZ0VUbWpEZXFaYUhOQmNRc3NleTEyS1hsNlZ30gGXAkFVX3lxTE0wUS04aE9FN21Ld2Yxa1F5dmFEMWtDME5RMDMxZDIzVXBoM3NkdWlPdEpxbkktX2NtMlR6RWFlNkJCNFpsQzQ2a09WZW1lcUdHMTE4djZ4VGpmRlppd1I0NzNnQzZqQTUxTTF6UkdjMGc4RWhWOVVOTmZvcDJNWTJvcVd4MUhKTmYzVExxSzY4VVFpQnUtZ2RfYllCU0w1ZFhsdlMxcG1qNzVXQWhHNDR2d213S1hOOXZ6MllPaFUwMFVYTEFkV3UyQmtwbThZNDZBdThVNWFxeV9jb1kzOThFREYydDhSaWoxYlhkaU5qWERzdW9IbWFEUUxTSDliUkxWaGxkVEc5WWNnaE1ZLVRZQjNKdFdBVQ?oc=5" TargetMode="External" Id="rId54"/><Relationship Type="http://schemas.openxmlformats.org/officeDocument/2006/relationships/hyperlink" Target="https://news.google.com/rss/articles/CBMiwwFBVV95cUxPeFMzaHg4dlhjYTJLX1hod2FPQXIwSG5WVHJRYVJyOWExWHNlYXZONExLTG9hOE80M1VNU25LdThoX0IwSk9lTkVPem5zS3U0OE1NVTk0SVp1UHV5SXc3X0ZMLTlPN21NUjZMXzV4RWplc19FekVQcFpqTGFYemJ1WjRSSG5BTkFWT1JZeEhFREVfZjViUU1yOGNpZHA5TERPRFNZM1lReEZfX1M1bEhCSlQ4eG1WbXczR1hTR2Y4cTZURDjSAcgBQVVfeXFMTUlYcUVaSGhTQTJyd09RMHhQSWdjRW9MSE4wYnVBSENNeVVtbkprWXpDR1ZMNjg0Tkpsc2V2eHFxRkhuUlo3aG5CajMzQ0ZzdzVadXl1RndWTU1YVlhHaE1fUFJPbTFhZzFzRWZkOWRYMkN2UnBxUkhFX0RrWG51eXo2MW5NTElLVnR3Tl9JQXlXQ0Z5V0k3NTFCeFRWOV9nZnhlWVhxNGlMTkJCbzctZnN1NEV5LW44M191eHktakJtOVlnbjRtRlg?oc=5" TargetMode="External" Id="rId55"/><Relationship Type="http://schemas.openxmlformats.org/officeDocument/2006/relationships/hyperlink" Target="https://news.google.com/rss/articles/CBMiwgFBVV95cUxObHlpWmRvcGozN25zX1ZGcy03NDVXeTJNNjdPT1hvdnFYaWpNYjZvVnZlZEdHLVEzRjJYdUZNbFdraU9yeFRyVzctTVlEb3hOOV9PTWY4UXdGZ2ZPTG5SZS1waVpXOGFoTnlfMVZ4cXBsRTFSMDFHMjBINEpUcEFXWmZaQVRqZUFUVk1MS192R2owa0VpWXBVU2c2cHlfV1lKSTJRWGhkd3NuYTUyS2xnaE9BZU5SOVEwb1Q3b3h1aDc0Zw?oc=5" TargetMode="External" Id="rId56"/><Relationship Type="http://schemas.openxmlformats.org/officeDocument/2006/relationships/hyperlink" Target="https://news.google.com/rss/articles/CBMiywFBVV95cUxPT3BfYnNGaVNjLWcyUjlHalVoQ3NuUEkxeWlvWmNzcGNWVlNBM2tDNkF3SXFrclVIZ1BsOS14ODNuc3h2di11Qmo1dkt0U1RYNElQQklPdDh1OXFVVHlHeFdDSFQ5MWR5dFRKQjBiUThWRDdTcXlfcDJFekU5Q0FlWExKemlNbjFlTVNGRjA2TTZPQ1JlbnAtSzRYLXFfRlRQOTJCaV9BMENiaFd3UElDVXBpNGpIWjVVY2RlTmZpNlpmZTFKZzBVM1dsQdIB2AFBVV95cUxQaTQ1TDNVR2dYV1VWZ2lxMXR2ZFBFdGNMWHNPS1NFVWJjVXplNUIzYWdGcV9vaC05ckhHSnBuUi1DUFQ0VnlKWWFQbFd3ZDdTN1NfVjUzQ1p4ekNsV21Hc09FSl8xRXlaOS1Pdm9TQ3g0azRIYmR4dnYxVTdvQzBZTzdxdkN5eDViRlR0RVZ2ZWg4VzhFM0JJSWtsNFVDaFpvYnM4NHZTOTVLSlB0NWdxY1g2eV9XeFQtRkVMY25xRmFOREVuOGZfYW1HQ0Z3YUcyQnRuY1dEY3M?oc=5" TargetMode="External" Id="rId57"/><Relationship Type="http://schemas.openxmlformats.org/officeDocument/2006/relationships/hyperlink" Target="https://news.google.com/rss/articles/CBMikAFBVV95cUxOY2lNbFRzR2RYd3U4TF9SZjNxTFRrR0kzNzRpX0ZzYy1zOEtIX3BuWm1qSXpiV0lvUk9fOG5BSC03WUNKOEZ1VnYxY1pXUFFsY0N1dWdwTURMcWpVUElVUGVaZ0U3cXRaSnJnSWZ3TE56TG1wUlZHa0xfWERGNU1XMlJEZkFhNXBVTW51dVk3NTfSAZ4BQVVfeXFMUFgzNTlSemFNdWZudXBFblREZGFBLUduSjFnTlZxQ0l6QXZxQVNhNVU0cW5ta2MwSnJZakZmN0UwdmlLc05nMmdHZFZPeV8zaExVRmdKajF5RDVSRGtaQ09OMlk1dHpMMlk0MUY0cUlCcjNSZTN3YVdLek5uZkpzRjVJNWdhRkF2NTdta2RURC1LYm1fQjZ3MzNwTEtGTGc?oc=5" TargetMode="External" Id="rId58"/><Relationship Type="http://schemas.openxmlformats.org/officeDocument/2006/relationships/hyperlink" Target="https://news.google.com/rss/articles/CBMizgFBVV95cUxObkhsaGF3TGc0N0xmWkFBR3NVXzhhWGtpZzhBV1BJSUNTOEh1Q25QRTl0VktjR1I1a0hPQ0NKMGk2dXRfeXNQNldvZVdSX1FWbU9WRzZMVEdUM2ZKZ2lMbk0wYk1JVDRuMzBrRTBrQno2WWhmMzc1Z1JCWl95RUdIallIZW5CdC13dm82X0pSYUhkUldRUTRLNjhpRTc5R1VCV242SU50TUNLai1wWTlXaFl0M3ZzZ0d2UEdHNXZEZ2dCSFpqU3pBdkpTdjI5UQ?oc=5" TargetMode="External" Id="rId59"/><Relationship Type="http://schemas.openxmlformats.org/officeDocument/2006/relationships/hyperlink" Target="https://news.google.com/rss/articles/CBMixgFBVV95cUxQVklkVnhtd3RGVXdINGo5LXdlV3c4WF9SREtLN0FkbUtmSWFXd2FqakRhT3RoT3YyQ3dVUGNfYVFkNEJXbFcxaFZIakhlRnUycllaYVZnd1AyT3VHNV95c1VCLU1XczRfSmxCUDNDYnVaWFBUcEZGRWpHYXJoOVl1bUpabTBFTE1iSFNldlEyOEpSRnMwOFhDZWloLVRHcVlzekhxVVd5dmFXdDZVdmw3eHRpamphRmJMeE16bEJRZ0pqVmlDekHSAcYBQVVfeXFMUFZJZFZ4bXd0RlV3SDRqOS13ZVd3OFhfUkRLSzdBZG1LZklhV3dhampEYU90aE92MkN3VVBjX2FRZDRCV2xXMWhWSGpIZUZ1MnJZWmFWZ3dQMk91RzVfeXNVQi1NV3M0X0psQlAzQ2J1WlhQVHBGRkVqR2FyaDlZdW1KWm0wRUxNYkhTZXZRMjhKUkZzMDhYQ2VpaC1UR3FZc3pIcVVXeXZhV3Q2VXZsN3h0aWpqYUZiTHhNemxCUWdKalZpQ3pB?oc=5" TargetMode="External" Id="rId60"/><Relationship Type="http://schemas.openxmlformats.org/officeDocument/2006/relationships/hyperlink" Target="https://news.google.com/rss/articles/CBMi3wFBVV95cUxNMURVNFp2b0xHSkdLWFBsbDZwNFVvYW5CNWlUc3ZRMGVvQ3lSaG1FNGNadVpsakdqd3ZKTllvVXZHX1pMQURNQ0gybm4xMmkzZm1zQ2I4d0Z1S3ZtWWVmTGI5NzJrMzQwcU9ORkZ5bVdtT2JXbmxLcmhYdWhKbHhFVzd6cmJVY1JZWEhoSy1yd09IMzcyc3JnU0lRdHo5TTQtblR6cXdXSG1WVEdBWHdaUEhiYUNaZWZJQWVCQl9XNklBWmR1ZTFldE9LbXlsY2JaQU1RRngxc2h5T1Y1eW44?oc=5" TargetMode="External" Id="rId61"/><Relationship Type="http://schemas.openxmlformats.org/officeDocument/2006/relationships/hyperlink" Target="https://news.google.com/rss/articles/CBMi1gFBVV95cUxOS0k0bTM5NFZad2xtMkt1dnkzcTdTRFBZd0o5Q3pKRUhJQjlORl9pNExGbHd1dUc0U1BySVNnZVROSm9JRC1ESy1aOXpadmwtWUdWRkpMelJLbW56WTFvQWU3bzljNU5yWG9pRnhVQVU3Z2t2X01YYjdYYlRtZGF5dHpuc1F5RG1BN2gxZ2d4aFV0WW5hQ3lpZVdBQzZoaHNJOHhXTFJxeDZNRWR2WnJyTi02OVdxenhkVndKbGY2R1NYWklCbUtVWVNvOFlmTk02ZGZsV1ln0gHbAUFVX3lxTE1peWJoVFRsQ3pSN1lLcVktcTZvZEZ3NUJURDNVRWI3a2V5cXQxTzVMMlNGdW9KcE9YdEVDdlJWLS16QjAycm5GU1lZOXFqTE55SEMwSmpQcWhmSDhabl9EaHRoUWlTYldsNHBoVzFwTWM4SkdPYmNpY1JwWGF3ZTRFTGxPQzV3WWY0R3U3cWE3dzlxdVh0LTZJejdjcDZHd0dYSXpkZUR0MmxmREFhTWxfNEJ3aTNfcjh2UGhCUW1wY0lmZGtZcjJHc2lTWUpfNXdjWGhRLU1DZXpWSQ?oc=5" TargetMode="External" Id="rId62"/><Relationship Type="http://schemas.openxmlformats.org/officeDocument/2006/relationships/hyperlink" Target="https://news.google.com/rss/articles/CBMiwwFBVV95cUxNS3RENk9ydGwzRWRfRmIyUWhZYzFIQUxYcGhCVTNkSzNWTENuSi1TQ3psbnBNdzhQUHVSQzY1cVh5bjA3eDVuTVhhd0pGcjYzMkViak4tUm1nalBQa0o0cEhhZmRjclFsZEhlTnB3YzRYSVY4UUdCVGxUVGRLeDc5b3BvMGVXR3dMenlDNUFPSWE5TU9rWlB6bk5zSXpMeUlQLTJxMmNVM2ZpU0pzN2ZTbi1xWUN5R3FUbmVVc3pMdzNiQ2vSAcgBQVVfeXFMT3hncXRoRGE5aWgwejBYOVFrVXVBWFRTa09kMm5GT3hlQl9vc01XamZHd2dkTHFia1ZtVVkyMldBYkx3SGFHa1RYb09lQVdlM2kzeGRFcXJwSlAxQVRGdHprYTQ2VGwtWG1RcUVlakd1eXlseVhRcDRyUERkZ3Y0ZFF5cUE2eUJQdGd0S0ZzV1VoRjVUQjR3dl9ES3UyZjItaVpzRm93VG41MXpkM1dxa0Q0cF9tWnN4bE1tbVhscGFHallNZ3Z6Mm8?oc=5" TargetMode="External" Id="rId63"/><Relationship Type="http://schemas.openxmlformats.org/officeDocument/2006/relationships/hyperlink" Target="https://news.google.com/rss/articles/CBMiywFBVV95cUxNbjF6YjdxVkp6NGJLQWZyTUxXQkFoX2IwVHZYTHBEMnVtV0QzMF8zSGVjMG9tckh4OFZCaktJMlpkWERWWEYyUmhEN3M5T2Q3MGZqRHN1RjVhOXlBWXJqTzRSS1owVFB4dW5xT25kRFRrSHVORjZBQTUwaFphVWxxOHJQRmRhcGhqME1jcG16cHlWLXdQNnZzbUd6UkMwSlE2Z2hFOHBzUUppZ1loQk96Tnh1dFFnM1puanJMbGtMWXZWS0Ftb3dKOUJNd9IB0wFBVV95cUxNNGo1RUxudFZNLUdYX2MzUTQ0cTlFeVp0Yzc2RFVoVlkyc3FNR2MzWE9lWm9BZGl3UEtxS3Z3bVJZVnhmSVhlTFdwWlh1b3pFWS10anpoQmQtZnVLSXlEV1E4d3BZNk5wajF2TWdSX3VxUUV5LTNROVFkX0dLa2trMDFHTVdZMUkyN2RiMTROV21ZY19BUVhORkdudVh0RllqOXEwTmVEMGs1S191OUJqM2ZqTXNickFSclE0cUwwUnhwWVp4WTRUY1g1LUE2ekw5WDBB?oc=5" TargetMode="External" Id="rId64"/><Relationship Type="http://schemas.openxmlformats.org/officeDocument/2006/relationships/hyperlink" Target="https://news.google.com/rss/articles/CBMitgFBVV95cUxNUUlsUXRiRmpfUlFoSkh6ZWkzcER5NUZFYXQzVkl6bTZDUXBCUWJvSHBxVzFVS0RNMGxSRWV3ZjdKdmVoV200cElONEF1QmJVSUx2SUMta3FQYzRvOUpTc3d6Ykl6ZUdvSkhDckZUMk1ZZjdOX0hfemRIRjdvOWRiRGpOS2NkZnB4bGxYZDlHZDBaRXRSV0NrM2NQelh0M0cyVWdWZlRoNEFkYXVoSWJuNlNpb2NyQQ?oc=5" TargetMode="External" Id="rId65"/><Relationship Type="http://schemas.openxmlformats.org/officeDocument/2006/relationships/hyperlink" Target="https://news.google.com/rss/articles/CBMizgFBVV95cUxOcTZTWDdQQ3BiUzdZaWEyLWIwRGIwLUV1dl96azJFVUMtR2szRlRjaXJ1dlduX0VEbUtuNnJscHFrR2hybnBNbWpRU05QMkp3TS1yTG1oRFpEOWlkbUVvckExTmRNWXBPbGpWU0dsVzMydC1Xb3BSRmNScXlXWUM3MEViWHU3ZGVnVFFzckVnX1VYck9PWDg5VGV0em9UYjYyb1pCN1V5Rm04b2ZBUThJcVJ3bTFkRDVpQ1FIMm01Rm15NWxlaE11OXp5RDNoUdIB0AFBVV95cUxNb1NfbWhzZUE2RTVWdXNBcldQbUtaNFZpVkVReExkQ0NHRUJ4MHFCeF8zWEdYeVl1RzRWb3lOM2xQSjBoUTcxRXBMUng3QmtybzhyWGlsQVVBNkl6TXdnZ0o0S2F6bXlTaGNUOFR0c2tCTWQtMlNOZHhnemR1OVQ3Z09sTFgxMkdVYzFQOFNxTjVMMFlCS0FyemR4czRLWTN5eWxSdzh0cTVkc0JJYnVXanJLeVctaXA1a2pKcWNxQTkzdG5INkFvaTlrb0Jka1By?oc=5" TargetMode="External" Id="rId66"/><Relationship Type="http://schemas.openxmlformats.org/officeDocument/2006/relationships/hyperlink" Target="https://news.google.com/rss/articles/CBMi8AFBVV95cUxQbm5sZlFwaFZURFlJRExscDg3NmVFTVFBRWlGMXRiblFqX25DQmh0YlJHT2p1S282Ny1YR2JXWXgxaVQ3THNSOUhITTdsbFBaeUpBMEFlQ1JXOHF0LW51ZXBsNW9sckNOYk5EX2xQRkFSVDdpekI5T1pfM3pjd05Hdm9yejJfekNwODVQVnBaSnJBZk1fVzhoQUZXTmozbmd3Q21SSFo0NDBNMXBIcXN2UTlGakt4TjBSM00xeXZSSkxDUFVqc2RuRUdKN2RCR1d1UFFYa19sWV9yX0xMUzFJejBMVGVxR2hzY0I0UVl1UjTSAfYBQVVfeXFMTnpmY05OXzl1a0dYUV9OLVNaa3NlejBIdktNR19rT1A2TFU4TlJxb0dHbzF2Yk1YYjg4QU1HcVNzS3pQN0pSaW5JcEN6QXFBaTdyVmx1M01jLXgtNnZla3pEc1d2WC0yN25pZzZCN0FobWFILWRoRUtONHFHLXBudEZaRzV6WkFJeWxXbmJ2UzY0ejRvRzIwalY1U0h6a3ZDTlEzWUdRejhweENwQ0VCTHFPS2dzVGZIM3ZPQ0lieGlkYnBhU05nQUJFSmh0UGVibDNhZG9Lakc3cEVab09uQ3BVZk9UV2hheTlSakRxSUs5eGctNlZ3?oc=5" TargetMode="External" Id="rId67"/><Relationship Type="http://schemas.openxmlformats.org/officeDocument/2006/relationships/hyperlink" Target="https://news.google.com/rss/articles/CBMixgFBVV95cUxOd2ZMT2dFdlJ4QnNUY2YwMzA0cS1lWlFYZ1dtaHBEalp4SkN1bThNM2k1ZnNxS2hOUWRQWjRuR292Mm5vSGFScFFQTVZQUlhvMFc3Vm92N0s0aDBrUzhabXlISEJOWDhHcm1oWkw0WEtfNU9RZkt4aUpMZXB3My1PNXRTRGpObVJEMzZOd2dfMWlfWW5jVV9WYkhoUUxCS2xuSmc5SmhQYTVNY21HT2VMNFZWR1ZCQnA5YVktU3hYaW5SUjhqUVHSAcsBQVVfeXFMUFN2VE5aMDZMajgzUXF2X2luaTFEdlZCa3JhZkV1X1NRVWxIYVBwV09hWTJTUWRURkhOTXNNY0FpTHN0cDRqeElKNE8zUmhLZ3lsWWFpOVVIR0V3MGRTbjhYd2pId21VNEJnUnhBZkp6ZzlEY1Fwbjh3NTlBeUkxVUdpMnQyejVoSVlnWTAxREVSWDRVdTZLSFdPbTRWc0VPZTVQU2xsaVNqZS1KcXZQeXRESWp6UjJuSU5yeHAxRlQ2cXBtVFROMzRRRUE?oc=5" TargetMode="External" Id="rId68"/><Relationship Type="http://schemas.openxmlformats.org/officeDocument/2006/relationships/hyperlink" Target="https://news.google.com/rss/articles/CBMiqAFBVV95cUxNeUl5MlhzYklZYTdoQXhJRTRxaEtCSXF6bXllRVZrZ0g3UE1URi1UY0pWTEhKdFBVZ19VdGVXRl8tcnJjOXBaTWE1b25XOW96LTlEZVZLYWZ4eEhXQUh4eVV6T1hsUUhLbkVwNlNHT3dfaVNVUXo5bjlDR1NKWE51OG04WFQwNGtYZUh6OFI3dWpUbFhoZW1CQ1J0SVFLR1BhajJYdmtmU3HSAa4BQVVfeXFMTlNycjlNTmFsLXc2VVBLaGVoNzVKRFlzZnRud3JoSXlaRWhuTnctdUZqS29hSDB1UC13RTUxR2ZzcGtHVllaVW14Wk13UVZVVmx2bTlqRVBRcWR3VHFTZFFLRWNMM0lKOTkxNGxPR1hzMk5oYmhJZEJRWU54MHA5N3ctN20xclJRUUZqMTVFekQ1OFV5YXhLTnd6ZWViZ3JlMkdZZXdxWkswa0swYzB3?oc=5" TargetMode="External" Id="rId69"/><Relationship Type="http://schemas.openxmlformats.org/officeDocument/2006/relationships/hyperlink" Target="https://news.google.com/rss/articles/CBMixgFBVV95cUxNUVdZRlFHb1VXYy1sMG9YT1lndTJqS21mSTFKbTlzSUNGQURXV0tGbmxYSTNfVkJvYVRWSVVEX1l2MV8xbHlCVFNyeDFTQVh6WldVeGt3dUZobXRack5jRndHMWtmMERQc0NnZjc5NkZEVF9WSzhscFNSb2NQdzk1TU1tbjFyTmhacUdURWl3ZnRMT3lLNjY2YXdKWXlJa1NvWWNTSkU4TWV6aC04RXQ4Wm52R0lGTUkza3YtdjhHMGZDMVNlRFE?oc=5" TargetMode="External" Id="rId70"/><Relationship Type="http://schemas.openxmlformats.org/officeDocument/2006/relationships/hyperlink" Target="https://news.google.com/rss/articles/CBMi-AFBVV95cUxQblA3NmloLThJMUN0dFg3X1lJOXFTbmZaUnd3bV9CT2dyZHNNc3JsMnhIQkJqNnItU3p5dDBSQ1Itc3hfN3BUOGVUN2dqR3cxZ3ZoQUVvekNacm9qZ3llcG5sTk8xaGxXVmlPRHdUUUZEczJkUXI0STZZa1FGTWh3UkRxTVNLXzRPVGthWHVsZkNHMjR4cWJmbDh1TDRHUUVQaUg1b0dJTG9EdnZxOE8xWGNhT0ZHS2lSS0wtQTRMY1dRUWVoSWVNZ1I3cVJkU2IyaHFlWlRhUVBIMFJPZDZKYk4yaU9oQUI0ZmFIMGplTVlhbUcwRkJXd9IB_gFBVV95cUxQVUpDZVJxVzVmeFBaSDFHSHozZkFXOGFKQWtEUnkzbnR3M0FiQWlGc3l6dlBSM1h2X2hHLXRBMEtIa0M4NjdITWtTQW8xMjJlVHF4bDlIUGV3UDNzdXhkV3h4TXdMNGM4emdaczFjT3R2ZXZReENCR20tZlltZ1VwTF9vTzBka0RhQmYwMTVRNGJ4a1gwX01vQTJyemhPYldyYVlheWJYbVhqOUFoX0tJMjdTaUU1QUNsd0ptLUNFWEh1N1lwcTducGZXS3AwWXJYTnZvd0MyX1oxdnU1aXRnNHFjMXFRQ3EwVXd2dUNPU3AxNzhsR0sxNXRJVXZPUQ?oc=5" TargetMode="External" Id="rId71"/><Relationship Type="http://schemas.openxmlformats.org/officeDocument/2006/relationships/hyperlink" Target="https://news.google.com/rss/articles/CBMiiAJBVV95cUxQT3N1ZXZHdU5QWlBFZVNaY2RqZzJyd3loeEhsenZyMzZSSC1yOV9lWnhJRDBJYVBISXhPSUI2R1NPUm4zVy1NQ3pvd19qRXBhZV8yRThkOWJfZi12bmlkbkhrbkJGYTJXdldLQVNuam52M2tidkg4SF94X0J4dl8zZ2lrN05jT3YtMDlRWWRic1dhQVVmNVBDWUtyeFAteml5Tk0yNzFGMm14T1ZsT0d6TF9LMnlXYkpjUGhBRk9NRWNfczhTYUNYY2NuWGlNNTBlRVFpSVBXTTl4NEJPSkFlRHJaaGFqc21RWlBGdFg2VTZWeXpLang1dWhUUVV2UE1JRFQ1THBOUHfSAY4CQVVfeXFMTnZLQ2VxWWhNYktRNTRkTThiTWVDZ1FWSVBKUHdNdVZsdHExY2tEUUZBRGdXY01keXdwMTFEV05oamY0VXptU2ItcGFUamsyQnV1MjZ2ak9lOHhMbFNnbFNvQjk3aFFraFRuR09kOHYzY3BuQWJSWFB2WmE4cUVNdWhxbVRMNTBqcUg2VV9QZHkwMkt2QVpMcncwaE1BdXd0N09UYjZQX080YWhha094b2owb3doYUZxOEpqMVNjOEFFM3psVTUtVkMxQ3F3ZllOVGtnNTdwNjVadE5idWxvQUV6WHRzS1RQWFlsc3FlbXpZQ1dBX3paX1NjZndYTDZ0blB3VWdiZGxqUk1iWnJB?oc=5" TargetMode="External" Id="rId72"/><Relationship Type="http://schemas.openxmlformats.org/officeDocument/2006/relationships/hyperlink" Target="https://news.google.com/rss/articles/CBMixwFBVV95cUxNTy1hS0lPUzN3WnBCRGRaaDVyQl9idzFHWmhPMk03QUdHeDZiWWQ3QkFoM0NUVVl1MWdfb1FldVM3SjVCWVdoOEp4LUpQbEx0QXRQQ3BScnU5Tk1xbWpYeEtVQU1kb3AwdzFPWUZhMTJocjhQTm5wdVRWSktjNGdsQmN5ZVdRYTN6Z243U2IxSTlfSVI5VU9ia3B6SWJMcHU3WVU0WTU2aUYwMVZhMWlNZ3RUR1dteXd5TkxnMXVMVWRTdWNvWkln0gHMAUFVX3lxTE96ckF6OGJQN0F0QXdyNUJycENHR0lYLXRXOG1VVWRrVWt5WUJpeEtQdktTem93R1A2REJZNGhJeEVIVHpYczZYcUZYWF84THBkcWdxUF9sYVRmTnJ0ZDJhelM1M0dpTy1Oc1F1MjhZd1hjeE5jaFZZQW04aWZsN3A1cDZYNG5aTVhNY1QwSVhITGxQdHEzOWl3X2l2VzdGUU10T1pwTUhwLUdXNzhsb2oxWHAxMEdsZ0ZGdXpFVHZuOFJwQzZyQWZlY1p3UA?oc=5" TargetMode="External" Id="rId73"/><Relationship Type="http://schemas.openxmlformats.org/officeDocument/2006/relationships/hyperlink" Target="https://news.google.com/rss/articles/CBMi1gFBVV95cUxQbFVhZU54NllKZVVab0RTV0toUFhWeVcwWlVyX2F4MDE3V3ZNRS1zMTdzZ3RnTWZPbGdmMHVGY3VlVXBLLW9MaF9xYmhxMzVORWZFbTYydEhUQmd2NDVQOG1LU0h6UkNEYW1BbnUyUFk3cHBwbWVDMjZDODJFTnVLVHk3d0hHQmZvemVLSUFmQjZiaXpXVm5sQ3pHVU1DOFFuY1VoT1dDLU1KTWxnX3JSQnIxTXI0Ml9NSF90aHphVVdXRnliTWRoM0Y0Rm1PTFRtdTdMNFBR?oc=5" TargetMode="External" Id="rId74"/><Relationship Type="http://schemas.openxmlformats.org/officeDocument/2006/relationships/hyperlink" Target="https://news.google.com/rss/articles/CBMi6gFBVV95cUxPLUZTTjlfamdaQUNVYkJoQ3ZMN3hPZU9rRHZ6WVJjaHZIeW92ZUI3dFkyT1dhU29TNVF2VXRlYkh0UDNBeS1tMlBnTkxiRXhVY09jbWtZd3RsWDRrb3dBOTRfUklMN2Jlb0pUWHFTd1RFajJrTjN2cnE4VWNYRi0zUlNHeTQteVlXTVp1UzZZN1lMbTRNbVZldGpDaDN1MG43clB0OVg5TTJiLXA1RWFRd1RxaDZJSWQ4SnpETDdPMnNsTk5Cd1RNSndLN05rMXFtRTc3OTdzMlRrelg3cGltODBNUGRnamhtSnfSAe8BQVVfeXFMUC1DdDNXLTQtdF9vRWQzd1JCcThNOWM1NTQzaXNQZ2xqM3RpUkhidS1nTkNuOVNSTVpGR3lNQUdqRHF3NVh2Z2hUdHlaZkVOVTdwTUVMUGVmZW42T3Y2czdmNXI1djNiY2stRjVrWmhLZ1U3QzB1SkQxRTdhNjBpU1lOeTVqMVgxVHNKRkFnMUd3R05fSXg3Wm1zbVpfOG5Uc1JGYkJBTDFqMzdzdFlBQWtVWWdkZFFxMndZSDRXeDZaeldjWm5qNF9iYmdSRG1BQS1jMDNIenljNE1rT3k0Mk9KR2dWV1BKQ2E3UTJnVTg?oc=5" TargetMode="External" Id="rId75"/><Relationship Type="http://schemas.openxmlformats.org/officeDocument/2006/relationships/hyperlink" Target="https://news.google.com/rss/articles/CBMi8gFBVV95cUxPZzFFRUJULXdqdkM2YVpnOVg4X256OHRMekF6YnJacHY2M0lVclVIMmhHQUpZWm9UT3M0Smc5anB2V1liSV84NjVFQ2h4Qk5pUWN3QXVidUFJM0Jmckg4Tm0wb3RyNkJQeG9RM1pJT1RMWi1tQlRXcmJQeDV1cU5QNFAxb09CZEtIMjhqTnZFQ0VIblI1RFpOeU40bFNmamtaUTJTanBXNUJkYlQ0WVA3TjhmNDNuYjd1RV9HLUI4X1R2UVZGXzVPRXFQOWJJN3lxaEh6VWhETzRRdEJQbDhpYWVCXzczWnVyck9BcFNWM092QdIB9wFBVV95cUxPdk1iN0FpTGpFeVlDZXVBVmFMWGE4LWptMEZhSTZUQzQ1VUl2Tk1aUTNwWG9MTEM3ODlSclpKTWIxcF8xMHNoQUZLLUctcVo1cDAxYk5YTUEzR0xTLUkzdEJ1SEo3bV9tLUw1YmcyNGFJeTFKRkZ2bUNsZnNTSENRZHhJZjlOZTFVNGdMbERnMExBUThzZVdDbDI3UzNyaFR1OGpoVWo3a3B2SzU0bzhOa2h2ckJONjFIbEZLNTVndlJDOXlVMmlRMlVPdDZzcEhTMnNEQW9oV0l6SW9mSTFUNlZIbHdzdm1JcUo4SkFxYVJrSm0tcV84?oc=5" TargetMode="External" Id="rId76"/><Relationship Type="http://schemas.openxmlformats.org/officeDocument/2006/relationships/hyperlink" Target="https://news.google.com/rss/articles/CBMisAFBVV95cUxQZmhIZkhKLWQ3U0EwaDlaTTZta1FjUDhJc2VZc29PX3pFUWRTU0dULUxSRGVvR1dKZFp5LVJCRXIxdV9ZSHE2X3RtQWxXNVpKR2g5WHR4dzlsTEdjdl9PTFhqRUY5RGgtbWNZOHZLeTdzdHRoUC1sV0RyLTA2Z2tmV1pueGZCNjZidlJGQXF4LU5LZWlFWUlqQWd5R1ZHbm1vMG9CWjJVelRUZEdkZHlpUg?oc=5" TargetMode="External" Id="rId77"/><Relationship Type="http://schemas.openxmlformats.org/officeDocument/2006/relationships/hyperlink" Target="https://news.google.com/rss/articles/CBMi1gFBVV95cUxQOV9OY3hMNHBIUXVBeVN2UTBjWTlKbndtLVN1Q0Y0d0FzZ0Q3V2FZcUFHNFVsVUNpaWtkSjBDbUFISnhRU2ZMbmtQek56MmZHUmhJX3ZIUERFb1V1TnlvcmtjUzE3dUNhWFVyWHh3YXkwRXBmenZpM1FJNFdnLTBraXpZQjVucTMtZEVqWnVUR3pJUDRkUDl4djBQOEFBVnNVeHNfbHVjUDl5cWgwTGxndXE0b1dzbXRYdlJGeEx2NHN1UWlLc2pTNUtibTVCb1R0cVI4VVVR0gHeAUFVX3lxTFBtUmR4T0hBWmlrRjdlRC1Ia1RZNjJyMFVFVko1WHZfdjFFNDNUNVE0Z3ctMGhPSVo0WFhSc3hKUnRNSnhNMXl3Wm5HUjc0WnZ1Q3ZnTkp5Sl84bkdmdms4UmlzVXNBOElwR3d6NkVDWWdJalZrNklGZWZqRTRGNDFPdF9CbjVZSlJVcUZub21WWEcwSHZ6ZGtzZzhJRFNkTG1XclllNTlXSDY2cTJBQW1sU25UcjJJOFppaXJlMzFzX1NWYXV3UXktdDdWQVJfRmRGQmp0dmVrUnh0RVAxdw?oc=5" TargetMode="External" Id="rId78"/><Relationship Type="http://schemas.openxmlformats.org/officeDocument/2006/relationships/hyperlink" Target="https://news.google.com/rss/articles/CBMiswFBVV95cUxNWDJqYmxJdGtiS3VzMHY0aFVac2x4X3k3cnlsSjFaQ1RvX1hvblpYU3RBYi12Vk8yYm1LMDVBOFR4SmtiQkVvVTBYYVNzdlJ0bFFacjVLS3VtcDlFVmc4czJhZk5BLTRjVldKcE5OWXZjSHRJb2lyVUVxR3J6aGdMUUoxbWlMazdENDc1bjJqenhqeXo4V040THNNMGNPdmYyamdlcVBWUEc1cS1OOW80SjZrcw?oc=5" TargetMode="External" Id="rId79"/><Relationship Type="http://schemas.openxmlformats.org/officeDocument/2006/relationships/hyperlink" Target="https://news.google.com/rss/articles/CBMiwgFBVV95cUxPWmhhOV9UbzdzUnl1d3d3UWJ0WHdUVTFnVy1CRDlOaEtJRURFeG9MdzYwemoxblZHVFEyU3ZsSUpfd2R1QUVmRFhDakRUbWJvYTg1MVByOEtJZzhuZndaRkdHaU1BdGQ5bWVIMzRudUxYU0lvRk82UkFqd2tId2JMSDNVT1oxUzVPRWRsamprWWo2a0QxRXdGUUxhME03RWNTMmwwSmMxUkNkQS1yRmI0WUJ4X09BZWlTY2JxNG00X0Mydw?oc=5" TargetMode="External" Id="rId80"/><Relationship Type="http://schemas.openxmlformats.org/officeDocument/2006/relationships/hyperlink" Target="https://news.google.com/rss/articles/CBMi8wFBVV95cUxQX0U5eDgzRkZUMWh5WDNKaW5lUlctTkQxUHRiNk1FZ2xOTTVGV2ZVSm5FbmM1ZnlDZ3lwdVczMDNOMl9zUVF5RVJwTFZfVVBUQXZEdDZOR3IxeTBsYlFycjI2WEZNNklsUG94dWJNTU1SbDl4d0tNdml4d2ZxeG1rYzdEV2FQYmVFV3BGUDVLdjhIWlRGXy1Fdm1RZXg5M3M5Ri1VNm5QaE5KVHdVRkpnQ3JYLTVDdmlfLWt4MmRCWXRTTGtDc0l3SjF4c3ZnRnRiZTlQRUIwc3p4ZUJnMFNZVkpOOGdHQmluUXBCWTFjbFlaVXfSAfsBQVVfeXFMUDRrWGlRSzBxMjJfQ2lIUWpTYzB3dWxZRGdXR1BuWUtDc0pZWV9HQWVLQy1NN0plQlNmc2tHT2NZZEFZSG1rRXc1eWZxalRIZHhtRlI3OWh2cE5tMjZtWndIZDd5QnJfYlBTcW5Xb2N4dk1NTnJmVlo0NFVieDAwTEszTElKVGFvWi1yQjU1WF8zVzVKcWs0TnhtN05jMDRmcFVQemZIdlV2cUU5QXJyTzZhWFZ2RmhyMnVnRkRKYm1WWlhFN2FIbU5KNFFQaFZWN3ZCUXlDR1VnMUp0NlhCOGJXN0ZSY24yYzRzLU16SXlwamRVamhBVDRXcjg?oc=5" TargetMode="External" Id="rId81"/><Relationship Type="http://schemas.openxmlformats.org/officeDocument/2006/relationships/hyperlink" Target="https://news.google.com/rss/articles/CBMihAJBVV95cUxPQmt4MElPMFdzZEZHaGlsSnRoTGZRQ3lua2F1ZnZnQ3hLT2dOUDlSRzluaUtMZ2I3eEgyUmEyOVJEYlJmV2ZJcUI5TTZia1IxVEk2V1hSUlVyT2JXTkN2WTZSWXFlV0wtTDFnTmhvX2llUXJhTEVoRURmVDQtc2dIVm10MVRrSjV6TTJUUXFqZEZlbEg3ek5LazBkVzM0QUZnNVFMVTV6VU92X0tXRU5Fa1FFb2ltTzJHY2s2N1UwMWtzeEpubHEzNnhvUGpWSlU2VzBIaTU0TWlFNkhGczJhVWdKTGYwdjRLczYzRllRaGQzQmloZnN5dkF2Nk1JbjUxaU5YcdIBigJBVV95cUxQeGloY3FkM2YwOXhZR1NQb1NSUXVPdS1pYzZzVkZMeVRaX1d2M3hDaVRJQ3NKQ0gzeV83X0h0S1FSTlRlbjRIXzY0T3I0dzZTV3dHWWs3dWo4emFzcVlsbnRLVFJ4VHYyRHlJOWJhWEpJZjl3MDI0RjBRaHFiRk92OUJtZGo3ZTZTTm9FMGprdTY4dXFUUjR5ekY0cWtjeVlRbldaOFk4dXB3VDgwNWpPQm9FSXVIYmUtc0t0dGo0SnpidG5sQV9aaW9zSFJoM21VWURzckNiYnc3NTZwVGs2Nk1GZGVPNGxSWGMwbDlvd0NXTmxUc1liczd0QTJydWpjYjdqb3BOVl92QQ?oc=5" TargetMode="External" Id="rId82"/><Relationship Type="http://schemas.openxmlformats.org/officeDocument/2006/relationships/hyperlink" Target="https://news.google.com/rss/articles/CBMirwFBVV95cUxOZDhtNkJPT3QtYldFb1gxZ3RaUkw2bDhTY0pWV0ZmSncxaVZwZkx3REJtSHZWSWFQM2d6TkFYckJSMDVrME9WMVpXQTZick9jYjNLYVRCcllZeXp5NGhsaVhZN2Q0dG5BTTREaUsyM0Z6Z3N1VUh0bUdGVmc2VW5FLWZncWh0ZVhXNHRfMUtKaUszLXhZNnc2U1FkX0tjSVRNUUkxc2RhNkU1MkJaTTFN?oc=5" TargetMode="External" Id="rId83"/><Relationship Type="http://schemas.openxmlformats.org/officeDocument/2006/relationships/hyperlink" Target="https://news.google.com/rss/articles/CBMiywFBVV95cUxPSl9Zc2NhMHJURldYZlpuTm1KcEU3d2dTdUlja0hhSUhabDVBUS1Fb2V1SUhQeG42TVJ3ZU13dXluYmQwU3V2SnF3VEVIVFRmWFd3V3huOXNXYWFWZ1BYbERUNG5SV1JvR3J4UVNXY3BuQmM3a19GYk9BTkQ0YXZuS2VwMVF5NGw0bkIwdW82ZGlCejh3RHdmeEpXVDM5SThOSnZPUldOeGVzRHNMSFgyaVUyeHM2Q0hyXzY4NmtTN29USDRNSGlwcFF4WdIBywFBVV95cUxPSl9Zc2NhMHJURldYZlpuTm1KcEU3d2dTdUlja0hhSUhabDVBUS1Fb2V1SUhQeG42TVJ3ZU13dXluYmQwU3V2SnF3VEVIVFRmWFd3V3huOXNXYWFWZ1BYbERUNG5SV1JvR3J4UVNXY3BuQmM3a19GYk9BTkQ0YXZuS2VwMVF5NGw0bkIwdW82ZGlCejh3RHdmeEpXVDM5SThOSnZPUldOeGVzRHNMSFgyaVUyeHM2Q0hyXzY4NmtTN29USDRNSGlwcFF4WQ?oc=5" TargetMode="External" Id="rId84"/><Relationship Type="http://schemas.openxmlformats.org/officeDocument/2006/relationships/hyperlink" Target="https://news.google.com/rss/articles/CBMi4gFBVV95cUxNM2FSM2k1c25uYkVMRlVzYnJmT3hieVVRaEJOY1AwVFF5S3NLM2x5RHVWeUo2Z1ZyVmpJeEo0N1ZfWTFNNXpseVYxMUNOUVRINEVJMkdnaDdTZklWbHdEYjZUMjNDaEI5dHM2TjVNbHI0anFvWG8yTEUtaVRCV1Q4eWtZUGN0Y2hwOEpuNkdGN3ZITUVzcnFiZ3c1eHYyQ1VnRFc5VDgxdDB1SDFQdkVWUlpDNXN4em5Qa1FOM3NvTF92YnVTQWRVQmhTc3ZyUVZxY1g5RXVpaEtZaEhvbEVjNGJ30gHnAUFVX3lxTE9ueHZjNnV5Mm1OcGVQZVg4UEVuY1hYX3ZRY24zMDJvSC1HV0hhRTdaQkFHSjlibnktU3ZDMlRSREVSb2Q0cEVLcFUwWExlOHhDdElJYkJjTU5IRE1OcnJWZldpWHRCbllJSUREa1pNTHFqZnZfTmpBR2IwQUdZN3hVMEpOQVdlek4tWnNYR0luNVUyajJvUTZtdTZZX3hOQ1gzRnEzdmFlX0U3bC1UcGVnUldmVENNMUZobF9ZSzJZUHFxaThYWUZRby1tNmprUHZydGNGTTVGUGt0eUllQ2tNRTlST2RqQQ?oc=5" TargetMode="External" Id="rId85"/><Relationship Type="http://schemas.openxmlformats.org/officeDocument/2006/relationships/hyperlink" Target="https://news.google.com/rss/articles/CBMipAFBVV95cUxQTFozOU8zSWJOQ2VQbXRzcE1tRjV4RFFCVmV4bUZ1RE1Hd2t3WEZFcUpHTjNIcUxsMkdEUlplVDExM01FWXZFXzZtZnZfdkFudVBaSGFMdXNSa3JuM0hDZm1ab3lQZ0VEZnN4WnBjX09TNEIyLUVqdmFkSXljdDdHb3oxQVc3bi1jaU4wYXBDUDZiZ2x0RTQ3cmthNXBiS1QxbkhRUw?oc=5" TargetMode="External" Id="rId86"/><Relationship Type="http://schemas.openxmlformats.org/officeDocument/2006/relationships/hyperlink" Target="https://news.google.com/rss/articles/CBMipAFBVV95cUxNSE90Q2lsTzU4TlhjeUU2aXVUNmgwV1NuTE9wQmJtNElBZzhJNjd2aTRsck03bkN1bEVVeUZHZU5CeTRmTng4Y2VFb0dGbzBGNXV6YTRoazNMLXRRNVdjZmJINWw4eW1OczhqV251RGx0OVB5NEkxSlM4a1lSODg1T1lJWU5EQXo0cmo5SlpwdkcxOUpfSnlfeWZ3OUNzc1JwUmd6Vg?oc=5" TargetMode="External" Id="rId87"/><Relationship Type="http://schemas.openxmlformats.org/officeDocument/2006/relationships/hyperlink" Target="https://news.google.com/rss/articles/CBMiuAFBVV95cUxPdkdvclE2U2FTaTJwMENlTVRMcFNWRzFrMXc3TkJmRXYtVkZTd2hXSmgxVTVhMy1ja2hZT1NwbnhlN01kZm5UT3JEMjdTRW5FX3g0TzdRbHZwSzd3d1Q4WWh1cnp4U3Y1VVdsejBnYmpFeFRZYmxnNnZjNDZ5VmxlSmIyRldaNkkzZlAzeHJUYmE2Q0xZQVNnUG1CYjVSeUFpOEJLREZ1VDFndEJhVHlhTmFyZHY3MmUw?oc=5" TargetMode="External" Id="rId88"/><Relationship Type="http://schemas.openxmlformats.org/officeDocument/2006/relationships/hyperlink" Target="https://news.google.com/rss/articles/CBMizAFBVV95cUxOdjhrUmtJb19XME91VGVHc3dTMUF1WldJSVpOc29sdE5maF9lVXNpU09NZDQyUjlVUWIySTdXNzc3MEtwTkVnN25ISmxZdkFxdWpnUlNpMTBMQWJvU0hPRmREZlFlMFJjaS1GVmJTT0pXUGZ0VnBzV0ZZWGxfMWRqR19ndGhXbTVhb0QtNHBIZDJMZnBzdlM1MWVGTDBVc2xRbzZFd0FvRS0xWXVkdGFlbXkzNHR6ZWlicmxhSTJFaGlyV1FaZ1hfeFB2VUs?oc=5" TargetMode="External" Id="rId89"/><Relationship Type="http://schemas.openxmlformats.org/officeDocument/2006/relationships/hyperlink" Target="https://news.google.com/rss/articles/CBMiwAFBVV95cUxQejlpQVJiLVFMdW0wZlV0N3U0Vnh6UHozbHoxT2hIWmxBWXhUbkN3ZjgydlAzUDBESmVOa3ZjV0JOMzFYMGRtd2liQm5MOVBMTXRqSWcxX3p6ZnN0Nmt2eTVYTEM4OHE2TzMzQllrWFY0Znk1alJnTlpnVExjaW1zYzFqMDk5NWlDY1RPdk5IR2dINmhDVEQzckNIcThTWU90TjZKZU9MR2dJemtTeVJxenpZcGZzSHF0VnNvenplNUM?oc=5" TargetMode="External" Id="rId90"/><Relationship Type="http://schemas.openxmlformats.org/officeDocument/2006/relationships/hyperlink" Target="https://news.google.com/rss/articles/CBMivAFBVV95cUxPSU9EcmRzZndSWGJuSFpsb2dYYjN0ejN0U2RmWkhtSEJIRC1ZVWVFNmdNZllGSjlka0N5RVVZbmZ3XzhNME00VWFmLVo5S0UwRXRnbW55THY5SkNQaWNXSUY5TlBhVkdKNFQtTDlBbjdTRDVpN0E1S1JORDVWMmZwVUlGMmVibWNweEhvRDNISkI0STR1THN3bkxhei1xd1Q1dWNYWDRWY04xUFpZQkpXdFdtSVRNZ0VEYWJrOA?oc=5" TargetMode="External" Id="rId91"/><Relationship Type="http://schemas.openxmlformats.org/officeDocument/2006/relationships/hyperlink" Target="https://news.google.com/rss/articles/CBMiuAFBVV95cUxPSWdCeGxtbnZVYkUzYXA5TlM1WWk3UGtYcW5FS3JiS3UybTVtZXptYnA0d21FOFlGb0hjRlcxS183VDlDNFJ0dkhaYm9vdGZJQU9DbGxhR2ViUDgwSWhPY3BmLVhFZVY4RHNDMVdSOXFoVEttMVFlaTFmWmtkVkhITFhKVV8wX2JQN2NxUHBDYm9hVEQ0S3hSYzhWNWZzMnBodUw4T3RCTXU1NzJ4SFBSc3BqNTBhdlE2?oc=5" TargetMode="External" Id="rId92"/><Relationship Type="http://schemas.openxmlformats.org/officeDocument/2006/relationships/hyperlink" Target="https://news.google.com/rss/articles/CBMivgJBVV95cUxPMVZOWHp1YmZCbzViUTRZeDdmYWVCYWwyOUV1NGw5OE9pVV9tQTBXNngzNUh2TDhlc0J1SVc0R1ZnbTBFTDBYc0g4dFM4OHV4bE1NZm5RQXBDWDRGN1YxbnNrbFR5R1dZN2xmSzZabmF5R2htNWc3Zy0tUkJtTnZ5TWZWM1hSQ2tFVV9nZjhta3JmZ1RjVkpoSlB0aXd1RWdKeGdHNGRQRDBwTFZlM0ZEZjdTNVFYNXo1OFRoRnVtSmx2cmhrdjAxWWdjMV9LN095QnlkRXZMRGJOTW5VTUJxaERXaG5tcmpoOXA4ajZnTTkwQnNZS3JhOFFFcTlCLVlDbHFvYlJxV2x3X1VrU1p5cjJzS3o1bDJLUkVveURXaGpweDBQOGxGNjlESzU4YUFXemlxUXdVRHc0RXhpYkE?oc=5" TargetMode="External" Id="rId93"/><Relationship Type="http://schemas.openxmlformats.org/officeDocument/2006/relationships/hyperlink" Target="https://news.google.com/rss/articles/CBMixgFBVV95cUxQT0ZXNE1ueHQxWFczV053Z3lDam1Sekl0QXlqWmxsMVU3ZVBRdDVkQk5hV0RTeUZBZDBQNTZ1aWtIRTB6RU9pemxVS3RoY3lqU3VuazcwazZyT1ZGLWMyVzhmT2J4RWxXdWxmbWkyMk1aUXJxNzdFY3hlNU9HcWRoUHhVQnNPclRFNVhSVzUtUF9yNnQ1VVduNjlnWXJFbFdXWW1BZ1hoR3BiWlB0UWt5WUJlTjViTkNTVl9ONnIzYlpBZmpROWfSAcsBQVVfeXFMTm9vVTA0NTRmVmFQdVpRVGx1bm9Nb0x0aG9sVlVxbXcxRE12d1FRRWJOZ0xyTk11cWsxWXl3eUlybjMzbGxWaFNjb1ZTTEFXaDBKMjlmM3BKanFFQTVVRnNLbk43TjNmNVhXVkoyWWstNWZrZUkyYVNNdWx0SGlvdVRDUVQyM0tweUVXU2pHOUhtRDRrRHgzQ0JHVFJfZk8xTF9fWTdFbTYwd21MVmdaWnZTdWNXdkJDRXlLQXVDTEJNNWU3dzA4MEJFS3c?oc=5" TargetMode="External" Id="rId94"/><Relationship Type="http://schemas.openxmlformats.org/officeDocument/2006/relationships/hyperlink" Target="https://news.google.com/rss/articles/CBMi7AFBVV95cUxPM1pOa2trTHVUbzcxWUdFaEE1eXctWG5KTC15ci1LTFp2aEJVUjN1Q3hSLUN1NEJOb2hOaHZabHpmVTFlR0F0TnZoQWt2SW50cnhfLVhhN0J6c19XdFNWX0E0eERRbTcwT054SlZIWmVsakZOMjhFOTNpUHVicHd3Q1R4b0ktdG1fVElrMF9MNUV4ZVZzOGJtdjcwWHdmQ1dhZFQ3b0hSQXpBRjZ1cjgyVUpjUng3ZnJFTUJKRGpkSHV3dVdIa3ViclVoZ19vSi1GbFh2WGU1MXhDb05XdUYxSjJnXy03YnZRN3NabtIB8gFBVV95cUxQUUtOZEdrczdZSnAtdFMtWE9TYkQwNkllM0tid3lPemphOXl4WEdBRFJNM1o4Ymw2a0NLZEZ0ZU9RbU1MT05XTjViQWJMM1BJbDBCTEs2ZFJWSmFwM1BVUTZKU1BTdUVSTHFfNnh0UDZIYm93NjFQR292NVdLUE9hWm5RaXZ4ZUp5VEJXYkZUNG1mYmwyU0tjTFN5UWk5VVhWdTRtXzJfQThYTWc5WTB5U19JYUZzOTB5amRYNU9STXRQdldKajJLRVBPWXc1REFoaUwwYUZobV9hMEg2bk1UU3owNE92ZzZNcmltaXBZbi1OUQ?oc=5" TargetMode="External" Id="rId95"/><Relationship Type="http://schemas.openxmlformats.org/officeDocument/2006/relationships/hyperlink" Target="https://news.google.com/rss/articles/CBMi-gFBVV95cUxOcFFzRVljSmVOeTd5cW5pRzlldXJBLUpaYU1GVDRyRU0yWGVFTEl1bjlSajdjQ1ZyTnBEZFktR3ZYREREM3VVNE4zQl9rX0l0TnE1UmpzOUw1R1ZvUmdOVTJCckR3aWtwcFBlQ2c2ZUhnTmc4V2hMRUsxelJaQlVDS1hxekFDRFRVVTBjaDRBRjlKd1JPUnAzZFF6OXk1WnJVMzR0UDI1d3pZR3R4cF9sallCMzdXRW1ZNlAxUUppRWw0bXBYY0FWN0ZSTG5iNXpzeGY1aVJ1aHVXd2RmS0pyMnJuSG5IcWpvclhzeEpQcUJSTmdkakdGSU1R?oc=5" TargetMode="External" Id="rId96"/><Relationship Type="http://schemas.openxmlformats.org/officeDocument/2006/relationships/hyperlink" Target="https://news.google.com/rss/articles/CBMihwFBVV95cUxOZWdYU0xLYUJYR3QwY3N5RXNVb3c4cTMzbUlrcWVoRndKQVAwbmZqakRQeTB3Z3E4LUk1ckxpRGd5WURhaWNRNFlBZlVYRThLNnVfSzRGUXhTdVpnRFZMWHhNNFJ1bTljbFV2VnZPMWJfc3ZYMWQ4bHJIRGZCbE94ZElPc3lIM28?oc=5" TargetMode="External" Id="rId97"/><Relationship Type="http://schemas.openxmlformats.org/officeDocument/2006/relationships/hyperlink" Target="https://news.google.com/rss/articles/CBMijgFBVV95cUxOeFo0VHJ1ZGlSZFZjOUI4TDJjdEZKYXdkd25sZU1kN0VwRzAxam9nYUJZYTA1R1JVSWpLTGZ4MWxIeUFDc0VnRmlUMUJHS2YzM2RZWEIwUmpwMS1ld3dHU05BM2xLYy1IRFRWbjcwZ3h2aVhpdW1Cckl1NHR1SnA0bFpOMkpnZ3lIWlRYMW5n?oc=5" TargetMode="External" Id="rId98"/><Relationship Type="http://schemas.openxmlformats.org/officeDocument/2006/relationships/hyperlink" Target="https://news.google.com/rss/articles/CBMi9AJBVV95cUxNRHhKdDFWaWxxdENsRERFTkExSkVZd0hLSnczMngtSVdLSmhqcElodm5qZkJkV1g4VHpwLUk4cnlrTzBkRk41V0pzM3hQNndJMGZzTjZDOEF4UHdleFMxSUp0NGJPWXhyamFtWVhmdmVOR0Y2WlBuN1I5N0JUMk4yeU03Yi1sbkRxbTM4c0o1RmdMM0dyNzFoLUlwNFdnaWNZbUQwWk5UeVA5VzRRRDFnVk9GdFczOUpEV2VHdFF1SThqQlhJYTN6OXV4UFVmcVFmM0NtNlY3LUNlSGpqaV9GVEpTaDZUVnYtNnIydnhMcmZ5X1pnWTBnaGNybllrcFp1ek9zb2k5SGNvY1lOMXBJSUFxWVk3YjVDdVEwU2ZwUGswVzluQklKX2dOZTdrTUhZMlctTnVjdjM3SklIOUl3R1h3cUVSV0RLWmcxOU0xSXBQV1VETnItdmlxRnhlV1dScHY3cXdtejFnWGl3LXMxVjNINFU?oc=5" TargetMode="External" Id="rId99"/><Relationship Type="http://schemas.openxmlformats.org/officeDocument/2006/relationships/hyperlink" Target="https://news.google.com/rss/articles/CBMitAFBVV95cUxQajI0X0tyUk1EblJOVTBFMnQ4VGVLemdRdTVDeWdSM1J4TW1Qd2JRSlpnODJIR0Nfdk8zdGxUelpQWndzWDhOSjZMd3lrMHJiYzM2OFQwTUl5TjBydV9HanhGVmU5aGh3N09jN2VMdHpvcE4wNDQ5b0ppQ3ZETFRvU0xrYTVOYWxxYlBxcjRlSDctOC1tcmU0Y242Q1RYbDdGRHNJaERsTWY2ZDVUaElFUFo3TWo?oc=5" TargetMode="External" Id="rId100"/><Relationship Type="http://schemas.openxmlformats.org/officeDocument/2006/relationships/hyperlink" Target="https://news.google.com/rss/articles/CBMiUEFVX3lxTE1pbFVlRjh6MUJjOFhmY09pM1lKQjJneTlfSXZnTkhfQTZ4T1J0dFV0TER3Y1l4aEtmMVYxTy1HcFhoUHRvLVRvMGpoT2I5bXFw?oc=5" TargetMode="External" Id="rId101"/><Relationship Type="http://schemas.openxmlformats.org/officeDocument/2006/relationships/hyperlink" Target="https://news.google.com/rss/articles/CBMiggJBVV95cUxNOTZ5SnQ3N1lKTWlDeWdVMzExWTBBbzZ4Q0dpVkxHZmVUTmVSbnd2NnY3ZVFJTWthWjhpZUN6UEt5N21KQk5oQ3hHanN5TFRHc09nME9vTjZDcWNOVkVlTGZTekNDS2pXQWtLQ3lWS2tiLThVNkxGSUZVb2VNYTg0M01McEwyTGpwTGVyemFQTVBnRUJueWZrNTJST2JtZTFKZndyUkRabVE1ME1lYXQ0Z1FRaDVKUmNDV0w5NjNaT1NjNlgtODRhcjVMZEotb2l4ZkRYMFc1ODZWTjJ4UXl6dWpoVVdKeUFkNERyejdqOW4ya1pvM1lzR1k1QlQzQVlGdVHSAYcCQVVfeXFMUDQyQlRMczYwTHpwOUdSbVBOT1hTZWZxTVBNSVVacDNrWkpNNHYwRFd3VEhhUm5iMEpCQmR4emJTMHphQk9nQ01sRVBxMS1RY1JjY2RMMGlId3loUG5OYVFTUkI1WjducV9FSzM2X1VBblNnYVBsMUJNbDNDTDBRZkNSMTA1QnlsVy16aGQyY2RXQ2tWSGZOeC1vd1phV0Nmb1JnaEJrdUp3cUVKeHRPVHVoS0hubHlYNWt5bFlGbXltVXd0OFluM002M1AwZ1I3czB5ZEpqVGtnZXp4S0pwVXFVRi1JTUxOZmdTdXBqZHQ4LXpuVlBKX2NTZkhlUUdjVERicWlLUVk?oc=5" TargetMode="External" Id="rId102"/><Relationship Type="http://schemas.openxmlformats.org/officeDocument/2006/relationships/hyperlink" Target="https://news.google.com/rss/articles/CBMivwFBVV95cUxONVFOYmpNa3NTWjRTd2J5REp6cldfUmI0aUl1cTZWdmhHaFEyTEwxemZCaDZCWm5MU25NTDV4RXlzcGZha0cwNmFQLUZLSFJmWldrUkZWYzhwS3loVWkyU1hveno1aWFPd3RmTkxHTkVIU3pZWTF6WHUyRk4yN0xlMmJKdFp0RFBwaHFGb01PZVFsenNaX1dZMGgyd0FRai1rY3UyamZiUFpUS2NQbnNHQUN2dTUybHdQaDZlaFlXTdIBvwFBVV95cUxONVFOYmpNa3NTWjRTd2J5REp6cldfUmI0aUl1cTZWdmhHaFEyTEwxemZCaDZCWm5MU25NTDV4RXlzcGZha0cwNmFQLUZLSFJmWldrUkZWYzhwS3loVWkyU1hveno1aWFPd3RmTkxHTkVIU3pZWTF6WHUyRk4yN0xlMmJKdFp0RFBwaHFGb01PZVFsenNaX1dZMGgyd0FRai1rY3UyamZiUFpUS2NQbnNHQUN2dTUybHdQaDZlaFlXTQ?oc=5" TargetMode="External" Id="rId103"/><Relationship Type="http://schemas.openxmlformats.org/officeDocument/2006/relationships/hyperlink" Target="https://news.google.com/rss/articles/CBMi1wFBVV95cUxNRHU4MWFOaVZBa1Vld3Nqa2JzUjdWbDJoMEE1RXFTbTFQTkJxMXp6ZC1WM2EwRjJ5ek5wOTZVN3liQWVSTi00S241SnR5S2tMa1F4Q2pZTl9mVW55bXlPMjJKYjdnbVNsSnZJb3lFMmZtQjN2RnEyU3FWaUdzSlJLQ0Rnb0pUanhuSklRWVhSUG1sQ0xMd09ib3c4RnU2d2RGdEVqcWExaVdhb2JaRDZsbk44Tnp5dDl6ZFdCUWswNmFKQVBIVGs3RXVYVkltTmh0c3FPaUJHWdIB2gFBVV95cUxOZU5kUlVoNkt4MmY5OGplRVNBV0NGd09oaXZRenhmWHZzT3ZCenllSHpVWXFITUlucFJxV3JHSGNmSXJfSUNjTWI4cURiMUNQLUJjOWltY2RSUWpZYmh4ZVBZbTU5TEMwcHJpQUNUWnJxVnF1UlJWYy1aLU9WWDlOdlVZR05jdzVnZ2lKdTFUc2FxMVFFMU5acUpWaUNLdVJrNFVQZ0lxY0JsRmgxWVZHMEJxa0VPQlFpM2FSbGxyQTZ2RWY1SVhaQkFiY0NiSC10QkZiQW9hNXdZUQ?oc=5" TargetMode="External" Id="rId104"/><Relationship Type="http://schemas.openxmlformats.org/officeDocument/2006/relationships/hyperlink" Target="https://news.google.com/rss/articles/CBMiuwFBVV95cUxPRG13UTBuT0JEMFllZ3ZDLTZVX19ZNEtTMS1NbXVvTFNYVXRLUmk3RjhRVU8zYjRKeFVWZFB6VVFsTUZlY0ZMU0tna1JMbi11YjFjcTdqNFJJenpCZmxkRmVDUGd0RnpKWi01VGJOVEFLMVQ5VmxScm9yYkpqY3pDYnZxajRjLVlBcVhhbW9fZE5IZjJHaExqS2s1ZG9vSlpvX0JQUTFPUU1tbERGeW1kUXF2T3R1alkyWE4w?oc=5" TargetMode="External" Id="rId105"/><Relationship Type="http://schemas.openxmlformats.org/officeDocument/2006/relationships/hyperlink" Target="https://news.google.com/rss/articles/CBMi1gFBVV95cUxPS2J3dHdWcWJLYTJ5alp4Tkh1QTlwTDdMOTRnaVVOVE1aOUt6Z2xBNENSejlVaS1vekpCZHRkcHdla2o4RHZJU1MwZlBOVHVucEJ6SWRWVTV3S2FuOVJzb0g3cmFKeHNlaUQyYkozRmdTeXFQbXB6TTRYUVh1alNOejREdGRtUzlqLXdqM0QtU25IdzJaYk5IMm1JYm9CVkJIQnZqanVIa2E1MDh4X2ZGU3VRdW1BelhnbHlHOVd2alJlTGhOSnhjaVlFWG43MWpHelZ5WEhB?oc=5" TargetMode="External" Id="rId106"/><Relationship Type="http://schemas.openxmlformats.org/officeDocument/2006/relationships/hyperlink" Target="https://news.google.com/rss/articles/CBMingFBVV95cUxOWVREZE5mYlZmZlUtdGwwN1libEhJRzRMU0ZQcU9BclYzazJqb3ZpYlpDX2x1d05zN3FNcWw4YXluOFduamZpU21JMHgzWWxQOUZ0N2p6OXJPbVJVakNtWG1IVTktQjE3N1dRVm9CT3FHV3ZXMGp1c3VPdzR2dUpIQnhyemEwc3hLdUd3SE5VN21WamFNM0ZyVXo0SkU1Zw?oc=5" TargetMode="External" Id="rId107"/><Relationship Type="http://schemas.openxmlformats.org/officeDocument/2006/relationships/hyperlink" Target="https://news.google.com/rss/articles/CBMi4gFBVV95cUxPcm9ieWY3T2dnbHVqMGdidEpiNkFjRWp6cFhlemNKQkFnSVRaSDBRSVJGTTlYZEFCMS1xa0Y1RTM1MkZSU0VhVnRtWVFHNjFuRlU1ZmJPTXIwSlNoaG02V1pxc2xVRGlGa3FNaU1lU0lrVURQODVteTRYZkVWajRKTEphZ2hOZEFNVHVmV0hTQ1dsMTZDNTU4Nnk2MkU3UUdJekc0em9MSTlqbVcyM1F4SGt6aVozYnptVXZBRDBNWkd1RWVVVTZvVkpUenJ6WVNXMlJBbDViaG1rVTZtODJ5Z1NR?oc=5" TargetMode="External" Id="rId108"/><Relationship Type="http://schemas.openxmlformats.org/officeDocument/2006/relationships/hyperlink" Target="https://news.google.com/rss/articles/CBMingFBVV95cUxNRkFLNDQtbWZmdzJhbmFlUDY0M0pPLTdtMTJkZ0VmbUhma3lyU3hiMTFodGVwdVk1VWlhQUFTbVRDRUFOekZmM2lqcWxBcmhRWnpMNzM3dDY1TENxR0s1LU1BZFpUMWlFRXJWVU1ZOTFZOTJvS0VfQWtwTDZoMGdJWDdacENKNzJ3V1dNSnNMdU1jSEFoYzgyZ2hjVzZfQQ?oc=5" TargetMode="External" Id="rId109"/><Relationship Type="http://schemas.openxmlformats.org/officeDocument/2006/relationships/hyperlink" Target="https://news.google.com/rss/articles/CBMizgFBVV95cUxPdTgtdlVmSDc4Ri14SVRsVWx2TXZkRHRMWnJteFpXR1FrMWlLUEU3QV9QOU5rQmNLUkxOb1haZjRpVlBRZUNXVjI1TDVGMVRKbm1qbXlEdDdZMGlmSTZxU0E5R0Fxc0J0YmhHRHlZcXB3ZFMybDg5MHpqVEtQaHZ0TjY1SGh5bWJhdnJYQXk3Z0k4dGRFQ1FnWVpuSm1Qc2V3UDBUaFVscWJOYXllNkZ2Q3hJWXRRVUlTUFdiR1M3OHJmVGlyVXJsRHRmMUlHUdIB0wFBVV95cUxPV3gyaE1IdHZaVzFPNUF0bERMSmNVbjJaUTk1Wk0xRHVWd1pjcV9KMFd6VkM0RG00RW1LSmVVU1R1NVNoQ0JkY1dpU2xSNGJRWHNoc1ZxNTRDUURMS2g0cVdzTThnVVVjaWYtcmhtZDg3V1M3N0s0MWVsbl9FUkREVl9pSVZ0QkQ0UnBRS3Jrdkp4VDhXU2t6RmoxRG42NXItck9Xd0dWQ3dkcy05cmE3OVFvdjVVcGV0M0hCYTZIQzlKSTBkVzBFNlF4UmFQOGRyekhB?oc=5" TargetMode="External" Id="rId110"/><Relationship Type="http://schemas.openxmlformats.org/officeDocument/2006/relationships/hyperlink" Target="https://news.google.com/rss/articles/CBMiuAFBVV95cUxQRjRhYk1NR0E5QXc0c2RkS09URjJjNVBsbkMwX1JsMTF2VmlTN2dJNnZxMl9SaFc1dG9rb01zQ2ZSbkdLSmszTW1tNnVxQ01fVjZqbWI2Mk5HSjhOeUw0YnEwX2RIZC1uNDhmSXYweWJ2ZVVyMVM2RDNCMXdoSDFXOU16UDgyQzRXTFplUFI3OVY2UV82RzB6N1NMVno4X3gyX2p4Y1ZObk0tSG9sWHNkMXpOTUNCWkMx?oc=5" TargetMode="External" Id="rId111"/><Relationship Type="http://schemas.openxmlformats.org/officeDocument/2006/relationships/hyperlink" Target="https://news.google.com/rss/articles/CBMi3gFBVV95cUxOU3duNjJxVklveGxTSi1uQUF5NWZFN0JqSzNCQUJMWVFHWEZ2dldsVzYxTHk5eDN2aDRYcDI1SUpfUXl6QUh5QkF4R2hCeExRQ0NrSFY3NEh4cXZMRDRkYTVGQllvV1kxeDJzQmNQdDBKVFNuWUI3MGdueXdrTWkxb2Uwako2eE1GNmQyZTZhNFV5WGg4VzY1emFpb0liZFQzQndFNlpfSGZub3VhWjdDSllTSVlDVTA2c3NlRzZNcm5hdFQ5YzYtTnVleWNKdkVuOGl6WjBBSnlXMWpIOGc?oc=5" TargetMode="External" Id="rId112"/><Relationship Type="http://schemas.openxmlformats.org/officeDocument/2006/relationships/hyperlink" Target="https://news.google.com/rss/articles/CBMi2gFBVV95cUxOdG04T0NSeWtzMUF0T2lxU1hOcGg1ZE5yMzdxRzlBZHdZQVp6dUVkV2ZWcDNkVTNmazdITi1zaDBtOTUtYXdjTkh0MDhoZmUtbkZDRUtNN1dLVWxQTEU3OWduSHNPS3dOajRZUnpqWHhuVGJpZENuM1dUVHI5OTctdlNXX1pjbmlNT2pDQk1HNVR3U2duLVhFSUFSdEYyeWxVVGtqNXgwWHluXzVTbmhsUjhsOS1mdmZ1emplUTljSXNkNWk0emJSeUd6eFBKcktjeVZCZXYwVWctdw?oc=5" TargetMode="External" Id="rId113"/><Relationship Type="http://schemas.openxmlformats.org/officeDocument/2006/relationships/hyperlink" Target="https://news.google.com/rss/articles/CBMipAFBVV95cUxORUR0MVEtZ29ZZ2VWVFdXbzlNSFd6SzlKSW5kMTBPSFlwUV9QT2wzMmdHX2Z4R1Nsb3ZxWkFXSnhjS0JPSUs2aXZVOEFPa2k2TDJ5UlhLa2RVSkVQVkcyd3NQYXpLVmF1VndaSUFfQ09zUTBvYTZ3LWFaRk9MWWxwZFdXS0RWZ3ZCYmNTNlZnb3V4bTNyUWNybC1jOWZ2SWRvV2J4Sg?oc=5" TargetMode="External" Id="rId114"/><Relationship Type="http://schemas.openxmlformats.org/officeDocument/2006/relationships/hyperlink" Target="https://news.google.com/rss/articles/CBMi8AFBVV95cUxPUGhZemcxX1FtMnczcmp6S2FwYnlidmZZLWs0WGFwWkJIZEZma0pRRG5WcDVwTTlKdWo4MHkxVTJLNlRWdVN1Y0VSTVNfWDhUcnFCci03bnNiOU9zbDNCVndHeVhxWi1ySGRwLWc5SFpXY0JFRnJCUWNvSUtySHR5eUZsZ0JYZ1hFeWpFaXJ0aGppTkhNOHlPSXlPaXFpTDJSbUlOcllaUE9QX1lMOWk4VnhXdW9SMzh5czlxU2Y2OUVQdEwzR2dkVm9OUzJwbi12RWlCRXVmOVNDTkkwMnFWN2V0Z25UNzYyTExlV2JEVGXSAfgBQVVfeXFMT3oxc2JldFo2dlZQMC1PY2ZlR2xVTDlDNWhPR1dLTmZpZnBQS010UWRtOHVUNkdoWDU2STdfbTdNWlhaUEV0U0phNnhfYnhSaG5abTdxakpEc3hUbGJ2czAtazNyTFZ4ek0tUkRqYURKelZLMzUwOGJXNlVZdGtEMWZvVVh0U1RZRHNvellZUUVmVHVFYVRwTEFaT3c2eU55WVB6eGVfQVB6cWNrNUZ1Y0ZaMjQ0RGczVW4ySi03RndSX1RTaXN2RGhnU2NOUmZlTG1sRHlOQVFsQVRLZHAzOUE4OXd3ZExUcUNFYzV1Z3A5dWxyTmlsWVk?oc=5" TargetMode="External" Id="rId115"/><Relationship Type="http://schemas.openxmlformats.org/officeDocument/2006/relationships/hyperlink" Target="https://news.google.com/rss/articles/CBMihAJBVV95cUxQVFNuM21rRXlRRnp5dTJuSmVIRkRpX2o0NjZhNjNqdGZLT2YtVy1kVElsU3FFUHpLYkZiUDZzZDBNTHVMeDNDYmY3N3RtTXIyNjA5VVZUQWtnZTRrRWE3Mi1PeUF1TVRlSWljQkNpTDk5cjB2UVEwc1l2X1NkblVRQzRKUElKTE1JMndldlZ4YXRwYUEzN0xydng4dl9Sb25lcDFYNnJqRkQwcllpSE03MDhmZEZHbFNVOXZ6RVIwUWNQWkx5TUV0bWVodHJjVTk3X1RPSzRxUC1MRFk4SXk1QTRqY1FLQzNzUUlrbmsyLVhhbWlLeHJ1UE1LS0poZGdiZExLOdIBigJBVV95cUxPVVdxeUZkQ0drbDJXb1ZUUXR0WmNtYkVoTnlrcDBlRHBTY3N1dmVNNmY2SEQ2ZjYyUlA0Y1kzZS1peEx0Z18yTEJvQW91V2xXRDA3U1Q3ZmRSTGlxQWxpNWNKQzZXQ21mZ19kQkVPeldRRzJRcDNESW1YWEgzWVFOMFY4YmNDVXE3OUNEeDR0V082bEVITkt2NlRNdUZySVVrcjJxY3JSVUFNVTJseURuLV8zYlI5ZkRMbUQzeFBlWUljOGxTYUpCWURxakNHTmE5cVhpdGlTa18wYUhEVFotTmlHSHpGTE80RGZNeTR1TlB4Z2d4eXVaT0padFllTWVYSkFRYmpzX2VKUQ?oc=5" TargetMode="External" Id="rId116"/><Relationship Type="http://schemas.openxmlformats.org/officeDocument/2006/relationships/hyperlink" Target="https://news.google.com/rss/articles/CBMixgFBVV95cUxQZTJOeGZuVEtDRVUzdDZNTm5CVExWbjF4NEZiLXNBSHpZcEdXNGVXNTYwVFlXeklremIyajhhVGVlNWcwV2dOVzlvdndVOTdiTWIyQXBXLTBuNUdndFpyTXYyQ2NtZWt3dTlwY1N3VVlQZzg2UVI4SkNEMUpCYVhSWlNIbjcwRHVvVFhXY1ROaTBvSHUwOXBGbXJkS2VpQVRUMGMtTV82bGU3SEhlcU81RWNoRFNGRU0xY3U5MzQtby1hRTBmenc?oc=5" TargetMode="External" Id="rId117"/><Relationship Type="http://schemas.openxmlformats.org/officeDocument/2006/relationships/hyperlink" Target="https://news.google.com/rss/articles/CBMisAFBVV95cUxPVXlnT0xoel9qUUtRTDAtZGQ5UHM4clYydGFvWkpNdzVSWGFpQTZmLUlFMGl4SGYwV2g4LWtkRVFIdlh6dlg0OUZteHpLV0wwcmF4YmV3STRPR2JRWDFzcTM0Ni1wSWVIS1J4UUdCYXhlWUI3aHlwY0ZpbDczZGt0QjFESldUejc0SDVRZGFIUWpMVXU5WGRrNmNuVkZSRnNGVHJpRUpWcHo4ZWFPX0dFWQ?oc=5" TargetMode="External" Id="rId118"/><Relationship Type="http://schemas.openxmlformats.org/officeDocument/2006/relationships/hyperlink" Target="https://news.google.com/rss/articles/CBMi8AFBVV95cUxQMWQwM1dBd3JvMWkxNEF5WVFNVE9oZXVUTEpUa3h3X01WZlU5MlpFYUJ2MmVmeTR6RjgtbUZKdzAtRDM5eFd2SFhjWDBrVjlBY0ZwWU5SekNRZThRZFdfSVlmZG5WNmJpOWdFY1JuTW1JT0hWcjhDT2pCVXZIbHF0bmtlV1FXb3hhYkdNdXV5Ni1jdmxnQWx0d2dHcDRsSGU2Z0diT1gtV1hMN2gwQ1pXTjdDbHpZTEZxUTV2c28ySWptU3FEbjRzNEZMQWVIUEJxellZc0NuZDl0Y3ktVjA4NXRyN3hHZk9JWi1VZTRrejbSAfYBQVVfeXFMUG5Ia0FLeEdlN0haNlZKVFUxSk8zWHRvWUJaYmJBNkpsamFNOHRpYmZVSzl2cVdmcHVNVl9BbjRLNjFtYTJtT2trVGVUWGNJalczY2RXY2M4cFRjbzk4QWNxaGRLZVFGMXF3dnI3bTd2RE84LXJic1c4QUhIcS1sTUx6VV9tSWpvSnBBME1SSTR1eE5wSTF6RlBTa0tDMndDb3A3cmxtazdlakJMTGxpX2V6eTRscHVya0g3SGlKQ1NYR3VTT3RFbE1CamNpVG82VmZWTU5oY1VwVldUVUIwRzZ1UTBhbWZkUnhlR091d2ZHMVNqVW5n?oc=5" TargetMode="External" Id="rId119"/><Relationship Type="http://schemas.openxmlformats.org/officeDocument/2006/relationships/hyperlink" Target="https://news.google.com/rss/articles/CBMizgFBVV95cUxOVWNHV3BUWGtwZVRvUjhKY2hYVl9qblE0em1ac0xPQjZYOHBPNHFiSTZBMzk5NjF4ank2SnlwZ3EtU0Jmd3hTcWZ2NFRYOGNaRktXQVZHQV84dVhScFlXb1N3aWtZRS03Nmloa1RaNmNwY3JuQWRrX2c0aWwxQWM0X2V0aUlHdUpnZks2SVJHMURMX3I5WkRIcEtOLVBjZmlDZUllUE9PdHlHdGRJbUliSWFWQlo5Z18tQW5nbU50TlpTcExDWWZ2RWxIQkZZUdIB1gFBVV95cUxQampaVDhmalJkaXptRXlseE1CYjYyTUNVWTlYeUJNckN3WHdwQ2Y3TVFnMVIzMzQ5eHZiZGRJbUdzRDZFWjM2U3d1cHVVSkt3VmRSdFhsMXJTNmNnNVBvN1pCWTFrYWpNYkxvdnc3dWpSeUFjVGxqRlhwem9VRXpVbFFDOEJrSmpKeUtzbk90d19JWHY0OTJDNFl2a3Rob3J6bzNTd2Z3MkR6eDN0bHpWaXQ5aUJ5VEpBZjFyeHlyS3hWTUVCVGZVRTNiaWZmQU9vQ3ZpSjZn?oc=5" TargetMode="External" Id="rId120"/><Relationship Type="http://schemas.openxmlformats.org/officeDocument/2006/relationships/hyperlink" Target="https://news.google.com/rss/articles/CBMivAFBVV95cUxPWm5SVDBURlZVc0pOT0VWbDFBTk16WmluNUdKMWhENGRJZFZDcnNpYVlkMjJkUks0T2NUVmpoNGJZbkdGN1hsalhUemtYYWhoTzh5TkRoNGdtNnVqZ19ZVXk2MkJmS0M0T1ZuSUZFLU9YTlplMGY3NFhGclp0U25aeVZhUXhwWkJQaFowMXBiRl9nUW5IUmhJN1dtUHc3Vi1pRkE3Y0lwRlRCM2FZU0l0b0tIUWxSZlF1U0hrdA?oc=5" TargetMode="External" Id="rId121"/><Relationship Type="http://schemas.openxmlformats.org/officeDocument/2006/relationships/hyperlink" Target="https://news.google.com/rss/articles/CBMiwAFBVV95cUxPUkV5elZzNklzdWdkUHBPTWxSQVFDbGNyaDBKVVNKLV9GejNDOXVhOWY5cHBpNmNnSDRiRUFZZjc3UTRCZFJ2TzloaVhldE5LM1FfU3NnVmdOZHVrZHJOTXVsOWVvbVdJVGRTaDVZVUVVRklxRl9pRFRpRXdaVGVlRUQtWlpyUjRGRTVicnlWazhpRFRHeEZxSnhRMWVhYjcwWkRvLVEyanFGSmwwbkt6bHhsNUUtM2RCN1hmN056Q2zSAc4BQVVfeXFMTTlSZUF0MkQzSUVaOTBZblI4SU5RUjdRdXdyM2M2ZFg4SkxMRGxYUGR3bWRabTFEa0psTFZYZDlFcVcxdVYxOTFJVnBtbXQxSjRDOThiNWpxaGZsRDQ5RU13Q3BTd1d2bTgxZFB2dXlnQ21XZkZLRkNaOU1uYVU5MzNPc1RKNjFBUF9kMmFlek5MU29sTUlSZ3QyU2gtc204Y0tGMmc3MXJBQ1FVS21mNjRWVGpDZWlPT0lCOGE1WEZPMjh3bWYtRmJJQk40dGc?oc=5" TargetMode="External" Id="rId122"/><Relationship Type="http://schemas.openxmlformats.org/officeDocument/2006/relationships/hyperlink" Target="https://news.google.com/rss/articles/CBMilAJBVV95cUxPUFdHNEJ1d2pmSFJIQ0VEeU5fMjhNOVpXd0hSWDZyNjRVanRISkxvSXlmNVk2UGlJc3FrblIxR1hzQkRMRGRTVy1yYVp1YkhtbGFKb0FQOFFaWXQ5OGtXbkJvSklmSUVQZzFuZHpGSWswZU9oUjBZNkMweUJmTG1uSE5lMmNuN3RPWTRGNFdiakFjTFRYX1lmd1U2U1NDczRzVXNQTlEyY3J6MjFfZnlNOVM0LUhoeGlOSTFsNlFna3NOOXBUaTJJM2wxR0ZKRmZvd1lOQzB1Ti1nWm1QR1RYMVdRZ3dHRXVDNHBLbXp0UDJGWU1aZEp2Y19pVEd5Vk5Rb0pyRDZ4ejgyY3BQUFJvdWMxek_SAZoCQVVfeXFMT215eHpFaUdJZjBrR2ZKSENHYTJhcWJ6bHE0MTFzeklCQ3pieDAxR1pqYU1OcTRyZi15R1czVVpkVFM3R0ZjU3o4SlpMS1B6QU5mLTZxYnZOdnBmbU4zLUFvdzdSakw1dVFtZlFTNFJUbTZoRjU2dEZISVVrdHZWYk85WDJGMjRDOGE1dHRZZ1VxNHNFXzl3ZlF1cnlRaFlFeGVxLW1vRW5ESDNIbTRPZ1dMaWh5UUNIVmpDdGM3ck1OV0V0dVNOY0tsZV9CUERGX21KdzFpdnJlUnRSamZvTXJ6bTltdnZBdV94TnJTbndGU29DNnhVVTdNeF9rUDBwTXEzVERacGZjbV9qQ05oNUZRWElJWUpNOGl3?oc=5" TargetMode="External" Id="rId123"/><Relationship Type="http://schemas.openxmlformats.org/officeDocument/2006/relationships/hyperlink" Target="https://news.google.com/rss/articles/CBMi0AFBVV95cUxQQjhHdkQ5YmY2TGtPeTJiZUJZYkpxTzluOFNQcC02dnBzNGJTd0lteUE4cDl1cG9UdVNhM2x6cFA3eHJOcnNmaGcwbkthaWMwSjNnZWw1VWNBczlWYlkzc25BcFp2ZjZ4dUNkUThveVVxQzBrMjZ0REtibllxQU01QmhMZG1lM1hOMVVXc2duZ2xfdGNER0FfUFlBTmlZc1haaUdQYllxS0YzTmJJMTJuVUpXSDFfeTUwUjFIaDZXdTZvbDBkZy1nM3hzaTNmMmpJ0gHWAUFVX3lxTE5xNTJPcDIyMVdEOEhnMUFtM2tkekQ1WUItZmhyYmJLU29ud2NES3BmWmF5YTdMeEp6Yl9Pb2NqRUVEMDVNNkw0UU9uSHJINWM0RlhwaUJRN3ZOZjlwT3FBd19tOUJpVUVwREJIaHNDR242YlBsd01ENnhKSng4NDVkQ0FkZHhrcjJaRXJCZjJVV3dDU1VXaUR1VGdVVUZJTC1QNXI5d3ZUaHd1aTZhNXMyWFA2TE0zVjU5WDRuUGpQWUZsSHZtUmJxTVFjaGJxbUtVcFNDU2c?oc=5" TargetMode="External" Id="rId124"/><Relationship Type="http://schemas.openxmlformats.org/officeDocument/2006/relationships/hyperlink" Target="https://news.google.com/rss/articles/CBMi7gFBVV95cUxQR1MydHdOVXVrZVYxU1dTNVlQcC02MlhXb2FWSGJDcGVOd3ZJb2liWVBtZTZMN2owQ2dRRU50Z0NQVl9BMTJlbGNtYW5WRFJwVG1wSXlTNmJ1VFExVFRiZDNqd0dDWGNoeEdWcXpSS3ZDV0NSZEQ2ODBLc0tjbUY5b1FzUWk4em1mc2EyQWpsZm9HNmRmVDBtNEd0X09zbmhQb3oyeklMWVZJa0tUSXZYRnZqUWdYekdsb1pnRkdfaTJuNEpHZ19GVDZTUENFTUFid2ZXRGRVRUl5aFRLaDhiM0sxUGJJN2xUVzJ3QWhB0gHzAUFVX3lxTFBMTjVqSE1LZG9abGZxMDZhN2lLbWxQcWVkWmUwOUtGc05iZWFhdWZxWFpZeGxBb20zZy1YdERrMFltV09CU1NsUC1ZQ29yQXEwYlBaYkpYZmRtT0FBNUYzOUl4VWp3X083M1UxcWpiOHdzWml5V1ozTm9fSEdZUHJPMTBIRHQ3T0RDWDJEUTQ3TXlKeHg5cUFmOGkySUZVWDVCUHlhaWY2RXRwcHRKb2l0dDZIaVFWYm5OQThxZDU1djVDZVhyYnZFTlkyWGZXSnZ3ejRFelY3dDlJNUNGS2I2TE9NNzRHQzdkRHVhWUhzd1BTOA?oc=5" TargetMode="External" Id="rId125"/><Relationship Type="http://schemas.openxmlformats.org/officeDocument/2006/relationships/hyperlink" Target="https://news.google.com/rss/articles/CBMieEFVX3lxTFBJQ0hiQ1ZuU2pKT2tSbTdaelNCNXduZWdNdE82cUh5NWNMZGUteVV1NEVBSVktM1dXRVpKc3Nzbk9RU2VxR3VVVDR3RGpKMm83MEZwZWdONmkyZmJNbzREd3F2Tk1JU1diVVdCWlhGWkxnUW04NDBKSg?oc=5" TargetMode="External" Id="rId126"/><Relationship Type="http://schemas.openxmlformats.org/officeDocument/2006/relationships/hyperlink" Target="https://news.google.com/rss/articles/CBMic0FVX3lxTFBfZUw0Z3FFMW5wMEh2Y3hDQWYzaXBDdjYwOTU0U0F5QUhQOUJrOVBwaklBamt2WlZRV3BpSVk2cllvR1h5OUZuZ1JIX0UzWVllUEJfRVhGM3dFZzdRenlJMXpwbVp6WmhsZ0ZfdVY5bEdyaVU?oc=5" TargetMode="External" Id="rId127"/><Relationship Type="http://schemas.openxmlformats.org/officeDocument/2006/relationships/hyperlink" Target="https://news.google.com/rss/articles/CBMiywFBVV95cUxObDNMTUhmLVQ1ZlVSdGxrZ21NTkx6V2p2VkIyUGZaZUIyRWZ6cmR1cHNwSDJieWFkQWdneEU0WmhnMzZVbndPc1NOanJHMzZwejB4eDdueDRTVzJRLVBwT3hmVmNWb3JtYVpHX3NyMHJyM2hweVRJZ3VLOXZ2UndTYXVPQ0ZNOHdRbS1IRTh1WU9iU0xMMzVXSU1sRFNnYjNmaXdSTm41eWNtdk5YbW9FNVlxaHlETl9sNDFhYW9oUkNiTGVtT1U3b0hxOA?oc=5" TargetMode="External" Id="rId128"/><Relationship Type="http://schemas.openxmlformats.org/officeDocument/2006/relationships/hyperlink" Target="https://news.google.com/rss/articles/CBMi5gFBVV95cUxPcko5UEdiOC01aEM0TEM5R3hLRVA4VE1tYm1jOXJOVEpwR3g3VUF5ek5XbTRrdDZEZUZVRkZJcEJrSmtqX2tfSmNkNktzWHdtaXJhQkVFLVAtbXdMNFRLZFc0UWFOQ1ZZZ3JyaTdXMDc2cUd2SjI1QWROSzFER3Y2b0lrZV95SGpTOGN3R0VDeWw2TFp2bVJxWm90THM0cVVtZm11ZnhSLVlmOVZYY2trZ0RBMnRBaV9KVHJGNkpnOW9sMGliVUtsM1l5d2UxVERjVXFNQ1YxNk0tQnhkU3NYekUtQjhRd9IB6wFBVV95cUxOelNSTEV0dldJVUhjU3NpNlR0VGZ0dmRyanJBYWo1dHQtX3FmdHA2NlBqYmVXeUtRMENzR2ZSM1l3TGN0Ylp5VE9ELWtxOFVUSmM2bWd5bEZVaWY2RFJEcE55YmFTZDFSSWxHZlQ5SndXVVNDWjRDeWNCaWQ2SnRULXFsSVgwd2piOHJEWHpqRjZHR0VmSTViNTZFRDJTMk1fNjlPdUZWM2lwd0FrVnFuaEk0SWRlMmQ1LTBYbXF5aUFORDU3TGs3SUthYmR0TDFhQ19QSnNyblBmV252ZWUzZV8wVE9sOGdORFRV?oc=5" TargetMode="External" Id="rId129"/><Relationship Type="http://schemas.openxmlformats.org/officeDocument/2006/relationships/hyperlink" Target="https://news.google.com/rss/articles/CBMijAJBVV95cUxOMWNoVGY2ZEY0ODFQMThwbU1fd25ObG85V0tMVkxfYVZ0UVNtVXJZV2hQY19WNjJrMnc0Sms5bGxfZ00xdkNpR0I5b0hlVVQtTjlrLUVTVmxZVExFZHhuOUZPSkFadkVQWS1HOVNnNHN2RDVnOGN0T1A2WGdfZ084bk9Bc216WU9aQm1KUGRYMkxaVDQ2aDROZmU5UVY0LWdreEhLN1drQXdiZkc5di1oVTJRbzJJR19tM0ZuVUdqVEphRS12cU5XRGZVdHhMTkwweFVzNWt5REF2bGhaaU9oaTljaTE3N2R3VW5EaHQ0WHlnOEtneElFU1dZRUwyR0JhWW9HSElIQnBmU2dF0gGSAkFVX3lxTE9YWXdLSjc0NGYycjJjbkwtbFZsNnctR2hoeng0cUxRdHBuNXRwNnptRTVrRHpMc0pyZ0xRU3ozTlBDUG0zOHZkSks1REdobk02WlNIOXl2TkFxNzBQOTRkVW4yQW1JZ3JGejJKUGtfeGszbXl6R1Vqd1hHT29xUnQ1RUlIdEE2X2NjT1hDS1RxSGdzYUc2dl9uUzdKNWg1aHZSWXhOaUpyMXNFMjBWYnVUVEhfMEswUmhBbEZjSmlPM2RMbk1IVVlfQ0JGMFVoVXlOcDFGeTV6TWdrTF80ZHVhVEljMXRGTnRZUWhpekk3VEJ1MTRiVXdfbzFVTGFrTnl0VTFtR3F6dm1zdlBjUk9tM1E?oc=5" TargetMode="External" Id="rId130"/><Relationship Type="http://schemas.openxmlformats.org/officeDocument/2006/relationships/hyperlink" Target="https://news.google.com/rss/articles/CBMixgFBVV95cUxOczNFM3dEVVhwLS1IeU45MnBxMTFNME5MT2U2QktkNDQ4MDVhYzNqc0lzdVdpaHIxOWxSclJULW9oMnFWeVowNTB6TXpzd3E0YjlrOU5wU0gxcGlMRjRnR0g5amNrdW9FekdEWm4zeE9TN1NUM1p6aTR3YzNFQTZVa1drWmRreWRNZE5kT1JSX0k0LUhXWDRMM3JUWTJ3NmNzRFQ1amd4bi1mNTRKRTcyVTAwelBXNWFDNElNWUs1c2k1c0ltWUE?oc=5" TargetMode="External" Id="rId131"/><Relationship Type="http://schemas.openxmlformats.org/officeDocument/2006/relationships/hyperlink" Target="https://news.google.com/rss/articles/CBMigwJBVV95cUxOQUVCTnFDYktXNmEyY2tFYVcxRVJrZUVqaVJpa3lSUFRIZ0drdllISzhoaGRLc2RzUWRYR3h0ZlJrNnpjUGFDdWJuQUhZNzdqQzZ5Z3VHVFZubUtlWElnM2p1VFRGcXhRMkZPR0tHam8xeHdibmZvcTdYa3hOVnliNHNrZWJRdjVrTmVhUUJJX3JBWlRtUFVfSTltOUhLeUJGbmVpU1BBZFdPM3R3blhZb0FYeWpHc1hUenJ5QkhTTmh2M3ZXYTVndWM2dXZibmgwVlNYVlQtYi1nT0FuWXUwaGhvSTBabVRBdUlwTy1FTFpLM1Q5SnY1VU1oNHlOWGp0eThv0gGIAkFVX3lxTE1rUXZRQzZQZWg1QXpQNlAtYmNJeldOdEFyR2E5SXZfbndJbExXRG9zXzA3SVJwQW9tczdnZ2dJOV82OWV2Ylltd09zalVXbUs4NzkxcmdIUldCejY1cDJ3bmdyWmxnYXJaZko1WnRvZTA2TDZMeXZQbm95cUN4RktBaGVydVlsR2daNU40aTU2aldLS2tKX0M3UVVUSzJXdmVWQ2tPaEtMekV3LTMzOUluYzdyS2hBeGwzSmx2XzV5Ml94VnBfSG9NSHNvZ28xZW5icElkTFNDV1hTOFh1NTVmM044cURONnhNWUx5eVRhcHJuV3lpU1VMSTF6V25OTVdjUlJzTS0xMw?oc=5" TargetMode="External" Id="rId132"/><Relationship Type="http://schemas.openxmlformats.org/officeDocument/2006/relationships/hyperlink" Target="https://news.google.com/rss/articles/CBMizgFBVV95cUxPVkhRY242c3ZKVGxfN3d0OUFLRjJ2bU9lWks0ZGVsYlhwQURUZjNqN2QzWmoxR1lYN3I4TV80dG1NZGpNMFYzR29WMVl4VDEzX1YtUWlwZ0pCcjFYbzRlWlpYSHJ6Wk5pLV9QTUgyRW84NUE1QkowdWZYRzlqRnBHTURlazRtT1pRZEhxaUxMQW1XVi1Vc09lbWhuSXpxRGtUZG85TENteDNBbFV0S0ZMSmk2akcwU0hSN0N3c1VPVjJnM1NTdWd0czVnMmF1UQ?oc=5" TargetMode="External" Id="rId133"/><Relationship Type="http://schemas.openxmlformats.org/officeDocument/2006/relationships/hyperlink" Target="https://news.google.com/rss/articles/CBMihAJBVV95cUxPZ29zV2t0QTZVWXJjQnl0QXVLZW5IczJOcmRuWmtRVGh0SkkzU2k1dzVwazJTOEVEZnM0NzFrVUFKNHlVUEZ1M1d5YkRRYi01bU1NdVZGT1M2T3EwOVd6V3FrOTBhR1VSRk1YWk5Gdnh3Vmw0UW1mWHhLY0Z0d09vbXdoZzhPNW1sQUV6NUwyOHpuOHdiaWFGUFVPSDg4MU9mVE95cGRwNUl2QUlvLVZFRWlicmQ1eXNobDdzaUZFTS1uU0JLcjBta3FKbGoyT3ZUbU56QlhydktfTUlNTnkyOUx1MDljeWtMblZsaGVwa3d4bjVRM1VJNEEzNlZ3RldsZW5MX9IBigJBVV95cUxOWWFob3JvbmdURmFpVkJJazVtMUkycDdaZHJKLVVUMW44bElPcUs3NzVaSW5jUWpCenJFTXdFdlJKQV9MX0Fzam5mU0JsYVVaMzBzb1BjNFV2YW5fRlBvRGZsRHB6RmJaQUNLZXJGWlZGUzhHMW5aZWM2TGZBaG9ZZ25aZ0FrRWF6WnhfWDFadlRTbXlWb2VWQ2pVVkYzSlZNU0ZmYThwem4wcHdSMkNBel9zbGJNSGM0LW9TeWNEVWZtVWk0RE5uTTJiNXZyN1pGZE9jSC11TXlLcFp5WlU3UDZKX2dFYnhuVGk2MUNkUEYxWWdHYVVzV0d0dl80WUZyQ3JwQWFZYVNyQQ?oc=5" TargetMode="External" Id="rId134"/><Relationship Type="http://schemas.openxmlformats.org/officeDocument/2006/relationships/hyperlink" Target="https://news.google.com/rss/articles/CBMiwwJBVV95cUxPU2JjRTFObGFQWXNFYnNzYy1TZExQVWtPUjYzVFBicE9RSG5pVUlnMW1IdnRXTThiMm43QXB2MjZ1eDktc1BOeTJ6bmlsZ19kdVQyR1RzZ3NUUGR4YkhlV2tTUTZZUGFlZ21XSlNiSTRoeVlaVU51R1FsMk14MHlKeUVkX3k0LXpnTUpfYVdHOWdmY2hGbEtjTTlDZkxSVk9GVklSdEg5U0pvd0h6WVdMWFN6T25PdWIwcW1pVlBYa19FRXRtTkI2dEVSVWZhMmVmMldGdjJTY1hEcklCcU0xXzBmQTVoTjF1ZWhFaG00ZDUxRW1DQS04alQycVFBSlhFSVJKeThYQzFoNlYtbkhlRGxQSFNGZmRpQlhVanpwdW8tcm9wbW5hY1dnT0dzb0J1Ql9vN2EyZm5ySzZydnU0MEJVOA?oc=5" TargetMode="External" Id="rId135"/><Relationship Type="http://schemas.openxmlformats.org/officeDocument/2006/relationships/hyperlink" Target="https://news.google.com/rss/articles/CBMikwFBVV95cUxPSXBiSjY3M2ZUUTQyN3RTcW9VUFBMYVhPZzRLUGl6dnVqb0ZkSDA3YmRaRzhyMTR2Q2t5bFVqSEdleV9OZFlncy1qdTQ0S3hRR05hdGJUX3RSZ3ZZU1ZjWi1DOG1yelk4OUxpRWRfQmpZM3cyZnpfLWpVNGc0aG42SW14UmF0TzV2cF9IWENqNnFTRXc?oc=5" TargetMode="External" Id="rId136"/><Relationship Type="http://schemas.openxmlformats.org/officeDocument/2006/relationships/hyperlink" Target="https://news.google.com/rss/articles/CBMi7gFBVV95cUxNallON0NSRDV5VWxYaFBGcldhRUZrT3NZVnRDcEEybmVOUWVJT0hkVk5ub0pocU43OFd0YUNfSU9NUG15TllvSmpEUm9jbGZXTE5MaEJUSGx4T0l0TE93cUFBWnltdm1hRjZybFJIRnZRdDNPN21KYUJ4Vy1rRjh3NTJ5YmRCVDZVZnU2dlA2SHNiMXd1aWdIS2tGQjlsaEZ6WGpFd2hUOG12OE92OElCNDJVeksxOXgyR0Z5WG9XVnRxd0MzNUJDMjJsTDhpQTM5d3FzWWtlQjd3V1RKWjRjVGhDOU90U2c0cmlnZ0NB?oc=5" TargetMode="External" Id="rId137"/><Relationship Type="http://schemas.openxmlformats.org/officeDocument/2006/relationships/hyperlink" Target="https://news.google.com/rss/articles/CBMiigFBVV95cUxQLTNCdkVaNXk2WEh5WThLNWhHVXhhaDdFV0JJVUJsUTFvaThQMmduOVRoOVktNWVXRjFfbFFTQmM0cDYtTk9tUHVGbE9IY1ZHaGhkNVZiNEZKOU5hcUpYVjFmNkNHRmJBQXRJVG9xbGJTS3R4Vk1pVjFUTGFCQWR6N0gtanJqbUkxd2c?oc=5" TargetMode="External" Id="rId138"/><Relationship Type="http://schemas.openxmlformats.org/officeDocument/2006/relationships/hyperlink" Target="https://news.google.com/rss/articles/CBMigwFBVV95cUxPM3BLaUl0blZVMzFfcFJxbnVFTy1WOUhlRDVXckZMVk1jUEkxdF91VmZBOFVySUtPczhRZVZwZEtPTU5BczU1aTVQVlc2MkphN0R6OUF4LUswaDBlRWVkR3ItQmZTcHZPNjlSZmtRUkRRQmk5MmhnT3NJSFJ6RkNtNUpLaw?oc=5" TargetMode="External" Id="rId139"/><Relationship Type="http://schemas.openxmlformats.org/officeDocument/2006/relationships/hyperlink" Target="https://news.google.com/rss/articles/CBMiigJBVV95cUxNcEF4NVZWcEFpTldnaHptSE4xTUgwSFBXbE5wd1ZxYWo4bVdMaHFNMW40WnV5dmxpQVFiR1BTbFpPRmpUN3FtbWNlbmVHczhfcFZmVFQ2b0VxRlVISkd0TnZ3VVhlU3BhdnZmV3VOYlBWaURwaVJLaDZPTFkwbXRmMWpVSEV4TE5VSlpTQWQ5cHpiR19pNnoxWGptSFN2YzF4UUgzX1UwVkdIVFYxVXNPOHdRbFd0Z1ZRMTN3ZldiLXBNZmVObVl3MnZXR0ZjRU1QVWRkVmZxSmZUVHE0bzVYODRoRlJISnpHXzI3ck44azRYLWloZlhSa0E4d1BvbnJCblQtQnZjb3djQdIBjwJBVV95cUxNVUZhelRUXzBISVQ2V3hoajlXcy05d3V0TEpwaGYyWDk5S3hVcExKSGQ4eER3dGRQRFZGWGdvQm14R1QzUXVvT1NzREw0QWJyVnIzdl9MUk5MajVDQjgzbmVwQTZTdVY5T0dZN0lKU0ZWem9BTlRvdGZxaXAtNlQ2dGxaZElFdFAxQzJnWkxENEJSZk9acm9oMFFyUHZDbk01SWx1dENjVDZKcVYyYTdSNFdqcHhhcC1OMHM3V3JUcDBtcWtWNk50N1MtbzhrRTRGdVhVVkNDRjJtdC1rY1pRS3dNRjFmaW1MU1hwVU1NR19IblBFdXJoQXZERGpRUjI2SkxlcXVHbnJpUWlXWGRZ?oc=5" TargetMode="External" Id="rId140"/><Relationship Type="http://schemas.openxmlformats.org/officeDocument/2006/relationships/hyperlink" Target="https://news.google.com/rss/articles/CBMihAJBVV95cUxPRkF5OVJkVnk0dGJCck1lTlloc1lRRUg2bXlQYlgzOUh2Z0RmeWpVQmJrV01BLTJlTTE1anRjd1NXdmlRR1ZPQVREMjRpR3F4elotUmJ6RnRxTW9faUNWOWxGY1Q2T2lGNUQ0dlN4VE5Yc1hXME5XbTU0cFMyRFFQQVVmeHYtYlk3Um9ELUJLQnBhc0Vkd2plOGFkR1ZsR0RDVFNSRmlpR2RzQTRVNXpGQmZ2Q0l6SDhfSlNXRWhHUVFOS213UHExTDZtU2NteUxZOG5TbTNKdFg3MlRaWXl1c0JONTc3b0x4alFfUmUwWFpINUN0TXE2b1QzM1drSVM5TWVGONIBigJBVV95cUxNdkVHVHdLcWFVSU50TlNPYkpIUVBpaUNSYzlxZUJxdEdGTmNCeDJJeUVwLThqSDVkQ3ZaWGlpS1dMMnRBOWllYnNCZGZkOEszV0RUYVBmNHNyQjhJd0VlbnJqU2kyLTVqLW9zb2Z3WUxTY1ZPc0hQcTUxYV9Xc19abU1TeXNzRDhqRXd3Wjl5SE1uMlEycjhwOHVVanlTZHRHeHVyU1F0YmxhVmR5ekMwcXNBNjc5NjJKMkRJOF9hMHZKdVdKNXB1TVRaX0hmUVAzVkIwbWtFR3dpaE9ld3R3M2JFWGVhblRzYUM3Q2ZZaTNxREJGUU5yX2ZnS241R2h2bkNTTURSUmVsZw?oc=5" TargetMode="External" Id="rId141"/><Relationship Type="http://schemas.openxmlformats.org/officeDocument/2006/relationships/hyperlink" Target="https://news.google.com/rss/articles/CBMi3AFBVV95cUxNdy1zZE1WQ2hwREJZbjFHbE9aUmpsVjN5LXV1YjVORERkc3hjYlZTbEJUdHJILWNYLW1VZS0tRTFTM0F2azlmaWtrMFB0TldoTXYwam5IbVNqTm5VU1diS2RJaDF0eGZDbUNpcnh0NUl4alVsODJUYmUyaUlLV1ByWHY2dmlRZTJTTUdRbDFZenpCZ19zQkxGalhQbkMxZnliak95ZkJ1WGEwZTZGV0pGLURYM3d5c0dJUWpIYWtDYkRMUWcwMFBvSVFQYUZGU0Uwb0ZtR2U4c21DTTJp0gHkAUFVX3lxTE9lbjI4bGVOVDJ0dkpVNlpLNXI1ckozTmNGQUlXd213QWFLckdpNzNmd2RDNzQ0M0NRVGdCMGxLLVhQVmkxb3FEM0F5UFdJN0FnY1BOazhKcVBJTjZPSV9QbWdZb0d2LWNQZmlLblh5OUpDR01nSHN2TFJmOTMySHFBYjVxY3ZkWWxxaTdBLWs5M20tYTA2T3FOMFUxOUtfMHBqY2VjUHZtSjJMeFI1WmEwY1Y2Ujg5VXBYU2oxYVhqVTZFRWZxaDMwbUo2blNHSEh4bER1ZmtjaXJUZ3JHQjJYZm1qbw?oc=5" TargetMode="External" Id="rId142"/><Relationship Type="http://schemas.openxmlformats.org/officeDocument/2006/relationships/hyperlink" Target="https://news.google.com/rss/articles/CBMiiwFBVV95cUxPMUk2aDJkZ0Z2ZHJvRFdwTGdya28xQTYwVmI5ZlhzbTZTd2xKcFVjazl5N3NWbzlMMU5ZeERrWm1KaXNIRkkwUlNpVFp3N3QtUmt3N3BzcFhEN1JkNW9rVklZelluMld5SjhmYTFFM2VuckFkdzJPd1Nua0J2QTlicHBSWmRWTm04UU5r?oc=5" TargetMode="External" Id="rId143"/><Relationship Type="http://schemas.openxmlformats.org/officeDocument/2006/relationships/hyperlink" Target="https://news.google.com/rss/articles/CBMizgFBVV95cUxQR19VNjc0M0JfTVl4SDZHUDVBSkxVUVFyYVhWSEU2RHJEZnhha0gyVzl3RWRRWGlZTkJpSVIxMldJU01Wb18tYVlNWGJ1MDhjYVJYdTZuU2ZGUjdxSVRONVphQklrVUtmVVBwQXN5elZUaUY3V1kxZkhFcndFWVllN2draW05NGUta0ZsNDBEQVJjNUIya3o5NmxrcmwwOE5EeWlHdkhRMjlsYURKcjdRRk5fVUJZRkZWRjJTQ1YyOXFWUGN5SlhickVHNTVQUdIB0wFBVV95cUxQMkw2N0FNRHVlZFhrbzNIeDJ3NVhNOHIwSFJJR1J3TGY4a0NOdnE1UTQ0QWVrdjhhdU4wRVhOODNSeUc0UmRUV3ZDYlNyNDVXMHNnWTc5V01XNTJHd3RlTlhUNFlremxEb1pFY3hSaUlWNTMxQVN6b0hZbWFrN0pzM0RjNlJ0d0NWbTBHUVp5WlRsblhlMjN3amVPbU03ZmRVbGRrZ0prMGxCbUdfY0tMdUp5aDA0VDJjWnJWRXBEQ0lNeDVwN1Z1NWxIQ3c4UzE4VUtj?oc=5" TargetMode="External" Id="rId144"/><Relationship Type="http://schemas.openxmlformats.org/officeDocument/2006/relationships/hyperlink" Target="https://news.google.com/rss/articles/CBMiiAFBVV95cUxQNGxTOExuMUFDS0lWOXFkeEJtX1FrY24wT0hJQVFNbjlvT2hiRTltb2Fad1VCWV8wZTBvNE56VDdqOEpRbzcwejNkQVYwTHFfMm1HY1FXN0NsNUJCczVqVEd6b3lhMzBpLThjZG1GV3dnc2MyVUFSY0JXeVdrV1QxZlp2OExZX2pB?oc=5" TargetMode="External" Id="rId145"/><Relationship Type="http://schemas.openxmlformats.org/officeDocument/2006/relationships/hyperlink" Target="https://news.google.com/rss/articles/CBMivgFBVV95cUxOUUlKSHVLZzlObEZ2M3ZzLV9sQTh0T04xZXBJREVoMENFNkN5SUlQUHdDU2QzYVB6WFlQX1dFMW9IbUlEdjJtb2Izblc0N003Z2gzRDdPQ0lZZlJCalpPbVN2TjFESHcxYVE5ZENVNzhhV0xSMEZXbTZvdkJtRHhoRUVya3VKZk9NYjFGcW5KTWMyc2wyM29ILUJWOHZkN21fSGlLbHh4empqODlydC03NjczZUI1Y0JXZHpybWdn?oc=5" TargetMode="External" Id="rId146"/><Relationship Type="http://schemas.openxmlformats.org/officeDocument/2006/relationships/hyperlink" Target="https://news.google.com/rss/articles/CBMiywFBVV95cUxNdlJYRlY5Mmx5NmdKblRKUEVqZE5OYzEtX2RvQlJLUTNUX3pfbm9HajRuNmZMc18zVXo5SHVvNHJfaWdXVV9kM0VCRm96ME5WX3JSVllDZWFhQTB3Nk16ZFM3QzJOQ2s2Sk9XLU5lcmpqSXR1d2RFamlfOFJ4XzJ1b2ZRMERHenJaY25tc1JvVHJRWmhKbHVCVUpISUFqNzNsMlQtOGU2cDRGTnY0M2xpM1FvMUctTlVOWDFfYTgtRkpmUGI5QUlUeWlaVdIB0AFBVV95cUxNSHV6MU9OMEJNSzlRSWNJTm1XUFYzaFRjancxN2pJbnM4SkNQNGtwLVhvTDk4cFBpbzNRcFFnSDJ4Q1ljOFJnUGtDS1MzN3d3T2Jld0hpZUk5aWw0X2o3aWNjZU5nU1YtSmMtLXBxa3FINFJtdGFOQ09tWXR0cFNIcUc3c0REaFNhbjZid1BleGhHZHU1MWpWYXdUb0tNQkZCUDBMUGlDbm95Q1J5U2o3WkdUdXpFYkYtel8yUW95dEJZR253eXpHcXFxaE1OMVdC?oc=5" TargetMode="External" Id="rId147"/><Relationship Type="http://schemas.openxmlformats.org/officeDocument/2006/relationships/hyperlink" Target="https://news.google.com/rss/articles/CBMilAJBVV95cUxNQnpXVTdHZUdZaUpLZWlyX1d1TTFRcGRITFRrYVJFY1NqS29PaUhtNmpxcVVuMmhobC1UOFpQd2R0OF9Kdm5jX1ozdnFPcFZiUFVJVEt4OWlMeEZkZm9IdmRQcndqNkJfc3RoYVB1Zm5iQzRRcEp6U2ViSWlwNXJ3SjdWaUNSSU56UzRXbTFGclB5cnR0a0tGNVN0SXZwYTEyV2c3VWp2WnFrcHRCbmptVlhUVExFdmFaT3VfaVBnMmJzSVMtaEZZbm9XNnE3cnR1OWp0RUMwM1ZwdTRLaU9ydnhQdGxrQmFFZlZJdXpOWjJyMlZGNnd0WTQwOUdOUjFlaW53ejY0OG5LMllCdk9ZY3NJczjSAZoCQVVfeXFMT0lDem83emZzSDZxdURPVzRtaUkxb1ROZWtRR0NCNTgxamp2Z3czUHRaZzBzV0Zkc0g0WlVPVURISjNqLS0tX1VaeHBSUW1XSHJLdzFyRG9NZEpMRnhBRTZxOWRDSU5TODYyMC1RTUx2MFlDeDlNY0RpQkZFZlRXelMxZ0Z6b3B2R1FDNTRPeFZGM25lYS1tRXZvdDRuVktKZFVKcjVCU0JMQWJ6QTAyVDFfeGZja2dlX19MSGcwR3FQbDZ2UTA1X0FQTTNkVmN4MHVURVVhZ1JpdzhHY09VWlZ2Ulk4MGpyRXBVSktmR21pV1d3MDR0QkRUTExpZDB6T3BRRS02Y2ZEanlERmtIRW16UV93cmdDRVhB?oc=5" TargetMode="External" Id="rId148"/><Relationship Type="http://schemas.openxmlformats.org/officeDocument/2006/relationships/hyperlink" Target="https://news.google.com/rss/articles/CBMiiwFBVV95cUxNVEI4bC0tOFgzY1NVeHl5WE9VRTVTU0p2TXBTdXYySF92cWdTNTlXQTVFRkZWa1BPT1pqSUctOGRWM3JhbmF5R2d4MEc3TTVRdEZuU0ZyZWZIOFhZbDBweld2QjBWZ1BkTk9XVHBNUVRGeWVjVnRnMF9aT2ZZMXBXQXB0akdqOXBqUjNJ?oc=5" TargetMode="External" Id="rId149"/><Relationship Type="http://schemas.openxmlformats.org/officeDocument/2006/relationships/hyperlink" Target="https://news.google.com/rss/articles/CBMigAJBVV95cUxOeGRTUFIzY01HVndmNThNSjZMRjJoUXl1blJEN1ZZOEUxMy1NMHRfc0J0NklLQmVscEw5eU05T2wtM2tfdDhYR25MSnBTejRoWTMwS3VDc0hpc2wtVTRiUlAxZUdCdzhJb3UwUjFOenJUSEZubW5ldFJPNzlrcGZmNWl6ejdCRmRuSldNazFqUUpEek54ZVF3dU9hZk5VRzNwNFFTZGpyeWl2MjJmZ0VXTUFqSERURDA5bzZLV3ZkZ2FQNVJMV3I5YXlDTDZhVTFsa2hBSk5ydHRlbjV0Z0N2Q3M3c3ZpejhLU3lPMjdoYmZjRzdBaDN5UnczYk1qeWFW0gGIAkFVX3lxTE5GY0VuT1dZM3I0bGhCOFhtdlBPSmdXRlhqSk43V0p2YjNHS19MX0NLZEF2UVZDc1VSMm5WNTloVmRWaGpENVhOS3ltVkc1ZGdralJDTlNtYU9aRml3ZFFrX2xPcmVBZkpNeG9DTzhXdkwxU3MwMVllcjF6aURqMnZTZDExX1YtZldLNnBWVFBrMkJSS2cwOFYwd2FhNEVyTTVWbi1ldmtaWkxlVEVKTFo3dW5sS3NuRllrS1VWaFhWS0Zia2M1WjJiakZSZUc5c1doU1lLcV9Jb1liU0hyYmloSzltalNpOFo0ZHBiaW1rbW9sU19yWkloSUl3Sy01ZWZTeUdQeGxQWQ?oc=5" TargetMode="External" Id="rId150"/><Relationship Type="http://schemas.openxmlformats.org/officeDocument/2006/relationships/hyperlink" Target="https://news.google.com/rss/articles/CBMiggJBVV95cUxQdElobnFRdkhBaW55dkdTbjNrNGlBZjhGcjE0em00Y1JNVmRhY1dhNjBCa05QbnpMVG5iV0hfcUxDV0ZwTFVYT1lJUF93ZjlhUGNJS2JKNTlPYndRSGdFcU43eDFERnVsYWZoRjJVNjlSa1ZHRURsUm9oaXpmeGM3bjZseDJRR0hERnd0aVFPSm0xLWNHU1VkSnRpZ3daVVlVZlE1RmZ0TXVpbFJicWhWUDB4ZUNrU1lzNThzY3duMThqZUhHd0lPU0tYZ21TaVFaV0J6U1JFSnVxcEs5NG0yTTRuZnZkNGZLZWQycElBeHBETmY0UkJ0VXBhTDROYU83X0HSAYcCQVVfeXFMTV93NTFOWk1nTnVTOGk3M0llNGhjZkdrckNJNHV3bWxGWG5OaVd0VkR5NjBwZkNZV2ZvajZSTE52TDViYjJxYTEwOXVRaUhOaUtDeGNneTQ2dEpxNHQteHdmaXQ4Zy1CYm51R19idlNmUUtBaHRrSGo3QVh0d01ESTFOYjFRX1IxelEzWHFwNUNVbDBWcFRROFhGTS1iOVN5OWY1QUU5RDRUVWJNWHZQajlPVXFnSmVXczlmQlJ4R0IzLThYVktGNDRIRTRZUVVscU5iNmptb2YyS0lacE9JRURrM3JLaUJCTWhLV0tBbG92V3pFYVpWRlNDZHBqMnRCbTdTZWlHVUU?oc=5" TargetMode="External" Id="rId151"/><Relationship Type="http://schemas.openxmlformats.org/officeDocument/2006/relationships/hyperlink" Target="https://news.google.com/rss/articles/CBMigwJBVV95cUxORXk1QktCY3doRkRqSHNCQmR2bl9jTjBaRV9FRWl5SHNpb0F1WUI3eGlycF8xN2daV2pSamRLSlBmblhDSkZSa0FzY0lVZDVCUndrRGdxaVR3WEFiVmZqV0wxRHRJS2hsXzNIa3A4SWdqMWhqc0ljYTRhYUp0VXozb2tGS3RiLU9lNS1Ga01kaVlHQ0NQc054MzlXdkNPWlhnS3BDWi1xNVgyaFNrZURkdU1kOUJMVTgySEQ2OWF6VTFWRVZRbEN5Yzh2WFRLTHg4NVROdlBMcXFpQzRxZXlQbWNGQ0tTYmVVNnN3bWFZamcxVm5zc1o4QVNZcVI3dkJSNTVF0gGIAkFVX3lxTE9Dc1BaS19FZlQtNFBKMExpNTgtVGRUbTBtNW1kbzZsME41NjlDR19JUlZGLWIzS3VEbXBhWURvV1M5ODk2aUxqWWg3MERYbG43YnBOVkx4eHVGSWd0aE5UWXJoMnVjVkd5aF9Ed0tkZ0hLRmNTNDZBUjBmSzRWeEt5M0FuLVJvUzBDMWF5V1hLMzNBQWJYVGIxajhHbDZrYmdiV3JoNTNwS0hJMTVFZFRFWTc4UmtrNE5NTW1XdFl5Ujl5V3I1cm9oQ1R5VEZtODhxNWp5WEtYSHJJeEVBaDhHcUk4STVUSHJoZ1VzZ3ViZi1wV0kzS0NSdVhCeVdFaFRtU3JWV3dfcQ?oc=5" TargetMode="External" Id="rId152"/><Relationship Type="http://schemas.openxmlformats.org/officeDocument/2006/relationships/hyperlink" Target="https://news.google.com/rss/articles/CBMihAFBVV95cUxQZTBxc1hRam1DYmh1NTNkUGZybDVTVXBOSFhVTzh0TFlvRjBFZGx2cVZyaTZOdWxXekdEVks3VjBKLThFNElScUhjZFMxTDBYNkRyUnY4eUpOei13Ykh4LTRXa2N2MEtQamFIOVVyQW50LVRha2x4OHUxN0hhWnZ4WXNkOXY?oc=5" TargetMode="External" Id="rId153"/><Relationship Type="http://schemas.openxmlformats.org/officeDocument/2006/relationships/hyperlink" Target="https://news.google.com/rss/articles/CBMiiAJBVV95cUxPQV92OFpzWnl6bUdqMnQ4czBvWFhWTVlEamdQUjREcVJFMFFNM2cyc1NUV0ZDTnhFT2g3dzNUT2VVRWY3ZWttZWNNMHN6blQwUGQ3WDd0dEtjY2FYdV92TFpveVRPRm11WFZwc2lXMzVHcVp3UnhIVXBHaWNmQ2U3a2MwRS1CVy1OM2hUcWlZY1lfNnZUTFJ2SzRXNTVqRWFIR2tBNDREWDdwUnExZ3U5MWlmSlZoOFJSWjItbk1VVFIyMnNjdlgwNnhvN09UN0VhdDgwc1hQQ2ZRbUNiRWJlVDRRZGIyZXBLRHJNcWZab2dLN29oN1loZVpNYTZ0UEJMeHNxWDZOSHDSAY4CQVVfeXFMTVRMQmpfREZMblBMMnI0VEVTREJZNndJaE16blBaaFk0RDNNTExmbjV2c0FxMGJDVUFJMnhGS0NfdHZNcENPSm5PTlVRUnJOd25CY3p2bXNmSmZ0RmgxMGNDQ1dMVU5jSzlTNmVwbHRFWmM0ak9oM3FYaGt6dlBpV1F0d2Z6b1M3S1FnUElBV3pFX3UybDdrcUpEZHV1bUwzZnlWOFh0aFN4em5hNExjZllJbEoySmNpU1BCcjE5QXpra3RvMUM5cFgxYUhBQzRwX0UyanFBaldQdjNSZjlWRlo2NXBxei1CRWFqMk9TMWlWVjlNZXpodDV0aXc0THU1YU84MkgyNXVET3ExcUV3?oc=5" TargetMode="External" Id="rId154"/><Relationship Type="http://schemas.openxmlformats.org/officeDocument/2006/relationships/hyperlink" Target="https://news.google.com/rss/articles/CBMi3gFBVV95cUxNYjEtY2xaeTlLaGlUN05rQm5WbDhTQ1BaQXZTbVE1ci1FZ3FObGhCVFcxY0dCX3hjcW9ZaUltTU1uRjNSZHBRWU1vMHN2Wk9jMjBPRXl5bEZscTlGMDBmdlUzNUMzeUVDSkwzaVZUSEw5WVZMOEJ0NnBXZnRTRkRPNzZCMFRSS3dwbEQ1U2g2Zy01ME5ZSFhwZU90Z3hpV0xTclp2LVpDcWU0UTBqWFZ6aVBWYWQxeTZCbk85dTNtckc4V0VNaDRSTGVjM2ZVZTNqOHN1RHRuVXpWcWs2R1E?oc=5" TargetMode="External" Id="rId155"/><Relationship Type="http://schemas.openxmlformats.org/officeDocument/2006/relationships/hyperlink" Target="https://news.google.com/rss/articles/CBMimgFBVV95cUxPVU94dFhyMVNPZFBOeklEbER6NHMwNzZpZDdzamhwdXpTYWZjWkh1cVN6WFhGV2UxZWlyVEZrOUlRak5NSFQ5UWstcjFjMHNzWFNuTzZaRUFVWXVhM0YzU0F6clJYMWp1VlBSOTV2SEdTYlVFbTZkYTJQMzYyNzRZWllNaWhDWFduSmhKcmxicm51d1JuMGVjR3R3?oc=5" TargetMode="External" Id="rId156"/><Relationship Type="http://schemas.openxmlformats.org/officeDocument/2006/relationships/hyperlink" Target="https://news.google.com/rss/articles/CBMitAFBVV95cUxQSUlMb1g5cjVaX2pyT0FWTUJ1N2xGTXV0OVN2WkFRQ2R2RS1Fdkc4cmloUC1yNzRlR2pYcW1KOVNjTW1kbmVZbWRhal9WS0dwcU9IeUVvcmRXcTlNZ3V2d0pFYUZndExqNXpNdWltSEhSUjBYRGdmcFpjWVpHT0VUQ3FIV0Q0SUxVdG9mT2lMZzY5bWVhcE92TkR2aEVmajNPVWN1SjZidFlsX1hjM0xVQzJTdHQ?oc=5" TargetMode="External" Id="rId157"/></Relationships>
</file>

<file path=xl/worksheets/sheet1.xml><?xml version="1.0" encoding="utf-8"?>
<worksheet xmlns="http://schemas.openxmlformats.org/spreadsheetml/2006/main">
  <sheetPr>
    <tabColor rgb="002F4BD8"/>
    <outlinePr summaryBelow="1" summaryRight="1"/>
    <pageSetUpPr fitToPage="1"/>
  </sheetPr>
  <dimension ref="A1:L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SwingScope Momentum Batch 2026-09-28 — 21-Day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Signal 2026-09-28  •  Day 14 of 21  •  Holding  •  Exit ~2026-10-29  •  Updated 16-Oct-2026 16:52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B4" s="4" t="inlineStr">
        <is>
          <t>PROGRESS  Day 14/21</t>
        </is>
      </c>
    </row>
    <row r="5" ht="10" customHeight="1">
      <c r="B5" s="5" t="n"/>
      <c r="C5" s="5" t="n"/>
      <c r="D5" s="5" t="n"/>
      <c r="E5" s="5" t="n"/>
      <c r="F5" s="5" t="n"/>
      <c r="G5" s="5" t="n"/>
      <c r="H5" s="5" t="n"/>
      <c r="I5" s="6" t="n"/>
      <c r="J5" s="6" t="n"/>
      <c r="K5" s="6" t="n"/>
      <c r="L5" s="4" t="inlineStr">
        <is>
          <t>67%</t>
        </is>
      </c>
    </row>
    <row r="7">
      <c r="B7" s="7" t="inlineStr">
        <is>
          <t>CURRENT DAY</t>
        </is>
      </c>
      <c r="C7" s="8" t="n"/>
      <c r="E7" s="7" t="inlineStr">
        <is>
          <t>LAST SESSION</t>
        </is>
      </c>
      <c r="F7" s="8" t="n"/>
      <c r="H7" s="7" t="inlineStr">
        <is>
          <t>INVESTED</t>
        </is>
      </c>
      <c r="I7" s="8" t="n"/>
      <c r="K7" s="7" t="inlineStr">
        <is>
          <t>MARKET VALUE</t>
        </is>
      </c>
      <c r="L7" s="8" t="n"/>
    </row>
    <row r="8" ht="26" customHeight="1">
      <c r="B8" s="9" t="inlineStr">
        <is>
          <t>Day 14 / 21</t>
        </is>
      </c>
      <c r="C8" s="10" t="n"/>
      <c r="E8" s="9" t="inlineStr">
        <is>
          <t>2026-10-16</t>
        </is>
      </c>
      <c r="F8" s="10" t="n"/>
      <c r="H8" s="11">
        <f>'Daily Closes'!E16</f>
        <v/>
      </c>
      <c r="I8" s="10" t="n"/>
      <c r="K8" s="11">
        <f>'Daily Closes'!AB16</f>
        <v/>
      </c>
      <c r="L8" s="10" t="n"/>
    </row>
    <row r="9">
      <c r="B9" s="12" t="inlineStr">
        <is>
          <t>Holding</t>
        </is>
      </c>
      <c r="C9" s="10" t="n"/>
      <c r="E9" s="12" t="inlineStr">
        <is>
          <t>Exit ~2026-10-29</t>
        </is>
      </c>
      <c r="F9" s="10" t="n"/>
      <c r="H9" s="12" t="inlineStr">
        <is>
          <t>Qty × entry price</t>
        </is>
      </c>
      <c r="I9" s="10" t="n"/>
      <c r="K9" s="12" t="inlineStr">
        <is>
          <t>At latest close</t>
        </is>
      </c>
      <c r="L9" s="10" t="n"/>
    </row>
    <row r="11">
      <c r="B11" s="7" t="inlineStr">
        <is>
          <t>GROSS P&amp;L</t>
        </is>
      </c>
      <c r="C11" s="8" t="n"/>
      <c r="E11" s="7" t="inlineStr">
        <is>
          <t>GROSS RETURN</t>
        </is>
      </c>
      <c r="F11" s="8" t="n"/>
      <c r="H11" s="7" t="inlineStr">
        <is>
          <t>EST. COSTS</t>
        </is>
      </c>
      <c r="I11" s="8" t="n"/>
      <c r="K11" s="7" t="inlineStr">
        <is>
          <t>NET P&amp;L</t>
        </is>
      </c>
      <c r="L11" s="8" t="n"/>
    </row>
    <row r="12" ht="26" customHeight="1">
      <c r="B12" s="11">
        <f>'Daily Closes'!AD16</f>
        <v/>
      </c>
      <c r="C12" s="10" t="n"/>
      <c r="E12" s="13">
        <f>'Daily Closes'!AC16</f>
        <v/>
      </c>
      <c r="F12" s="10" t="n"/>
      <c r="H12" s="11">
        <f>'Daily Closes'!E16*0.006</f>
        <v/>
      </c>
      <c r="I12" s="10" t="n"/>
      <c r="K12" s="11">
        <f>B12-H12</f>
        <v/>
      </c>
      <c r="L12" s="10" t="n"/>
    </row>
    <row r="13">
      <c r="B13" s="12" t="inlineStr">
        <is>
          <t>Before costs</t>
        </is>
      </c>
      <c r="C13" s="10" t="n"/>
      <c r="E13" s="12" t="inlineStr">
        <is>
          <t>vs entry</t>
        </is>
      </c>
      <c r="F13" s="10" t="n"/>
      <c r="H13" s="12" t="inlineStr">
        <is>
          <t>0.6% round trip</t>
        </is>
      </c>
      <c r="I13" s="10" t="n"/>
      <c r="K13" s="12" t="inlineStr">
        <is>
          <t>After est. costs</t>
        </is>
      </c>
      <c r="L13" s="10" t="n"/>
    </row>
    <row r="15">
      <c r="B15" s="7" t="inlineStr">
        <is>
          <t>NIFTY 50</t>
        </is>
      </c>
      <c r="C15" s="8" t="n"/>
      <c r="E15" s="7" t="inlineStr">
        <is>
          <t>ALPHA vs NIFTY</t>
        </is>
      </c>
      <c r="F15" s="8" t="n"/>
      <c r="H15" s="7" t="inlineStr">
        <is>
          <t>WINNERS / LOSERS</t>
        </is>
      </c>
      <c r="I15" s="8" t="n"/>
      <c r="K15" s="7" t="inlineStr">
        <is>
          <t>MAX DRAWDOWN</t>
        </is>
      </c>
      <c r="L15" s="8" t="n"/>
    </row>
    <row r="16" ht="26" customHeight="1">
      <c r="B16" s="13" t="n">
        <v>0.01606215910712128</v>
      </c>
      <c r="C16" s="10" t="n"/>
      <c r="E16" s="13" t="n">
        <v>0.002309453778587372</v>
      </c>
      <c r="F16" s="10" t="n"/>
      <c r="H16" s="9" t="inlineStr">
        <is>
          <t>7 / 3</t>
        </is>
      </c>
      <c r="I16" s="10" t="n"/>
      <c r="K16" s="13" t="n">
        <v>-0.05133243276433729</v>
      </c>
      <c r="L16" s="10" t="n"/>
    </row>
    <row r="17">
      <c r="B17" s="12" t="inlineStr">
        <is>
          <t>Same window</t>
        </is>
      </c>
      <c r="C17" s="10" t="n"/>
      <c r="E17" s="12" t="inlineStr">
        <is>
          <t>Gross return − Nifty</t>
        </is>
      </c>
      <c r="F17" s="10" t="n"/>
      <c r="H17" s="12" t="inlineStr">
        <is>
          <t>of 10 stocks</t>
        </is>
      </c>
      <c r="I17" s="10" t="n"/>
      <c r="K17" s="12" t="inlineStr">
        <is>
          <t>Peak-to-trough, portfolio</t>
        </is>
      </c>
      <c r="L17" s="10" t="n"/>
    </row>
    <row r="19">
      <c r="B19" s="14" t="inlineStr">
        <is>
          <t>STOCK LEAGUE TABLE (sorted by return)</t>
        </is>
      </c>
    </row>
    <row r="20">
      <c r="B20" s="15" t="inlineStr">
        <is>
          <t>Symbol</t>
        </is>
      </c>
      <c r="C20" s="15" t="inlineStr">
        <is>
          <t>Qty</t>
        </is>
      </c>
      <c r="D20" s="15" t="inlineStr">
        <is>
          <t>Entry ₹</t>
        </is>
      </c>
      <c r="E20" s="15" t="inlineStr">
        <is>
          <t>Last ₹</t>
        </is>
      </c>
      <c r="F20" s="15" t="inlineStr">
        <is>
          <t>Return %</t>
        </is>
      </c>
      <c r="G20" s="15" t="inlineStr">
        <is>
          <t>P&amp;L ₹</t>
        </is>
      </c>
      <c r="H20" s="15" t="inlineStr">
        <is>
          <t>Max gain %</t>
        </is>
      </c>
      <c r="I20" s="15" t="inlineStr">
        <is>
          <t>Max loss %</t>
        </is>
      </c>
      <c r="J20" s="15" t="inlineStr">
        <is>
          <t>Weight %</t>
        </is>
      </c>
      <c r="K20" s="15" t="inlineStr">
        <is>
          <t>Contrib %</t>
        </is>
      </c>
    </row>
    <row r="21">
      <c r="B21" s="16" t="inlineStr">
        <is>
          <t>E2E</t>
        </is>
      </c>
      <c r="C21" s="17" t="n">
        <v>23</v>
      </c>
      <c r="D21" s="18" t="n">
        <v>619.55</v>
      </c>
      <c r="E21" s="18" t="n">
        <v>694.85</v>
      </c>
      <c r="F21" s="19" t="n">
        <v>0.12154</v>
      </c>
      <c r="G21" s="20" t="n">
        <v>1731.9</v>
      </c>
      <c r="H21" s="19" t="n">
        <v>0.207812</v>
      </c>
      <c r="I21" s="19" t="n">
        <v>0.04592</v>
      </c>
      <c r="J21" s="21" t="n">
        <v>0.101816</v>
      </c>
      <c r="K21" s="19" t="n">
        <v>0.012375</v>
      </c>
    </row>
    <row r="22">
      <c r="B22" s="22" t="inlineStr">
        <is>
          <t>DIACABS</t>
        </is>
      </c>
      <c r="C22" s="23" t="n">
        <v>44</v>
      </c>
      <c r="D22" s="24" t="n">
        <v>336.9</v>
      </c>
      <c r="E22" s="24" t="n">
        <v>362.4</v>
      </c>
      <c r="F22" s="25" t="n">
        <v>0.07568999999999999</v>
      </c>
      <c r="G22" s="26" t="n">
        <v>1122</v>
      </c>
      <c r="H22" s="25" t="n">
        <v>0.130751</v>
      </c>
      <c r="I22" s="25" t="n">
        <v>0.024043</v>
      </c>
      <c r="J22" s="27" t="n">
        <v>0.105917</v>
      </c>
      <c r="K22" s="25" t="n">
        <v>0.008017</v>
      </c>
    </row>
    <row r="23">
      <c r="B23" s="16" t="inlineStr">
        <is>
          <t>AEROFLEX</t>
        </is>
      </c>
      <c r="C23" s="17" t="n">
        <v>29</v>
      </c>
      <c r="D23" s="18" t="n">
        <v>511.3</v>
      </c>
      <c r="E23" s="18" t="n">
        <v>525.8</v>
      </c>
      <c r="F23" s="19" t="n">
        <v>0.028359</v>
      </c>
      <c r="G23" s="20" t="n">
        <v>420.5</v>
      </c>
      <c r="H23" s="19" t="n">
        <v>0.112263</v>
      </c>
      <c r="I23" s="19" t="n">
        <v>-0.000685</v>
      </c>
      <c r="J23" s="21" t="n">
        <v>0.105946</v>
      </c>
      <c r="K23" s="19" t="n">
        <v>0.003005</v>
      </c>
    </row>
    <row r="24">
      <c r="B24" s="22" t="inlineStr">
        <is>
          <t>TDPOWERSYS</t>
        </is>
      </c>
      <c r="C24" s="23" t="n">
        <v>20</v>
      </c>
      <c r="D24" s="24" t="n">
        <v>719</v>
      </c>
      <c r="E24" s="24" t="n">
        <v>735.15</v>
      </c>
      <c r="F24" s="25" t="n">
        <v>0.022462</v>
      </c>
      <c r="G24" s="26" t="n">
        <v>323</v>
      </c>
      <c r="H24" s="25" t="n">
        <v>0.148331</v>
      </c>
      <c r="I24" s="25" t="n">
        <v>0.021905</v>
      </c>
      <c r="J24" s="27" t="n">
        <v>0.102747</v>
      </c>
      <c r="K24" s="25" t="n">
        <v>0.002308</v>
      </c>
    </row>
    <row r="25">
      <c r="B25" s="16" t="inlineStr">
        <is>
          <t>LAURUSLABS</t>
        </is>
      </c>
      <c r="C25" s="17" t="n">
        <v>7</v>
      </c>
      <c r="D25" s="18" t="n">
        <v>2020.7</v>
      </c>
      <c r="E25" s="18" t="n">
        <v>2060.1</v>
      </c>
      <c r="F25" s="19" t="n">
        <v>0.019498</v>
      </c>
      <c r="G25" s="20" t="n">
        <v>275.8</v>
      </c>
      <c r="H25" s="19" t="n">
        <v>0.024002</v>
      </c>
      <c r="I25" s="19" t="n">
        <v>-0.024397</v>
      </c>
      <c r="J25" s="21" t="n">
        <v>0.101067</v>
      </c>
      <c r="K25" s="19" t="n">
        <v>0.001971</v>
      </c>
    </row>
    <row r="26">
      <c r="B26" s="22" t="inlineStr">
        <is>
          <t>THANGAMAYL</t>
        </is>
      </c>
      <c r="C26" s="23" t="n">
        <v>2</v>
      </c>
      <c r="D26" s="24" t="n">
        <v>5010</v>
      </c>
      <c r="E26" s="24" t="n">
        <v>5098</v>
      </c>
      <c r="F26" s="25" t="n">
        <v>0.017565</v>
      </c>
      <c r="G26" s="26" t="n">
        <v>176</v>
      </c>
      <c r="H26" s="25" t="n">
        <v>0.038822</v>
      </c>
      <c r="I26" s="25" t="n">
        <v>-0.052495</v>
      </c>
      <c r="J26" s="27" t="n">
        <v>0.071594</v>
      </c>
      <c r="K26" s="25" t="n">
        <v>0.001258</v>
      </c>
    </row>
    <row r="27">
      <c r="B27" s="16" t="inlineStr">
        <is>
          <t>ATHERENERG</t>
        </is>
      </c>
      <c r="C27" s="17" t="n">
        <v>10</v>
      </c>
      <c r="D27" s="18" t="n">
        <v>1460.2</v>
      </c>
      <c r="E27" s="18" t="n">
        <v>1470</v>
      </c>
      <c r="F27" s="19" t="n">
        <v>0.006711</v>
      </c>
      <c r="G27" s="20" t="n">
        <v>98</v>
      </c>
      <c r="H27" s="19" t="n">
        <v>0.03479</v>
      </c>
      <c r="I27" s="19" t="n">
        <v>-0.037118</v>
      </c>
      <c r="J27" s="21" t="n">
        <v>0.104333</v>
      </c>
      <c r="K27" s="19" t="n">
        <v>0.0007</v>
      </c>
    </row>
    <row r="28">
      <c r="B28" s="22" t="inlineStr">
        <is>
          <t>ACUTAAS</t>
        </is>
      </c>
      <c r="C28" s="23" t="n">
        <v>4</v>
      </c>
      <c r="D28" s="24" t="n">
        <v>3290</v>
      </c>
      <c r="E28" s="24" t="n">
        <v>3206</v>
      </c>
      <c r="F28" s="25" t="n">
        <v>-0.025532</v>
      </c>
      <c r="G28" s="26" t="n">
        <v>-336</v>
      </c>
      <c r="H28" s="25" t="n">
        <v>0.004286</v>
      </c>
      <c r="I28" s="25" t="n">
        <v>-0.070912</v>
      </c>
      <c r="J28" s="27" t="n">
        <v>0.09403</v>
      </c>
      <c r="K28" s="25" t="n">
        <v>-0.002401</v>
      </c>
    </row>
    <row r="29">
      <c r="B29" s="16" t="inlineStr">
        <is>
          <t>RRKABEL</t>
        </is>
      </c>
      <c r="C29" s="17" t="n">
        <v>6</v>
      </c>
      <c r="D29" s="18" t="n">
        <v>2459.8</v>
      </c>
      <c r="E29" s="18" t="n">
        <v>2388</v>
      </c>
      <c r="F29" s="19" t="n">
        <v>-0.029189</v>
      </c>
      <c r="G29" s="20" t="n">
        <v>-430.8</v>
      </c>
      <c r="H29" s="19" t="n">
        <v>0.134117</v>
      </c>
      <c r="I29" s="19" t="n">
        <v>-0.029189</v>
      </c>
      <c r="J29" s="21" t="n">
        <v>0.105454</v>
      </c>
      <c r="K29" s="19" t="n">
        <v>-0.003078</v>
      </c>
    </row>
    <row r="30">
      <c r="B30" s="22" t="inlineStr">
        <is>
          <t>KIRLOSENG</t>
        </is>
      </c>
      <c r="C30" s="23" t="n">
        <v>7</v>
      </c>
      <c r="D30" s="24" t="n">
        <v>2141.2</v>
      </c>
      <c r="E30" s="24" t="n">
        <v>2025.6</v>
      </c>
      <c r="F30" s="25" t="n">
        <v>-0.053988</v>
      </c>
      <c r="G30" s="26" t="n">
        <v>-809.2</v>
      </c>
      <c r="H30" s="25" t="n">
        <v>0.121801</v>
      </c>
      <c r="I30" s="25" t="n">
        <v>-0.053988</v>
      </c>
      <c r="J30" s="27" t="n">
        <v>0.107094</v>
      </c>
      <c r="K30" s="25" t="n">
        <v>-0.005782</v>
      </c>
    </row>
  </sheetData>
  <mergeCells count="38">
    <mergeCell ref="K16:L16"/>
    <mergeCell ref="E12:F12"/>
    <mergeCell ref="B16:C16"/>
    <mergeCell ref="B7:C7"/>
    <mergeCell ref="K15:L15"/>
    <mergeCell ref="K9:L9"/>
    <mergeCell ref="E17:F17"/>
    <mergeCell ref="H9:I9"/>
    <mergeCell ref="E8:F8"/>
    <mergeCell ref="B12:C12"/>
    <mergeCell ref="A2:L2"/>
    <mergeCell ref="K11:L11"/>
    <mergeCell ref="B11:C11"/>
    <mergeCell ref="E13:F13"/>
    <mergeCell ref="B17:C17"/>
    <mergeCell ref="E9:F9"/>
    <mergeCell ref="B8:C8"/>
    <mergeCell ref="H17:I17"/>
    <mergeCell ref="B13:C13"/>
    <mergeCell ref="H11:I11"/>
    <mergeCell ref="K12:L12"/>
    <mergeCell ref="E15:F15"/>
    <mergeCell ref="K8:L8"/>
    <mergeCell ref="H16:I16"/>
    <mergeCell ref="H7:I7"/>
    <mergeCell ref="E11:F11"/>
    <mergeCell ref="B9:C9"/>
    <mergeCell ref="H13:I13"/>
    <mergeCell ref="K17:L17"/>
    <mergeCell ref="K7:L7"/>
    <mergeCell ref="H12:I12"/>
    <mergeCell ref="B15:C15"/>
    <mergeCell ref="E16:F16"/>
    <mergeCell ref="E7:F7"/>
    <mergeCell ref="A1:L1"/>
    <mergeCell ref="H15:I15"/>
    <mergeCell ref="H8:I8"/>
    <mergeCell ref="K13:L13"/>
  </mergeCells>
  <conditionalFormatting sqref="B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E1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16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F21:F30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G21:G30">
    <cfRule type="cellIs" priority="15" operator="greaterThan" dxfId="2">
      <formula>0</formula>
    </cfRule>
    <cfRule type="cellIs" priority="16" operator="lessThan" dxfId="3">
      <formula>0</formula>
    </cfRule>
    <cfRule type="dataBar" priority="23">
      <dataBar showValue="1">
        <cfvo type="min"/>
        <cfvo type="max"/>
        <color rgb="005B8DEF"/>
      </dataBar>
    </cfRule>
  </conditionalFormatting>
  <conditionalFormatting sqref="H21:H30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I21:I30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K21:K30">
    <cfRule type="cellIs" priority="21" operator="greaterThan" dxfId="2">
      <formula>0</formula>
    </cfRule>
    <cfRule type="cellIs" priority="22" operator="lessThan" dxfId="3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7C86"/>
    <outlinePr summaryBelow="1" summaryRight="1"/>
    <pageSetUpPr fitToPage="1"/>
  </sheetPr>
  <dimension ref="A1:AF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11" customWidth="1" min="28" max="28"/>
    <col width="10" customWidth="1" min="29" max="29"/>
    <col width="11" customWidth="1" min="30" max="30"/>
    <col width="10" customWidth="1" min="31" max="31"/>
    <col width="9" customWidth="1" min="32" max="32"/>
  </cols>
  <sheetData>
    <row r="1" ht="30" customHeight="1">
      <c r="A1" s="1" t="inlineStr">
        <is>
          <t>SwingScope Batch 2026-09-28 — Daily Close Tracker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 ht="18" customHeight="1">
      <c r="A2" s="3" t="inlineStr">
        <is>
          <t>Signal 2026-09-28  •  Day 14 of 21  •  Holding  •  Exit ~2026-10-29  •  Updated 16-Oct-2026 16:52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</row>
    <row r="3">
      <c r="A3" s="28" t="inlineStr">
        <is>
          <t>Closes from Day 0 (signal) to Day 21 (exit). Highlighted column = latest session. Grey = future session (projected date).</t>
        </is>
      </c>
    </row>
    <row r="4" ht="20" customHeight="1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29" t="inlineStr">
        <is>
          <t>Day 0</t>
        </is>
      </c>
      <c r="G4" s="29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30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29" t="inlineStr">
        <is>
          <t>Day 21</t>
        </is>
      </c>
      <c r="AB4" s="31" t="inlineStr">
        <is>
          <t>Last Close</t>
        </is>
      </c>
      <c r="AC4" s="31" t="inlineStr">
        <is>
          <t>Return %</t>
        </is>
      </c>
      <c r="AD4" s="31" t="inlineStr">
        <is>
          <t>P&amp;L ₹</t>
        </is>
      </c>
      <c r="AE4" s="31" t="inlineStr">
        <is>
          <t>Day Chg %</t>
        </is>
      </c>
      <c r="AF4" s="31" t="inlineStr">
        <is>
          <t>Trend</t>
        </is>
      </c>
    </row>
    <row r="5">
      <c r="A5" s="32" t="n"/>
      <c r="B5" s="32" t="n"/>
      <c r="C5" s="32" t="n"/>
      <c r="D5" s="32" t="n"/>
      <c r="E5" s="32" t="n"/>
      <c r="F5" s="33" t="inlineStr">
        <is>
          <t>28-Sep</t>
        </is>
      </c>
      <c r="G5" s="33" t="inlineStr">
        <is>
          <t>29-Sep</t>
        </is>
      </c>
      <c r="H5" s="33" t="inlineStr">
        <is>
          <t>30-Sep</t>
        </is>
      </c>
      <c r="I5" s="33" t="inlineStr">
        <is>
          <t>01-Oct</t>
        </is>
      </c>
      <c r="J5" s="33" t="inlineStr">
        <is>
          <t>02-Oct</t>
        </is>
      </c>
      <c r="K5" s="33" t="inlineStr">
        <is>
          <t>05-Oct</t>
        </is>
      </c>
      <c r="L5" s="33" t="inlineStr">
        <is>
          <t>06-Oct</t>
        </is>
      </c>
      <c r="M5" s="33" t="inlineStr">
        <is>
          <t>07-Oct</t>
        </is>
      </c>
      <c r="N5" s="33" t="inlineStr">
        <is>
          <t>08-Oct</t>
        </is>
      </c>
      <c r="O5" s="33" t="inlineStr">
        <is>
          <t>09-Oct</t>
        </is>
      </c>
      <c r="P5" s="33" t="inlineStr">
        <is>
          <t>12-Oct</t>
        </is>
      </c>
      <c r="Q5" s="33" t="inlineStr">
        <is>
          <t>13-Oct</t>
        </is>
      </c>
      <c r="R5" s="33" t="inlineStr">
        <is>
          <t>14-Oct</t>
        </is>
      </c>
      <c r="S5" s="33" t="inlineStr">
        <is>
          <t>15-Oct</t>
        </is>
      </c>
      <c r="T5" s="33" t="inlineStr">
        <is>
          <t>16-Oct</t>
        </is>
      </c>
      <c r="U5" s="34" t="inlineStr">
        <is>
          <t>21-Oct (p)</t>
        </is>
      </c>
      <c r="V5" s="34" t="inlineStr">
        <is>
          <t>22-Oct (p)</t>
        </is>
      </c>
      <c r="W5" s="34" t="inlineStr">
        <is>
          <t>23-Oct (p)</t>
        </is>
      </c>
      <c r="X5" s="34" t="inlineStr">
        <is>
          <t>26-Oct (p)</t>
        </is>
      </c>
      <c r="Y5" s="34" t="inlineStr">
        <is>
          <t>27-Oct (p)</t>
        </is>
      </c>
      <c r="Z5" s="34" t="inlineStr">
        <is>
          <t>28-Oct (p)</t>
        </is>
      </c>
      <c r="AA5" s="34" t="inlineStr">
        <is>
          <t>29-Oct (p)</t>
        </is>
      </c>
      <c r="AB5" s="32" t="n"/>
      <c r="AC5" s="32" t="n"/>
      <c r="AD5" s="32" t="n"/>
      <c r="AE5" s="32" t="n"/>
      <c r="AF5" s="32" t="n"/>
    </row>
    <row r="6">
      <c r="A6" s="35" t="n">
        <v>1</v>
      </c>
      <c r="B6" s="16" t="inlineStr">
        <is>
          <t>TDPOWERSYS</t>
        </is>
      </c>
      <c r="C6" s="36" t="inlineStr">
        <is>
          <t>INE419M01035</t>
        </is>
      </c>
      <c r="D6" s="17" t="n">
        <v>20</v>
      </c>
      <c r="E6" s="37" t="n">
        <v>719</v>
      </c>
      <c r="F6" s="18" t="n">
        <v>722</v>
      </c>
      <c r="G6" s="18" t="n">
        <v>777.35</v>
      </c>
      <c r="H6" s="18" t="n">
        <v>786.05</v>
      </c>
      <c r="I6" s="18" t="n">
        <v>792.15</v>
      </c>
      <c r="J6" s="18" t="n">
        <v>792.15</v>
      </c>
      <c r="K6" s="18" t="n">
        <v>812.9</v>
      </c>
      <c r="L6" s="18" t="n">
        <v>816</v>
      </c>
      <c r="M6" s="18" t="n">
        <v>821.1</v>
      </c>
      <c r="N6" s="18" t="n">
        <v>793.5</v>
      </c>
      <c r="O6" s="18" t="n">
        <v>793.75</v>
      </c>
      <c r="P6" s="18" t="n">
        <v>825.65</v>
      </c>
      <c r="Q6" s="18" t="n">
        <v>797.85</v>
      </c>
      <c r="R6" s="18" t="n">
        <v>783.7</v>
      </c>
      <c r="S6" s="18" t="n">
        <v>734.75</v>
      </c>
      <c r="T6" s="38" t="n">
        <v>735.15</v>
      </c>
      <c r="U6" s="39" t="n"/>
      <c r="V6" s="39" t="n"/>
      <c r="W6" s="39" t="n"/>
      <c r="X6" s="39" t="n"/>
      <c r="Y6" s="39" t="n"/>
      <c r="Z6" s="39" t="n"/>
      <c r="AA6" s="39" t="n"/>
      <c r="AB6" s="37">
        <f>LOOKUP(2,1/(F6:AA6&lt;&gt;""),F6:AA6)</f>
        <v/>
      </c>
      <c r="AC6" s="40">
        <f>AB6/E6-1</f>
        <v/>
      </c>
      <c r="AD6" s="41">
        <f>D6*(AB6-E6)</f>
        <v/>
      </c>
      <c r="AE6" s="19">
        <f>IFERROR(T6/S6-1,0)</f>
        <v/>
      </c>
      <c r="AF6" s="35">
        <f>IF(AC6&gt;0,"▲ Up",IF(AC6&lt;0,"▼ Down","■ Flat"))</f>
        <v/>
      </c>
    </row>
    <row r="7">
      <c r="A7" s="42" t="n">
        <v>2</v>
      </c>
      <c r="B7" s="22" t="inlineStr">
        <is>
          <t>AEROFLEX</t>
        </is>
      </c>
      <c r="C7" s="43" t="inlineStr">
        <is>
          <t>INE024001021</t>
        </is>
      </c>
      <c r="D7" s="23" t="n">
        <v>29</v>
      </c>
      <c r="E7" s="44" t="n">
        <v>511.3</v>
      </c>
      <c r="F7" s="24" t="n">
        <v>513.4</v>
      </c>
      <c r="G7" s="24" t="n">
        <v>539.6</v>
      </c>
      <c r="H7" s="24" t="n">
        <v>536.6</v>
      </c>
      <c r="I7" s="24" t="n">
        <v>521.35</v>
      </c>
      <c r="J7" s="24" t="n">
        <v>521.35</v>
      </c>
      <c r="K7" s="24" t="n">
        <v>544.35</v>
      </c>
      <c r="L7" s="24" t="n">
        <v>560.75</v>
      </c>
      <c r="M7" s="24" t="n">
        <v>563.85</v>
      </c>
      <c r="N7" s="24" t="n">
        <v>529</v>
      </c>
      <c r="O7" s="24" t="n">
        <v>520.5</v>
      </c>
      <c r="P7" s="24" t="n">
        <v>567.9</v>
      </c>
      <c r="Q7" s="24" t="n">
        <v>557.6</v>
      </c>
      <c r="R7" s="24" t="n">
        <v>568.7</v>
      </c>
      <c r="S7" s="24" t="n">
        <v>510.95</v>
      </c>
      <c r="T7" s="38" t="n">
        <v>525.8</v>
      </c>
      <c r="U7" s="39" t="n"/>
      <c r="V7" s="39" t="n"/>
      <c r="W7" s="39" t="n"/>
      <c r="X7" s="39" t="n"/>
      <c r="Y7" s="39" t="n"/>
      <c r="Z7" s="39" t="n"/>
      <c r="AA7" s="39" t="n"/>
      <c r="AB7" s="37">
        <f>LOOKUP(2,1/(F7:AA7&lt;&gt;""),F7:AA7)</f>
        <v/>
      </c>
      <c r="AC7" s="40">
        <f>AB7/E7-1</f>
        <v/>
      </c>
      <c r="AD7" s="41">
        <f>D7*(AB7-E7)</f>
        <v/>
      </c>
      <c r="AE7" s="19">
        <f>IFERROR(T7/S7-1,0)</f>
        <v/>
      </c>
      <c r="AF7" s="35">
        <f>IF(AC7&gt;0,"▲ Up",IF(AC7&lt;0,"▼ Down","■ Flat"))</f>
        <v/>
      </c>
    </row>
    <row r="8">
      <c r="A8" s="35" t="n">
        <v>3</v>
      </c>
      <c r="B8" s="16" t="inlineStr">
        <is>
          <t>ATHERENERG</t>
        </is>
      </c>
      <c r="C8" s="36" t="inlineStr">
        <is>
          <t>INE0LEZ01016</t>
        </is>
      </c>
      <c r="D8" s="17" t="n">
        <v>10</v>
      </c>
      <c r="E8" s="37" t="n">
        <v>1460.2</v>
      </c>
      <c r="F8" s="18" t="n">
        <v>1454.9</v>
      </c>
      <c r="G8" s="18" t="n">
        <v>1407</v>
      </c>
      <c r="H8" s="18" t="n">
        <v>1425</v>
      </c>
      <c r="I8" s="18" t="n">
        <v>1406.1</v>
      </c>
      <c r="J8" s="18" t="n">
        <v>1406.1</v>
      </c>
      <c r="K8" s="18" t="n">
        <v>1409.9</v>
      </c>
      <c r="L8" s="18" t="n">
        <v>1446</v>
      </c>
      <c r="M8" s="18" t="n">
        <v>1455</v>
      </c>
      <c r="N8" s="18" t="n">
        <v>1406</v>
      </c>
      <c r="O8" s="18" t="n">
        <v>1434.4</v>
      </c>
      <c r="P8" s="18" t="n">
        <v>1511</v>
      </c>
      <c r="Q8" s="18" t="n">
        <v>1494.9</v>
      </c>
      <c r="R8" s="18" t="n">
        <v>1467</v>
      </c>
      <c r="S8" s="18" t="n">
        <v>1470</v>
      </c>
      <c r="T8" s="38" t="n">
        <v>1470</v>
      </c>
      <c r="U8" s="39" t="n"/>
      <c r="V8" s="39" t="n"/>
      <c r="W8" s="39" t="n"/>
      <c r="X8" s="39" t="n"/>
      <c r="Y8" s="39" t="n"/>
      <c r="Z8" s="39" t="n"/>
      <c r="AA8" s="39" t="n"/>
      <c r="AB8" s="37">
        <f>LOOKUP(2,1/(F8:AA8&lt;&gt;""),F8:AA8)</f>
        <v/>
      </c>
      <c r="AC8" s="40">
        <f>AB8/E8-1</f>
        <v/>
      </c>
      <c r="AD8" s="41">
        <f>D8*(AB8-E8)</f>
        <v/>
      </c>
      <c r="AE8" s="19">
        <f>IFERROR(T8/S8-1,0)</f>
        <v/>
      </c>
      <c r="AF8" s="35">
        <f>IF(AC8&gt;0,"▲ Up",IF(AC8&lt;0,"▼ Down","■ Flat"))</f>
        <v/>
      </c>
    </row>
    <row r="9">
      <c r="A9" s="42" t="n">
        <v>4</v>
      </c>
      <c r="B9" s="22" t="inlineStr">
        <is>
          <t>THANGAMAYL</t>
        </is>
      </c>
      <c r="C9" s="43" t="inlineStr">
        <is>
          <t>INE085J01014</t>
        </is>
      </c>
      <c r="D9" s="23" t="n">
        <v>2</v>
      </c>
      <c r="E9" s="44" t="n">
        <v>5010</v>
      </c>
      <c r="F9" s="24" t="n">
        <v>5011.5</v>
      </c>
      <c r="G9" s="24" t="n">
        <v>5204.5</v>
      </c>
      <c r="H9" s="24" t="n">
        <v>5062</v>
      </c>
      <c r="I9" s="24" t="n">
        <v>4861</v>
      </c>
      <c r="J9" s="24" t="n">
        <v>4861</v>
      </c>
      <c r="K9" s="24" t="n">
        <v>4747</v>
      </c>
      <c r="L9" s="24" t="n">
        <v>4758.5</v>
      </c>
      <c r="M9" s="24" t="n">
        <v>4803</v>
      </c>
      <c r="N9" s="24" t="n">
        <v>4810.5</v>
      </c>
      <c r="O9" s="24" t="n">
        <v>4889.5</v>
      </c>
      <c r="P9" s="24" t="n">
        <v>4890.5</v>
      </c>
      <c r="Q9" s="24" t="n">
        <v>4900.5</v>
      </c>
      <c r="R9" s="24" t="n">
        <v>4849.5</v>
      </c>
      <c r="S9" s="24" t="n">
        <v>4791</v>
      </c>
      <c r="T9" s="38" t="n">
        <v>5098</v>
      </c>
      <c r="U9" s="39" t="n"/>
      <c r="V9" s="39" t="n"/>
      <c r="W9" s="39" t="n"/>
      <c r="X9" s="39" t="n"/>
      <c r="Y9" s="39" t="n"/>
      <c r="Z9" s="39" t="n"/>
      <c r="AA9" s="39" t="n"/>
      <c r="AB9" s="37">
        <f>LOOKUP(2,1/(F9:AA9&lt;&gt;""),F9:AA9)</f>
        <v/>
      </c>
      <c r="AC9" s="40">
        <f>AB9/E9-1</f>
        <v/>
      </c>
      <c r="AD9" s="41">
        <f>D9*(AB9-E9)</f>
        <v/>
      </c>
      <c r="AE9" s="19">
        <f>IFERROR(T9/S9-1,0)</f>
        <v/>
      </c>
      <c r="AF9" s="35">
        <f>IF(AC9&gt;0,"▲ Up",IF(AC9&lt;0,"▼ Down","■ Flat"))</f>
        <v/>
      </c>
    </row>
    <row r="10">
      <c r="A10" s="35" t="n">
        <v>5</v>
      </c>
      <c r="B10" s="16" t="inlineStr">
        <is>
          <t>RRKABEL</t>
        </is>
      </c>
      <c r="C10" s="36" t="inlineStr">
        <is>
          <t>INE777K01022</t>
        </is>
      </c>
      <c r="D10" s="17" t="n">
        <v>6</v>
      </c>
      <c r="E10" s="37" t="n">
        <v>2459.8</v>
      </c>
      <c r="F10" s="18" t="n">
        <v>2459.8</v>
      </c>
      <c r="G10" s="18" t="n">
        <v>2523.2</v>
      </c>
      <c r="H10" s="18" t="n">
        <v>2518.6</v>
      </c>
      <c r="I10" s="18" t="n">
        <v>2518.2</v>
      </c>
      <c r="J10" s="18" t="n">
        <v>2518.2</v>
      </c>
      <c r="K10" s="18" t="n">
        <v>2648</v>
      </c>
      <c r="L10" s="18" t="n">
        <v>2789.7</v>
      </c>
      <c r="M10" s="18" t="n">
        <v>2722.5</v>
      </c>
      <c r="N10" s="18" t="n">
        <v>2696.4</v>
      </c>
      <c r="O10" s="18" t="n">
        <v>2705.6</v>
      </c>
      <c r="P10" s="18" t="n">
        <v>2721.5</v>
      </c>
      <c r="Q10" s="18" t="n">
        <v>2614.2</v>
      </c>
      <c r="R10" s="18" t="n">
        <v>2664.1</v>
      </c>
      <c r="S10" s="18" t="n">
        <v>2603.9</v>
      </c>
      <c r="T10" s="38" t="n">
        <v>2388</v>
      </c>
      <c r="U10" s="39" t="n"/>
      <c r="V10" s="39" t="n"/>
      <c r="W10" s="39" t="n"/>
      <c r="X10" s="39" t="n"/>
      <c r="Y10" s="39" t="n"/>
      <c r="Z10" s="39" t="n"/>
      <c r="AA10" s="39" t="n"/>
      <c r="AB10" s="37">
        <f>LOOKUP(2,1/(F10:AA10&lt;&gt;""),F10:AA10)</f>
        <v/>
      </c>
      <c r="AC10" s="40">
        <f>AB10/E10-1</f>
        <v/>
      </c>
      <c r="AD10" s="41">
        <f>D10*(AB10-E10)</f>
        <v/>
      </c>
      <c r="AE10" s="19">
        <f>IFERROR(T10/S10-1,0)</f>
        <v/>
      </c>
      <c r="AF10" s="35">
        <f>IF(AC10&gt;0,"▲ Up",IF(AC10&lt;0,"▼ Down","■ Flat"))</f>
        <v/>
      </c>
    </row>
    <row r="11">
      <c r="A11" s="42" t="n">
        <v>6</v>
      </c>
      <c r="B11" s="22" t="inlineStr">
        <is>
          <t>ACUTAAS</t>
        </is>
      </c>
      <c r="C11" s="43" t="inlineStr">
        <is>
          <t>INE00FF01025</t>
        </is>
      </c>
      <c r="D11" s="23" t="n">
        <v>4</v>
      </c>
      <c r="E11" s="44" t="n">
        <v>3290</v>
      </c>
      <c r="F11" s="24" t="n">
        <v>3214.4</v>
      </c>
      <c r="G11" s="24" t="n">
        <v>3304.1</v>
      </c>
      <c r="H11" s="24" t="n">
        <v>3279.4</v>
      </c>
      <c r="I11" s="24" t="n">
        <v>3196.5</v>
      </c>
      <c r="J11" s="24" t="n">
        <v>3196.5</v>
      </c>
      <c r="K11" s="24" t="n">
        <v>3122.2</v>
      </c>
      <c r="L11" s="24" t="n">
        <v>3156.7</v>
      </c>
      <c r="M11" s="24" t="n">
        <v>3174.2</v>
      </c>
      <c r="N11" s="24" t="n">
        <v>3056.7</v>
      </c>
      <c r="O11" s="24" t="n">
        <v>3160.6</v>
      </c>
      <c r="P11" s="24" t="n">
        <v>3144.1</v>
      </c>
      <c r="Q11" s="24" t="n">
        <v>3176.7</v>
      </c>
      <c r="R11" s="24" t="n">
        <v>3160.5</v>
      </c>
      <c r="S11" s="24" t="n">
        <v>3132.5</v>
      </c>
      <c r="T11" s="38" t="n">
        <v>3206</v>
      </c>
      <c r="U11" s="39" t="n"/>
      <c r="V11" s="39" t="n"/>
      <c r="W11" s="39" t="n"/>
      <c r="X11" s="39" t="n"/>
      <c r="Y11" s="39" t="n"/>
      <c r="Z11" s="39" t="n"/>
      <c r="AA11" s="39" t="n"/>
      <c r="AB11" s="37">
        <f>LOOKUP(2,1/(F11:AA11&lt;&gt;""),F11:AA11)</f>
        <v/>
      </c>
      <c r="AC11" s="40">
        <f>AB11/E11-1</f>
        <v/>
      </c>
      <c r="AD11" s="41">
        <f>D11*(AB11-E11)</f>
        <v/>
      </c>
      <c r="AE11" s="19">
        <f>IFERROR(T11/S11-1,0)</f>
        <v/>
      </c>
      <c r="AF11" s="35">
        <f>IF(AC11&gt;0,"▲ Up",IF(AC11&lt;0,"▼ Down","■ Flat"))</f>
        <v/>
      </c>
    </row>
    <row r="12">
      <c r="A12" s="35" t="n">
        <v>7</v>
      </c>
      <c r="B12" s="16" t="inlineStr">
        <is>
          <t>DIACABS</t>
        </is>
      </c>
      <c r="C12" s="36" t="inlineStr">
        <is>
          <t>INE989C01038</t>
        </is>
      </c>
      <c r="D12" s="17" t="n">
        <v>44</v>
      </c>
      <c r="E12" s="37" t="n">
        <v>336.9</v>
      </c>
      <c r="F12" s="18" t="n">
        <v>339.25</v>
      </c>
      <c r="G12" s="18" t="n">
        <v>352.05</v>
      </c>
      <c r="H12" s="18" t="n">
        <v>354.2</v>
      </c>
      <c r="I12" s="18" t="n">
        <v>345</v>
      </c>
      <c r="J12" s="18" t="n">
        <v>345</v>
      </c>
      <c r="K12" s="18" t="n">
        <v>350.8</v>
      </c>
      <c r="L12" s="18" t="n">
        <v>368.3</v>
      </c>
      <c r="M12" s="18" t="n">
        <v>369.15</v>
      </c>
      <c r="N12" s="18" t="n">
        <v>371.9</v>
      </c>
      <c r="O12" s="18" t="n">
        <v>380.95</v>
      </c>
      <c r="P12" s="18" t="n">
        <v>379.7</v>
      </c>
      <c r="Q12" s="18" t="n">
        <v>377.55</v>
      </c>
      <c r="R12" s="18" t="n">
        <v>378.75</v>
      </c>
      <c r="S12" s="18" t="n">
        <v>373.75</v>
      </c>
      <c r="T12" s="38" t="n">
        <v>362.4</v>
      </c>
      <c r="U12" s="39" t="n"/>
      <c r="V12" s="39" t="n"/>
      <c r="W12" s="39" t="n"/>
      <c r="X12" s="39" t="n"/>
      <c r="Y12" s="39" t="n"/>
      <c r="Z12" s="39" t="n"/>
      <c r="AA12" s="39" t="n"/>
      <c r="AB12" s="37">
        <f>LOOKUP(2,1/(F12:AA12&lt;&gt;""),F12:AA12)</f>
        <v/>
      </c>
      <c r="AC12" s="40">
        <f>AB12/E12-1</f>
        <v/>
      </c>
      <c r="AD12" s="41">
        <f>D12*(AB12-E12)</f>
        <v/>
      </c>
      <c r="AE12" s="19">
        <f>IFERROR(T12/S12-1,0)</f>
        <v/>
      </c>
      <c r="AF12" s="35">
        <f>IF(AC12&gt;0,"▲ Up",IF(AC12&lt;0,"▼ Down","■ Flat"))</f>
        <v/>
      </c>
    </row>
    <row r="13">
      <c r="A13" s="42" t="n">
        <v>8</v>
      </c>
      <c r="B13" s="22" t="inlineStr">
        <is>
          <t>KIRLOSENG</t>
        </is>
      </c>
      <c r="C13" s="43" t="inlineStr">
        <is>
          <t>INE146L01010</t>
        </is>
      </c>
      <c r="D13" s="23" t="n">
        <v>7</v>
      </c>
      <c r="E13" s="44" t="n">
        <v>2141.2</v>
      </c>
      <c r="F13" s="24" t="n">
        <v>2141.2</v>
      </c>
      <c r="G13" s="24" t="n">
        <v>2402</v>
      </c>
      <c r="H13" s="24" t="n">
        <v>2304.2</v>
      </c>
      <c r="I13" s="24" t="n">
        <v>2242.7</v>
      </c>
      <c r="J13" s="24" t="n">
        <v>2242.7</v>
      </c>
      <c r="K13" s="24" t="n">
        <v>2243.7</v>
      </c>
      <c r="L13" s="24" t="n">
        <v>2266.1</v>
      </c>
      <c r="M13" s="24" t="n">
        <v>2230.8</v>
      </c>
      <c r="N13" s="24" t="n">
        <v>2163</v>
      </c>
      <c r="O13" s="24" t="n">
        <v>2210.4</v>
      </c>
      <c r="P13" s="24" t="n">
        <v>2193</v>
      </c>
      <c r="Q13" s="24" t="n">
        <v>2180.8</v>
      </c>
      <c r="R13" s="24" t="n">
        <v>2148.3</v>
      </c>
      <c r="S13" s="24" t="n">
        <v>2066.3</v>
      </c>
      <c r="T13" s="38" t="n">
        <v>2025.6</v>
      </c>
      <c r="U13" s="39" t="n"/>
      <c r="V13" s="39" t="n"/>
      <c r="W13" s="39" t="n"/>
      <c r="X13" s="39" t="n"/>
      <c r="Y13" s="39" t="n"/>
      <c r="Z13" s="39" t="n"/>
      <c r="AA13" s="39" t="n"/>
      <c r="AB13" s="37">
        <f>LOOKUP(2,1/(F13:AA13&lt;&gt;""),F13:AA13)</f>
        <v/>
      </c>
      <c r="AC13" s="40">
        <f>AB13/E13-1</f>
        <v/>
      </c>
      <c r="AD13" s="41">
        <f>D13*(AB13-E13)</f>
        <v/>
      </c>
      <c r="AE13" s="19">
        <f>IFERROR(T13/S13-1,0)</f>
        <v/>
      </c>
      <c r="AF13" s="35">
        <f>IF(AC13&gt;0,"▲ Up",IF(AC13&lt;0,"▼ Down","■ Flat"))</f>
        <v/>
      </c>
    </row>
    <row r="14">
      <c r="A14" s="35" t="n">
        <v>9</v>
      </c>
      <c r="B14" s="16" t="inlineStr">
        <is>
          <t>E2E</t>
        </is>
      </c>
      <c r="C14" s="36" t="inlineStr">
        <is>
          <t>INE255Z01027</t>
        </is>
      </c>
      <c r="D14" s="17" t="n">
        <v>23</v>
      </c>
      <c r="E14" s="37" t="n">
        <v>619.55</v>
      </c>
      <c r="F14" s="18" t="n">
        <v>625.9</v>
      </c>
      <c r="G14" s="18" t="n">
        <v>651.8</v>
      </c>
      <c r="H14" s="18" t="n">
        <v>650.5</v>
      </c>
      <c r="I14" s="18" t="n">
        <v>648</v>
      </c>
      <c r="J14" s="18" t="n">
        <v>648</v>
      </c>
      <c r="K14" s="18" t="n">
        <v>656.1</v>
      </c>
      <c r="L14" s="18" t="n">
        <v>688.9</v>
      </c>
      <c r="M14" s="18" t="n">
        <v>723.3</v>
      </c>
      <c r="N14" s="18" t="n">
        <v>714.15</v>
      </c>
      <c r="O14" s="18" t="n">
        <v>704.6</v>
      </c>
      <c r="P14" s="18" t="n">
        <v>735.55</v>
      </c>
      <c r="Q14" s="18" t="n">
        <v>735.75</v>
      </c>
      <c r="R14" s="18" t="n">
        <v>748.3</v>
      </c>
      <c r="S14" s="18" t="n">
        <v>710.9</v>
      </c>
      <c r="T14" s="38" t="n">
        <v>694.85</v>
      </c>
      <c r="U14" s="39" t="n"/>
      <c r="V14" s="39" t="n"/>
      <c r="W14" s="39" t="n"/>
      <c r="X14" s="39" t="n"/>
      <c r="Y14" s="39" t="n"/>
      <c r="Z14" s="39" t="n"/>
      <c r="AA14" s="39" t="n"/>
      <c r="AB14" s="37">
        <f>LOOKUP(2,1/(F14:AA14&lt;&gt;""),F14:AA14)</f>
        <v/>
      </c>
      <c r="AC14" s="40">
        <f>AB14/E14-1</f>
        <v/>
      </c>
      <c r="AD14" s="41">
        <f>D14*(AB14-E14)</f>
        <v/>
      </c>
      <c r="AE14" s="19">
        <f>IFERROR(T14/S14-1,0)</f>
        <v/>
      </c>
      <c r="AF14" s="35">
        <f>IF(AC14&gt;0,"▲ Up",IF(AC14&lt;0,"▼ Down","■ Flat"))</f>
        <v/>
      </c>
    </row>
    <row r="15">
      <c r="A15" s="42" t="n">
        <v>10</v>
      </c>
      <c r="B15" s="22" t="inlineStr">
        <is>
          <t>LAURUSLABS</t>
        </is>
      </c>
      <c r="C15" s="43" t="inlineStr">
        <is>
          <t>INE947Q01028</t>
        </is>
      </c>
      <c r="D15" s="23" t="n">
        <v>7</v>
      </c>
      <c r="E15" s="44" t="n">
        <v>2020.7</v>
      </c>
      <c r="F15" s="24" t="n">
        <v>2010.7</v>
      </c>
      <c r="G15" s="24" t="n">
        <v>1979</v>
      </c>
      <c r="H15" s="24" t="n">
        <v>1980</v>
      </c>
      <c r="I15" s="24" t="n">
        <v>1984</v>
      </c>
      <c r="J15" s="24" t="n">
        <v>1984</v>
      </c>
      <c r="K15" s="24" t="n">
        <v>1971.4</v>
      </c>
      <c r="L15" s="24" t="n">
        <v>2050</v>
      </c>
      <c r="M15" s="24" t="n">
        <v>2052.8</v>
      </c>
      <c r="N15" s="24" t="n">
        <v>1997.9</v>
      </c>
      <c r="O15" s="24" t="n">
        <v>2036.6</v>
      </c>
      <c r="P15" s="24" t="n">
        <v>2069.2</v>
      </c>
      <c r="Q15" s="24" t="n">
        <v>2059.4</v>
      </c>
      <c r="R15" s="24" t="n">
        <v>2036.9</v>
      </c>
      <c r="S15" s="24" t="n">
        <v>2018.5</v>
      </c>
      <c r="T15" s="38" t="n">
        <v>2060.1</v>
      </c>
      <c r="U15" s="39" t="n"/>
      <c r="V15" s="39" t="n"/>
      <c r="W15" s="39" t="n"/>
      <c r="X15" s="39" t="n"/>
      <c r="Y15" s="39" t="n"/>
      <c r="Z15" s="39" t="n"/>
      <c r="AA15" s="39" t="n"/>
      <c r="AB15" s="37">
        <f>LOOKUP(2,1/(F15:AA15&lt;&gt;""),F15:AA15)</f>
        <v/>
      </c>
      <c r="AC15" s="40">
        <f>AB15/E15-1</f>
        <v/>
      </c>
      <c r="AD15" s="41">
        <f>D15*(AB15-E15)</f>
        <v/>
      </c>
      <c r="AE15" s="19">
        <f>IFERROR(T15/S15-1,0)</f>
        <v/>
      </c>
      <c r="AF15" s="35">
        <f>IF(AC15&gt;0,"▲ Up",IF(AC15&lt;0,"▼ Down","■ Flat"))</f>
        <v/>
      </c>
    </row>
    <row r="16">
      <c r="A16" s="45" t="inlineStr"/>
      <c r="B16" s="46" t="inlineStr">
        <is>
          <t>PORTFOLIO</t>
        </is>
      </c>
      <c r="C16" s="45" t="inlineStr"/>
      <c r="D16" s="47">
        <f>SUM(D6:D15)</f>
        <v/>
      </c>
      <c r="E16" s="48">
        <f>SUMPRODUCT(D6:D15,E6:E15)</f>
        <v/>
      </c>
      <c r="F16" s="48">
        <f>IF(COUNT(F6:F15)=0,"",SUMPRODUCT($D$6:$D$15,F6:F15))</f>
        <v/>
      </c>
      <c r="G16" s="48">
        <f>IF(COUNT(G6:G15)=0,"",SUMPRODUCT($D$6:$D$15,G6:G15))</f>
        <v/>
      </c>
      <c r="H16" s="48">
        <f>IF(COUNT(H6:H15)=0,"",SUMPRODUCT($D$6:$D$15,H6:H15))</f>
        <v/>
      </c>
      <c r="I16" s="48">
        <f>IF(COUNT(I6:I15)=0,"",SUMPRODUCT($D$6:$D$15,I6:I15))</f>
        <v/>
      </c>
      <c r="J16" s="48">
        <f>IF(COUNT(J6:J15)=0,"",SUMPRODUCT($D$6:$D$15,J6:J15))</f>
        <v/>
      </c>
      <c r="K16" s="48">
        <f>IF(COUNT(K6:K15)=0,"",SUMPRODUCT($D$6:$D$15,K6:K15))</f>
        <v/>
      </c>
      <c r="L16" s="48">
        <f>IF(COUNT(L6:L15)=0,"",SUMPRODUCT($D$6:$D$15,L6:L15))</f>
        <v/>
      </c>
      <c r="M16" s="48">
        <f>IF(COUNT(M6:M15)=0,"",SUMPRODUCT($D$6:$D$15,M6:M15))</f>
        <v/>
      </c>
      <c r="N16" s="48">
        <f>IF(COUNT(N6:N15)=0,"",SUMPRODUCT($D$6:$D$15,N6:N15))</f>
        <v/>
      </c>
      <c r="O16" s="48">
        <f>IF(COUNT(O6:O15)=0,"",SUMPRODUCT($D$6:$D$15,O6:O15))</f>
        <v/>
      </c>
      <c r="P16" s="48">
        <f>IF(COUNT(P6:P15)=0,"",SUMPRODUCT($D$6:$D$15,P6:P15))</f>
        <v/>
      </c>
      <c r="Q16" s="48">
        <f>IF(COUNT(Q6:Q15)=0,"",SUMPRODUCT($D$6:$D$15,Q6:Q15))</f>
        <v/>
      </c>
      <c r="R16" s="48">
        <f>IF(COUNT(R6:R15)=0,"",SUMPRODUCT($D$6:$D$15,R6:R15))</f>
        <v/>
      </c>
      <c r="S16" s="48">
        <f>IF(COUNT(S6:S15)=0,"",SUMPRODUCT($D$6:$D$15,S6:S15))</f>
        <v/>
      </c>
      <c r="T16" s="48">
        <f>IF(COUNT(T6:T15)=0,"",SUMPRODUCT($D$6:$D$15,T6:T15))</f>
        <v/>
      </c>
      <c r="U16" s="48">
        <f>IF(COUNT(U6:U15)=0,"",SUMPRODUCT($D$6:$D$15,U6:U15))</f>
        <v/>
      </c>
      <c r="V16" s="48">
        <f>IF(COUNT(V6:V15)=0,"",SUMPRODUCT($D$6:$D$15,V6:V15))</f>
        <v/>
      </c>
      <c r="W16" s="48">
        <f>IF(COUNT(W6:W15)=0,"",SUMPRODUCT($D$6:$D$15,W6:W15))</f>
        <v/>
      </c>
      <c r="X16" s="48">
        <f>IF(COUNT(X6:X15)=0,"",SUMPRODUCT($D$6:$D$15,X6:X15))</f>
        <v/>
      </c>
      <c r="Y16" s="48">
        <f>IF(COUNT(Y6:Y15)=0,"",SUMPRODUCT($D$6:$D$15,Y6:Y15))</f>
        <v/>
      </c>
      <c r="Z16" s="48">
        <f>IF(COUNT(Z6:Z15)=0,"",SUMPRODUCT($D$6:$D$15,Z6:Z15))</f>
        <v/>
      </c>
      <c r="AA16" s="48">
        <f>IF(COUNT(AA6:AA15)=0,"",SUMPRODUCT($D$6:$D$15,AA6:AA15))</f>
        <v/>
      </c>
      <c r="AB16" s="48">
        <f>SUMPRODUCT(D6:D15,AB6:AB15)</f>
        <v/>
      </c>
      <c r="AC16" s="49">
        <f>AB16/E16-1</f>
        <v/>
      </c>
      <c r="AD16" s="48">
        <f>SUM(AD6:AD15)</f>
        <v/>
      </c>
      <c r="AE16" s="45" t="inlineStr"/>
      <c r="AF16" s="45" t="inlineStr"/>
    </row>
  </sheetData>
  <mergeCells count="12">
    <mergeCell ref="B4:B5"/>
    <mergeCell ref="A1:AF1"/>
    <mergeCell ref="A4:A5"/>
    <mergeCell ref="C4:C5"/>
    <mergeCell ref="D4:D5"/>
    <mergeCell ref="E4:E5"/>
    <mergeCell ref="AB4:AB5"/>
    <mergeCell ref="AE4:AE5"/>
    <mergeCell ref="AC4:AC5"/>
    <mergeCell ref="AF4:AF5"/>
    <mergeCell ref="AD4:AD5"/>
    <mergeCell ref="A2:AF2"/>
  </mergeCells>
  <conditionalFormatting sqref="AC6:AC16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AE6:AE16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AD6:AD15">
    <cfRule type="dataBar" priority="5">
      <dataBar showValue="1">
        <cfvo type="min"/>
        <cfvo type="max"/>
        <color rgb="005B8DEF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F9D63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</cols>
  <sheetData>
    <row r="1" ht="30" customHeight="1">
      <c r="A1" s="1" t="inlineStr">
        <is>
          <t>Cumulative Return vs Entry (%)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Each cell = close ÷ entry − 1. Colour scale: red → white → green.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>
      <c r="A3" s="28" t="inlineStr">
        <is>
          <t>Formulas link to 'Daily Closes' — edit a close there and this sheet updates.</t>
        </is>
      </c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30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5">
      <c r="F5" s="50">
        <f>'Daily Closes'!F5</f>
        <v/>
      </c>
      <c r="G5" s="50">
        <f>'Daily Closes'!G5</f>
        <v/>
      </c>
      <c r="H5" s="50">
        <f>'Daily Closes'!H5</f>
        <v/>
      </c>
      <c r="I5" s="50">
        <f>'Daily Closes'!I5</f>
        <v/>
      </c>
      <c r="J5" s="50">
        <f>'Daily Closes'!J5</f>
        <v/>
      </c>
      <c r="K5" s="50">
        <f>'Daily Closes'!K5</f>
        <v/>
      </c>
      <c r="L5" s="50">
        <f>'Daily Closes'!L5</f>
        <v/>
      </c>
      <c r="M5" s="50">
        <f>'Daily Closes'!M5</f>
        <v/>
      </c>
      <c r="N5" s="50">
        <f>'Daily Closes'!N5</f>
        <v/>
      </c>
      <c r="O5" s="50">
        <f>'Daily Closes'!O5</f>
        <v/>
      </c>
      <c r="P5" s="50">
        <f>'Daily Closes'!P5</f>
        <v/>
      </c>
      <c r="Q5" s="50">
        <f>'Daily Closes'!Q5</f>
        <v/>
      </c>
      <c r="R5" s="50">
        <f>'Daily Closes'!R5</f>
        <v/>
      </c>
      <c r="S5" s="50">
        <f>'Daily Closes'!S5</f>
        <v/>
      </c>
      <c r="T5" s="50">
        <f>'Daily Closes'!T5</f>
        <v/>
      </c>
      <c r="U5" s="50">
        <f>'Daily Closes'!U5</f>
        <v/>
      </c>
      <c r="V5" s="50">
        <f>'Daily Closes'!V5</f>
        <v/>
      </c>
      <c r="W5" s="50">
        <f>'Daily Closes'!W5</f>
        <v/>
      </c>
      <c r="X5" s="50">
        <f>'Daily Closes'!X5</f>
        <v/>
      </c>
      <c r="Y5" s="50">
        <f>'Daily Closes'!Y5</f>
        <v/>
      </c>
      <c r="Z5" s="50">
        <f>'Daily Closes'!Z5</f>
        <v/>
      </c>
      <c r="AA5" s="50">
        <f>'Daily Closes'!AA5</f>
        <v/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19">
        <f>IF('Daily Closes'!G6="","",'Daily Closes'!G6/$E6-1)</f>
        <v/>
      </c>
      <c r="H6" s="19">
        <f>IF('Daily Closes'!H6="","",'Daily Closes'!H6/$E6-1)</f>
        <v/>
      </c>
      <c r="I6" s="19">
        <f>IF('Daily Closes'!I6="","",'Daily Closes'!I6/$E6-1)</f>
        <v/>
      </c>
      <c r="J6" s="19">
        <f>IF('Daily Closes'!J6="","",'Daily Closes'!J6/$E6-1)</f>
        <v/>
      </c>
      <c r="K6" s="19">
        <f>IF('Daily Closes'!K6="","",'Daily Closes'!K6/$E6-1)</f>
        <v/>
      </c>
      <c r="L6" s="19">
        <f>IF('Daily Closes'!L6="","",'Daily Closes'!L6/$E6-1)</f>
        <v/>
      </c>
      <c r="M6" s="19">
        <f>IF('Daily Closes'!M6="","",'Daily Closes'!M6/$E6-1)</f>
        <v/>
      </c>
      <c r="N6" s="19">
        <f>IF('Daily Closes'!N6="","",'Daily Closes'!N6/$E6-1)</f>
        <v/>
      </c>
      <c r="O6" s="19">
        <f>IF('Daily Closes'!O6="","",'Daily Closes'!O6/$E6-1)</f>
        <v/>
      </c>
      <c r="P6" s="19">
        <f>IF('Daily Closes'!P6="","",'Daily Closes'!P6/$E6-1)</f>
        <v/>
      </c>
      <c r="Q6" s="19">
        <f>IF('Daily Closes'!Q6="","",'Daily Closes'!Q6/$E6-1)</f>
        <v/>
      </c>
      <c r="R6" s="19">
        <f>IF('Daily Closes'!R6="","",'Daily Closes'!R6/$E6-1)</f>
        <v/>
      </c>
      <c r="S6" s="19">
        <f>IF('Daily Closes'!S6="","",'Daily Closes'!S6/$E6-1)</f>
        <v/>
      </c>
      <c r="T6" s="19">
        <f>IF('Daily Closes'!T6="","",'Daily Closes'!T6/$E6-1)</f>
        <v/>
      </c>
      <c r="U6" s="19">
        <f>IF('Daily Closes'!U6="","",'Daily Closes'!U6/$E6-1)</f>
        <v/>
      </c>
      <c r="V6" s="19">
        <f>IF('Daily Closes'!V6="","",'Daily Closes'!V6/$E6-1)</f>
        <v/>
      </c>
      <c r="W6" s="19">
        <f>IF('Daily Closes'!W6="","",'Daily Closes'!W6/$E6-1)</f>
        <v/>
      </c>
      <c r="X6" s="19">
        <f>IF('Daily Closes'!X6="","",'Daily Closes'!X6/$E6-1)</f>
        <v/>
      </c>
      <c r="Y6" s="19">
        <f>IF('Daily Closes'!Y6="","",'Daily Closes'!Y6/$E6-1)</f>
        <v/>
      </c>
      <c r="Z6" s="19">
        <f>IF('Daily Closes'!Z6="","",'Daily Closes'!Z6/$E6-1)</f>
        <v/>
      </c>
      <c r="AA6" s="19">
        <f>IF('Daily Closes'!AA6="","",'Daily Closes'!AA6/$E6-1)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19">
        <f>IF('Daily Closes'!G7="","",'Daily Closes'!G7/$E7-1)</f>
        <v/>
      </c>
      <c r="H7" s="19">
        <f>IF('Daily Closes'!H7="","",'Daily Closes'!H7/$E7-1)</f>
        <v/>
      </c>
      <c r="I7" s="19">
        <f>IF('Daily Closes'!I7="","",'Daily Closes'!I7/$E7-1)</f>
        <v/>
      </c>
      <c r="J7" s="19">
        <f>IF('Daily Closes'!J7="","",'Daily Closes'!J7/$E7-1)</f>
        <v/>
      </c>
      <c r="K7" s="19">
        <f>IF('Daily Closes'!K7="","",'Daily Closes'!K7/$E7-1)</f>
        <v/>
      </c>
      <c r="L7" s="19">
        <f>IF('Daily Closes'!L7="","",'Daily Closes'!L7/$E7-1)</f>
        <v/>
      </c>
      <c r="M7" s="19">
        <f>IF('Daily Closes'!M7="","",'Daily Closes'!M7/$E7-1)</f>
        <v/>
      </c>
      <c r="N7" s="19">
        <f>IF('Daily Closes'!N7="","",'Daily Closes'!N7/$E7-1)</f>
        <v/>
      </c>
      <c r="O7" s="19">
        <f>IF('Daily Closes'!O7="","",'Daily Closes'!O7/$E7-1)</f>
        <v/>
      </c>
      <c r="P7" s="19">
        <f>IF('Daily Closes'!P7="","",'Daily Closes'!P7/$E7-1)</f>
        <v/>
      </c>
      <c r="Q7" s="19">
        <f>IF('Daily Closes'!Q7="","",'Daily Closes'!Q7/$E7-1)</f>
        <v/>
      </c>
      <c r="R7" s="19">
        <f>IF('Daily Closes'!R7="","",'Daily Closes'!R7/$E7-1)</f>
        <v/>
      </c>
      <c r="S7" s="19">
        <f>IF('Daily Closes'!S7="","",'Daily Closes'!S7/$E7-1)</f>
        <v/>
      </c>
      <c r="T7" s="19">
        <f>IF('Daily Closes'!T7="","",'Daily Closes'!T7/$E7-1)</f>
        <v/>
      </c>
      <c r="U7" s="19">
        <f>IF('Daily Closes'!U7="","",'Daily Closes'!U7/$E7-1)</f>
        <v/>
      </c>
      <c r="V7" s="19">
        <f>IF('Daily Closes'!V7="","",'Daily Closes'!V7/$E7-1)</f>
        <v/>
      </c>
      <c r="W7" s="19">
        <f>IF('Daily Closes'!W7="","",'Daily Closes'!W7/$E7-1)</f>
        <v/>
      </c>
      <c r="X7" s="19">
        <f>IF('Daily Closes'!X7="","",'Daily Closes'!X7/$E7-1)</f>
        <v/>
      </c>
      <c r="Y7" s="19">
        <f>IF('Daily Closes'!Y7="","",'Daily Closes'!Y7/$E7-1)</f>
        <v/>
      </c>
      <c r="Z7" s="19">
        <f>IF('Daily Closes'!Z7="","",'Daily Closes'!Z7/$E7-1)</f>
        <v/>
      </c>
      <c r="AA7" s="19">
        <f>IF('Daily Closes'!AA7="","",'Daily Closes'!AA7/$E7-1)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19">
        <f>IF('Daily Closes'!G8="","",'Daily Closes'!G8/$E8-1)</f>
        <v/>
      </c>
      <c r="H8" s="19">
        <f>IF('Daily Closes'!H8="","",'Daily Closes'!H8/$E8-1)</f>
        <v/>
      </c>
      <c r="I8" s="19">
        <f>IF('Daily Closes'!I8="","",'Daily Closes'!I8/$E8-1)</f>
        <v/>
      </c>
      <c r="J8" s="19">
        <f>IF('Daily Closes'!J8="","",'Daily Closes'!J8/$E8-1)</f>
        <v/>
      </c>
      <c r="K8" s="19">
        <f>IF('Daily Closes'!K8="","",'Daily Closes'!K8/$E8-1)</f>
        <v/>
      </c>
      <c r="L8" s="19">
        <f>IF('Daily Closes'!L8="","",'Daily Closes'!L8/$E8-1)</f>
        <v/>
      </c>
      <c r="M8" s="19">
        <f>IF('Daily Closes'!M8="","",'Daily Closes'!M8/$E8-1)</f>
        <v/>
      </c>
      <c r="N8" s="19">
        <f>IF('Daily Closes'!N8="","",'Daily Closes'!N8/$E8-1)</f>
        <v/>
      </c>
      <c r="O8" s="19">
        <f>IF('Daily Closes'!O8="","",'Daily Closes'!O8/$E8-1)</f>
        <v/>
      </c>
      <c r="P8" s="19">
        <f>IF('Daily Closes'!P8="","",'Daily Closes'!P8/$E8-1)</f>
        <v/>
      </c>
      <c r="Q8" s="19">
        <f>IF('Daily Closes'!Q8="","",'Daily Closes'!Q8/$E8-1)</f>
        <v/>
      </c>
      <c r="R8" s="19">
        <f>IF('Daily Closes'!R8="","",'Daily Closes'!R8/$E8-1)</f>
        <v/>
      </c>
      <c r="S8" s="19">
        <f>IF('Daily Closes'!S8="","",'Daily Closes'!S8/$E8-1)</f>
        <v/>
      </c>
      <c r="T8" s="19">
        <f>IF('Daily Closes'!T8="","",'Daily Closes'!T8/$E8-1)</f>
        <v/>
      </c>
      <c r="U8" s="19">
        <f>IF('Daily Closes'!U8="","",'Daily Closes'!U8/$E8-1)</f>
        <v/>
      </c>
      <c r="V8" s="19">
        <f>IF('Daily Closes'!V8="","",'Daily Closes'!V8/$E8-1)</f>
        <v/>
      </c>
      <c r="W8" s="19">
        <f>IF('Daily Closes'!W8="","",'Daily Closes'!W8/$E8-1)</f>
        <v/>
      </c>
      <c r="X8" s="19">
        <f>IF('Daily Closes'!X8="","",'Daily Closes'!X8/$E8-1)</f>
        <v/>
      </c>
      <c r="Y8" s="19">
        <f>IF('Daily Closes'!Y8="","",'Daily Closes'!Y8/$E8-1)</f>
        <v/>
      </c>
      <c r="Z8" s="19">
        <f>IF('Daily Closes'!Z8="","",'Daily Closes'!Z8/$E8-1)</f>
        <v/>
      </c>
      <c r="AA8" s="19">
        <f>IF('Daily Closes'!AA8="","",'Daily Closes'!AA8/$E8-1)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19">
        <f>IF('Daily Closes'!G9="","",'Daily Closes'!G9/$E9-1)</f>
        <v/>
      </c>
      <c r="H9" s="19">
        <f>IF('Daily Closes'!H9="","",'Daily Closes'!H9/$E9-1)</f>
        <v/>
      </c>
      <c r="I9" s="19">
        <f>IF('Daily Closes'!I9="","",'Daily Closes'!I9/$E9-1)</f>
        <v/>
      </c>
      <c r="J9" s="19">
        <f>IF('Daily Closes'!J9="","",'Daily Closes'!J9/$E9-1)</f>
        <v/>
      </c>
      <c r="K9" s="19">
        <f>IF('Daily Closes'!K9="","",'Daily Closes'!K9/$E9-1)</f>
        <v/>
      </c>
      <c r="L9" s="19">
        <f>IF('Daily Closes'!L9="","",'Daily Closes'!L9/$E9-1)</f>
        <v/>
      </c>
      <c r="M9" s="19">
        <f>IF('Daily Closes'!M9="","",'Daily Closes'!M9/$E9-1)</f>
        <v/>
      </c>
      <c r="N9" s="19">
        <f>IF('Daily Closes'!N9="","",'Daily Closes'!N9/$E9-1)</f>
        <v/>
      </c>
      <c r="O9" s="19">
        <f>IF('Daily Closes'!O9="","",'Daily Closes'!O9/$E9-1)</f>
        <v/>
      </c>
      <c r="P9" s="19">
        <f>IF('Daily Closes'!P9="","",'Daily Closes'!P9/$E9-1)</f>
        <v/>
      </c>
      <c r="Q9" s="19">
        <f>IF('Daily Closes'!Q9="","",'Daily Closes'!Q9/$E9-1)</f>
        <v/>
      </c>
      <c r="R9" s="19">
        <f>IF('Daily Closes'!R9="","",'Daily Closes'!R9/$E9-1)</f>
        <v/>
      </c>
      <c r="S9" s="19">
        <f>IF('Daily Closes'!S9="","",'Daily Closes'!S9/$E9-1)</f>
        <v/>
      </c>
      <c r="T9" s="19">
        <f>IF('Daily Closes'!T9="","",'Daily Closes'!T9/$E9-1)</f>
        <v/>
      </c>
      <c r="U9" s="19">
        <f>IF('Daily Closes'!U9="","",'Daily Closes'!U9/$E9-1)</f>
        <v/>
      </c>
      <c r="V9" s="19">
        <f>IF('Daily Closes'!V9="","",'Daily Closes'!V9/$E9-1)</f>
        <v/>
      </c>
      <c r="W9" s="19">
        <f>IF('Daily Closes'!W9="","",'Daily Closes'!W9/$E9-1)</f>
        <v/>
      </c>
      <c r="X9" s="19">
        <f>IF('Daily Closes'!X9="","",'Daily Closes'!X9/$E9-1)</f>
        <v/>
      </c>
      <c r="Y9" s="19">
        <f>IF('Daily Closes'!Y9="","",'Daily Closes'!Y9/$E9-1)</f>
        <v/>
      </c>
      <c r="Z9" s="19">
        <f>IF('Daily Closes'!Z9="","",'Daily Closes'!Z9/$E9-1)</f>
        <v/>
      </c>
      <c r="AA9" s="19">
        <f>IF('Daily Closes'!AA9="","",'Daily Closes'!AA9/$E9-1)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19">
        <f>IF('Daily Closes'!G10="","",'Daily Closes'!G10/$E10-1)</f>
        <v/>
      </c>
      <c r="H10" s="19">
        <f>IF('Daily Closes'!H10="","",'Daily Closes'!H10/$E10-1)</f>
        <v/>
      </c>
      <c r="I10" s="19">
        <f>IF('Daily Closes'!I10="","",'Daily Closes'!I10/$E10-1)</f>
        <v/>
      </c>
      <c r="J10" s="19">
        <f>IF('Daily Closes'!J10="","",'Daily Closes'!J10/$E10-1)</f>
        <v/>
      </c>
      <c r="K10" s="19">
        <f>IF('Daily Closes'!K10="","",'Daily Closes'!K10/$E10-1)</f>
        <v/>
      </c>
      <c r="L10" s="19">
        <f>IF('Daily Closes'!L10="","",'Daily Closes'!L10/$E10-1)</f>
        <v/>
      </c>
      <c r="M10" s="19">
        <f>IF('Daily Closes'!M10="","",'Daily Closes'!M10/$E10-1)</f>
        <v/>
      </c>
      <c r="N10" s="19">
        <f>IF('Daily Closes'!N10="","",'Daily Closes'!N10/$E10-1)</f>
        <v/>
      </c>
      <c r="O10" s="19">
        <f>IF('Daily Closes'!O10="","",'Daily Closes'!O10/$E10-1)</f>
        <v/>
      </c>
      <c r="P10" s="19">
        <f>IF('Daily Closes'!P10="","",'Daily Closes'!P10/$E10-1)</f>
        <v/>
      </c>
      <c r="Q10" s="19">
        <f>IF('Daily Closes'!Q10="","",'Daily Closes'!Q10/$E10-1)</f>
        <v/>
      </c>
      <c r="R10" s="19">
        <f>IF('Daily Closes'!R10="","",'Daily Closes'!R10/$E10-1)</f>
        <v/>
      </c>
      <c r="S10" s="19">
        <f>IF('Daily Closes'!S10="","",'Daily Closes'!S10/$E10-1)</f>
        <v/>
      </c>
      <c r="T10" s="19">
        <f>IF('Daily Closes'!T10="","",'Daily Closes'!T10/$E10-1)</f>
        <v/>
      </c>
      <c r="U10" s="19">
        <f>IF('Daily Closes'!U10="","",'Daily Closes'!U10/$E10-1)</f>
        <v/>
      </c>
      <c r="V10" s="19">
        <f>IF('Daily Closes'!V10="","",'Daily Closes'!V10/$E10-1)</f>
        <v/>
      </c>
      <c r="W10" s="19">
        <f>IF('Daily Closes'!W10="","",'Daily Closes'!W10/$E10-1)</f>
        <v/>
      </c>
      <c r="X10" s="19">
        <f>IF('Daily Closes'!X10="","",'Daily Closes'!X10/$E10-1)</f>
        <v/>
      </c>
      <c r="Y10" s="19">
        <f>IF('Daily Closes'!Y10="","",'Daily Closes'!Y10/$E10-1)</f>
        <v/>
      </c>
      <c r="Z10" s="19">
        <f>IF('Daily Closes'!Z10="","",'Daily Closes'!Z10/$E10-1)</f>
        <v/>
      </c>
      <c r="AA10" s="19">
        <f>IF('Daily Closes'!AA10="","",'Daily Closes'!AA10/$E10-1)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19">
        <f>IF('Daily Closes'!G11="","",'Daily Closes'!G11/$E11-1)</f>
        <v/>
      </c>
      <c r="H11" s="19">
        <f>IF('Daily Closes'!H11="","",'Daily Closes'!H11/$E11-1)</f>
        <v/>
      </c>
      <c r="I11" s="19">
        <f>IF('Daily Closes'!I11="","",'Daily Closes'!I11/$E11-1)</f>
        <v/>
      </c>
      <c r="J11" s="19">
        <f>IF('Daily Closes'!J11="","",'Daily Closes'!J11/$E11-1)</f>
        <v/>
      </c>
      <c r="K11" s="19">
        <f>IF('Daily Closes'!K11="","",'Daily Closes'!K11/$E11-1)</f>
        <v/>
      </c>
      <c r="L11" s="19">
        <f>IF('Daily Closes'!L11="","",'Daily Closes'!L11/$E11-1)</f>
        <v/>
      </c>
      <c r="M11" s="19">
        <f>IF('Daily Closes'!M11="","",'Daily Closes'!M11/$E11-1)</f>
        <v/>
      </c>
      <c r="N11" s="19">
        <f>IF('Daily Closes'!N11="","",'Daily Closes'!N11/$E11-1)</f>
        <v/>
      </c>
      <c r="O11" s="19">
        <f>IF('Daily Closes'!O11="","",'Daily Closes'!O11/$E11-1)</f>
        <v/>
      </c>
      <c r="P11" s="19">
        <f>IF('Daily Closes'!P11="","",'Daily Closes'!P11/$E11-1)</f>
        <v/>
      </c>
      <c r="Q11" s="19">
        <f>IF('Daily Closes'!Q11="","",'Daily Closes'!Q11/$E11-1)</f>
        <v/>
      </c>
      <c r="R11" s="19">
        <f>IF('Daily Closes'!R11="","",'Daily Closes'!R11/$E11-1)</f>
        <v/>
      </c>
      <c r="S11" s="19">
        <f>IF('Daily Closes'!S11="","",'Daily Closes'!S11/$E11-1)</f>
        <v/>
      </c>
      <c r="T11" s="19">
        <f>IF('Daily Closes'!T11="","",'Daily Closes'!T11/$E11-1)</f>
        <v/>
      </c>
      <c r="U11" s="19">
        <f>IF('Daily Closes'!U11="","",'Daily Closes'!U11/$E11-1)</f>
        <v/>
      </c>
      <c r="V11" s="19">
        <f>IF('Daily Closes'!V11="","",'Daily Closes'!V11/$E11-1)</f>
        <v/>
      </c>
      <c r="W11" s="19">
        <f>IF('Daily Closes'!W11="","",'Daily Closes'!W11/$E11-1)</f>
        <v/>
      </c>
      <c r="X11" s="19">
        <f>IF('Daily Closes'!X11="","",'Daily Closes'!X11/$E11-1)</f>
        <v/>
      </c>
      <c r="Y11" s="19">
        <f>IF('Daily Closes'!Y11="","",'Daily Closes'!Y11/$E11-1)</f>
        <v/>
      </c>
      <c r="Z11" s="19">
        <f>IF('Daily Closes'!Z11="","",'Daily Closes'!Z11/$E11-1)</f>
        <v/>
      </c>
      <c r="AA11" s="19">
        <f>IF('Daily Closes'!AA11="","",'Daily Closes'!AA11/$E11-1)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19">
        <f>IF('Daily Closes'!G12="","",'Daily Closes'!G12/$E12-1)</f>
        <v/>
      </c>
      <c r="H12" s="19">
        <f>IF('Daily Closes'!H12="","",'Daily Closes'!H12/$E12-1)</f>
        <v/>
      </c>
      <c r="I12" s="19">
        <f>IF('Daily Closes'!I12="","",'Daily Closes'!I12/$E12-1)</f>
        <v/>
      </c>
      <c r="J12" s="19">
        <f>IF('Daily Closes'!J12="","",'Daily Closes'!J12/$E12-1)</f>
        <v/>
      </c>
      <c r="K12" s="19">
        <f>IF('Daily Closes'!K12="","",'Daily Closes'!K12/$E12-1)</f>
        <v/>
      </c>
      <c r="L12" s="19">
        <f>IF('Daily Closes'!L12="","",'Daily Closes'!L12/$E12-1)</f>
        <v/>
      </c>
      <c r="M12" s="19">
        <f>IF('Daily Closes'!M12="","",'Daily Closes'!M12/$E12-1)</f>
        <v/>
      </c>
      <c r="N12" s="19">
        <f>IF('Daily Closes'!N12="","",'Daily Closes'!N12/$E12-1)</f>
        <v/>
      </c>
      <c r="O12" s="19">
        <f>IF('Daily Closes'!O12="","",'Daily Closes'!O12/$E12-1)</f>
        <v/>
      </c>
      <c r="P12" s="19">
        <f>IF('Daily Closes'!P12="","",'Daily Closes'!P12/$E12-1)</f>
        <v/>
      </c>
      <c r="Q12" s="19">
        <f>IF('Daily Closes'!Q12="","",'Daily Closes'!Q12/$E12-1)</f>
        <v/>
      </c>
      <c r="R12" s="19">
        <f>IF('Daily Closes'!R12="","",'Daily Closes'!R12/$E12-1)</f>
        <v/>
      </c>
      <c r="S12" s="19">
        <f>IF('Daily Closes'!S12="","",'Daily Closes'!S12/$E12-1)</f>
        <v/>
      </c>
      <c r="T12" s="19">
        <f>IF('Daily Closes'!T12="","",'Daily Closes'!T12/$E12-1)</f>
        <v/>
      </c>
      <c r="U12" s="19">
        <f>IF('Daily Closes'!U12="","",'Daily Closes'!U12/$E12-1)</f>
        <v/>
      </c>
      <c r="V12" s="19">
        <f>IF('Daily Closes'!V12="","",'Daily Closes'!V12/$E12-1)</f>
        <v/>
      </c>
      <c r="W12" s="19">
        <f>IF('Daily Closes'!W12="","",'Daily Closes'!W12/$E12-1)</f>
        <v/>
      </c>
      <c r="X12" s="19">
        <f>IF('Daily Closes'!X12="","",'Daily Closes'!X12/$E12-1)</f>
        <v/>
      </c>
      <c r="Y12" s="19">
        <f>IF('Daily Closes'!Y12="","",'Daily Closes'!Y12/$E12-1)</f>
        <v/>
      </c>
      <c r="Z12" s="19">
        <f>IF('Daily Closes'!Z12="","",'Daily Closes'!Z12/$E12-1)</f>
        <v/>
      </c>
      <c r="AA12" s="19">
        <f>IF('Daily Closes'!AA12="","",'Daily Closes'!AA12/$E12-1)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19">
        <f>IF('Daily Closes'!G13="","",'Daily Closes'!G13/$E13-1)</f>
        <v/>
      </c>
      <c r="H13" s="19">
        <f>IF('Daily Closes'!H13="","",'Daily Closes'!H13/$E13-1)</f>
        <v/>
      </c>
      <c r="I13" s="19">
        <f>IF('Daily Closes'!I13="","",'Daily Closes'!I13/$E13-1)</f>
        <v/>
      </c>
      <c r="J13" s="19">
        <f>IF('Daily Closes'!J13="","",'Daily Closes'!J13/$E13-1)</f>
        <v/>
      </c>
      <c r="K13" s="19">
        <f>IF('Daily Closes'!K13="","",'Daily Closes'!K13/$E13-1)</f>
        <v/>
      </c>
      <c r="L13" s="19">
        <f>IF('Daily Closes'!L13="","",'Daily Closes'!L13/$E13-1)</f>
        <v/>
      </c>
      <c r="M13" s="19">
        <f>IF('Daily Closes'!M13="","",'Daily Closes'!M13/$E13-1)</f>
        <v/>
      </c>
      <c r="N13" s="19">
        <f>IF('Daily Closes'!N13="","",'Daily Closes'!N13/$E13-1)</f>
        <v/>
      </c>
      <c r="O13" s="19">
        <f>IF('Daily Closes'!O13="","",'Daily Closes'!O13/$E13-1)</f>
        <v/>
      </c>
      <c r="P13" s="19">
        <f>IF('Daily Closes'!P13="","",'Daily Closes'!P13/$E13-1)</f>
        <v/>
      </c>
      <c r="Q13" s="19">
        <f>IF('Daily Closes'!Q13="","",'Daily Closes'!Q13/$E13-1)</f>
        <v/>
      </c>
      <c r="R13" s="19">
        <f>IF('Daily Closes'!R13="","",'Daily Closes'!R13/$E13-1)</f>
        <v/>
      </c>
      <c r="S13" s="19">
        <f>IF('Daily Closes'!S13="","",'Daily Closes'!S13/$E13-1)</f>
        <v/>
      </c>
      <c r="T13" s="19">
        <f>IF('Daily Closes'!T13="","",'Daily Closes'!T13/$E13-1)</f>
        <v/>
      </c>
      <c r="U13" s="19">
        <f>IF('Daily Closes'!U13="","",'Daily Closes'!U13/$E13-1)</f>
        <v/>
      </c>
      <c r="V13" s="19">
        <f>IF('Daily Closes'!V13="","",'Daily Closes'!V13/$E13-1)</f>
        <v/>
      </c>
      <c r="W13" s="19">
        <f>IF('Daily Closes'!W13="","",'Daily Closes'!W13/$E13-1)</f>
        <v/>
      </c>
      <c r="X13" s="19">
        <f>IF('Daily Closes'!X13="","",'Daily Closes'!X13/$E13-1)</f>
        <v/>
      </c>
      <c r="Y13" s="19">
        <f>IF('Daily Closes'!Y13="","",'Daily Closes'!Y13/$E13-1)</f>
        <v/>
      </c>
      <c r="Z13" s="19">
        <f>IF('Daily Closes'!Z13="","",'Daily Closes'!Z13/$E13-1)</f>
        <v/>
      </c>
      <c r="AA13" s="19">
        <f>IF('Daily Closes'!AA13="","",'Daily Closes'!AA13/$E13-1)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19">
        <f>IF('Daily Closes'!G14="","",'Daily Closes'!G14/$E14-1)</f>
        <v/>
      </c>
      <c r="H14" s="19">
        <f>IF('Daily Closes'!H14="","",'Daily Closes'!H14/$E14-1)</f>
        <v/>
      </c>
      <c r="I14" s="19">
        <f>IF('Daily Closes'!I14="","",'Daily Closes'!I14/$E14-1)</f>
        <v/>
      </c>
      <c r="J14" s="19">
        <f>IF('Daily Closes'!J14="","",'Daily Closes'!J14/$E14-1)</f>
        <v/>
      </c>
      <c r="K14" s="19">
        <f>IF('Daily Closes'!K14="","",'Daily Closes'!K14/$E14-1)</f>
        <v/>
      </c>
      <c r="L14" s="19">
        <f>IF('Daily Closes'!L14="","",'Daily Closes'!L14/$E14-1)</f>
        <v/>
      </c>
      <c r="M14" s="19">
        <f>IF('Daily Closes'!M14="","",'Daily Closes'!M14/$E14-1)</f>
        <v/>
      </c>
      <c r="N14" s="19">
        <f>IF('Daily Closes'!N14="","",'Daily Closes'!N14/$E14-1)</f>
        <v/>
      </c>
      <c r="O14" s="19">
        <f>IF('Daily Closes'!O14="","",'Daily Closes'!O14/$E14-1)</f>
        <v/>
      </c>
      <c r="P14" s="19">
        <f>IF('Daily Closes'!P14="","",'Daily Closes'!P14/$E14-1)</f>
        <v/>
      </c>
      <c r="Q14" s="19">
        <f>IF('Daily Closes'!Q14="","",'Daily Closes'!Q14/$E14-1)</f>
        <v/>
      </c>
      <c r="R14" s="19">
        <f>IF('Daily Closes'!R14="","",'Daily Closes'!R14/$E14-1)</f>
        <v/>
      </c>
      <c r="S14" s="19">
        <f>IF('Daily Closes'!S14="","",'Daily Closes'!S14/$E14-1)</f>
        <v/>
      </c>
      <c r="T14" s="19">
        <f>IF('Daily Closes'!T14="","",'Daily Closes'!T14/$E14-1)</f>
        <v/>
      </c>
      <c r="U14" s="19">
        <f>IF('Daily Closes'!U14="","",'Daily Closes'!U14/$E14-1)</f>
        <v/>
      </c>
      <c r="V14" s="19">
        <f>IF('Daily Closes'!V14="","",'Daily Closes'!V14/$E14-1)</f>
        <v/>
      </c>
      <c r="W14" s="19">
        <f>IF('Daily Closes'!W14="","",'Daily Closes'!W14/$E14-1)</f>
        <v/>
      </c>
      <c r="X14" s="19">
        <f>IF('Daily Closes'!X14="","",'Daily Closes'!X14/$E14-1)</f>
        <v/>
      </c>
      <c r="Y14" s="19">
        <f>IF('Daily Closes'!Y14="","",'Daily Closes'!Y14/$E14-1)</f>
        <v/>
      </c>
      <c r="Z14" s="19">
        <f>IF('Daily Closes'!Z14="","",'Daily Closes'!Z14/$E14-1)</f>
        <v/>
      </c>
      <c r="AA14" s="19">
        <f>IF('Daily Closes'!AA14="","",'Daily Closes'!AA14/$E14-1)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19">
        <f>IF('Daily Closes'!G15="","",'Daily Closes'!G15/$E15-1)</f>
        <v/>
      </c>
      <c r="H15" s="19">
        <f>IF('Daily Closes'!H15="","",'Daily Closes'!H15/$E15-1)</f>
        <v/>
      </c>
      <c r="I15" s="19">
        <f>IF('Daily Closes'!I15="","",'Daily Closes'!I15/$E15-1)</f>
        <v/>
      </c>
      <c r="J15" s="19">
        <f>IF('Daily Closes'!J15="","",'Daily Closes'!J15/$E15-1)</f>
        <v/>
      </c>
      <c r="K15" s="19">
        <f>IF('Daily Closes'!K15="","",'Daily Closes'!K15/$E15-1)</f>
        <v/>
      </c>
      <c r="L15" s="19">
        <f>IF('Daily Closes'!L15="","",'Daily Closes'!L15/$E15-1)</f>
        <v/>
      </c>
      <c r="M15" s="19">
        <f>IF('Daily Closes'!M15="","",'Daily Closes'!M15/$E15-1)</f>
        <v/>
      </c>
      <c r="N15" s="19">
        <f>IF('Daily Closes'!N15="","",'Daily Closes'!N15/$E15-1)</f>
        <v/>
      </c>
      <c r="O15" s="19">
        <f>IF('Daily Closes'!O15="","",'Daily Closes'!O15/$E15-1)</f>
        <v/>
      </c>
      <c r="P15" s="19">
        <f>IF('Daily Closes'!P15="","",'Daily Closes'!P15/$E15-1)</f>
        <v/>
      </c>
      <c r="Q15" s="19">
        <f>IF('Daily Closes'!Q15="","",'Daily Closes'!Q15/$E15-1)</f>
        <v/>
      </c>
      <c r="R15" s="19">
        <f>IF('Daily Closes'!R15="","",'Daily Closes'!R15/$E15-1)</f>
        <v/>
      </c>
      <c r="S15" s="19">
        <f>IF('Daily Closes'!S15="","",'Daily Closes'!S15/$E15-1)</f>
        <v/>
      </c>
      <c r="T15" s="19">
        <f>IF('Daily Closes'!T15="","",'Daily Closes'!T15/$E15-1)</f>
        <v/>
      </c>
      <c r="U15" s="19">
        <f>IF('Daily Closes'!U15="","",'Daily Closes'!U15/$E15-1)</f>
        <v/>
      </c>
      <c r="V15" s="19">
        <f>IF('Daily Closes'!V15="","",'Daily Closes'!V15/$E15-1)</f>
        <v/>
      </c>
      <c r="W15" s="19">
        <f>IF('Daily Closes'!W15="","",'Daily Closes'!W15/$E15-1)</f>
        <v/>
      </c>
      <c r="X15" s="19">
        <f>IF('Daily Closes'!X15="","",'Daily Closes'!X15/$E15-1)</f>
        <v/>
      </c>
      <c r="Y15" s="19">
        <f>IF('Daily Closes'!Y15="","",'Daily Closes'!Y15/$E15-1)</f>
        <v/>
      </c>
      <c r="Z15" s="19">
        <f>IF('Daily Closes'!Z15="","",'Daily Closes'!Z15/$E15-1)</f>
        <v/>
      </c>
      <c r="AA15" s="19">
        <f>IF('Daily Closes'!AA15="","",'Daily Closes'!AA15/$E15-1)</f>
        <v/>
      </c>
    </row>
    <row r="16">
      <c r="B16" s="16" t="inlineStr">
        <is>
          <t>PORTFOLIO</t>
        </is>
      </c>
      <c r="G16" s="49">
        <f>IF('Daily Closes'!G16="","",'Daily Closes'!G16/'Daily Closes'!$E$16-1)</f>
        <v/>
      </c>
      <c r="H16" s="49">
        <f>IF('Daily Closes'!H16="","",'Daily Closes'!H16/'Daily Closes'!$E$16-1)</f>
        <v/>
      </c>
      <c r="I16" s="49">
        <f>IF('Daily Closes'!I16="","",'Daily Closes'!I16/'Daily Closes'!$E$16-1)</f>
        <v/>
      </c>
      <c r="J16" s="49">
        <f>IF('Daily Closes'!J16="","",'Daily Closes'!J16/'Daily Closes'!$E$16-1)</f>
        <v/>
      </c>
      <c r="K16" s="49">
        <f>IF('Daily Closes'!K16="","",'Daily Closes'!K16/'Daily Closes'!$E$16-1)</f>
        <v/>
      </c>
      <c r="L16" s="49">
        <f>IF('Daily Closes'!L16="","",'Daily Closes'!L16/'Daily Closes'!$E$16-1)</f>
        <v/>
      </c>
      <c r="M16" s="49">
        <f>IF('Daily Closes'!M16="","",'Daily Closes'!M16/'Daily Closes'!$E$16-1)</f>
        <v/>
      </c>
      <c r="N16" s="49">
        <f>IF('Daily Closes'!N16="","",'Daily Closes'!N16/'Daily Closes'!$E$16-1)</f>
        <v/>
      </c>
      <c r="O16" s="49">
        <f>IF('Daily Closes'!O16="","",'Daily Closes'!O16/'Daily Closes'!$E$16-1)</f>
        <v/>
      </c>
      <c r="P16" s="49">
        <f>IF('Daily Closes'!P16="","",'Daily Closes'!P16/'Daily Closes'!$E$16-1)</f>
        <v/>
      </c>
      <c r="Q16" s="49">
        <f>IF('Daily Closes'!Q16="","",'Daily Closes'!Q16/'Daily Closes'!$E$16-1)</f>
        <v/>
      </c>
      <c r="R16" s="49">
        <f>IF('Daily Closes'!R16="","",'Daily Closes'!R16/'Daily Closes'!$E$16-1)</f>
        <v/>
      </c>
      <c r="S16" s="49">
        <f>IF('Daily Closes'!S16="","",'Daily Closes'!S16/'Daily Closes'!$E$16-1)</f>
        <v/>
      </c>
      <c r="T16" s="49">
        <f>IF('Daily Closes'!T16="","",'Daily Closes'!T16/'Daily Closes'!$E$16-1)</f>
        <v/>
      </c>
      <c r="U16" s="49">
        <f>IF('Daily Closes'!U16="","",'Daily Closes'!U16/'Daily Closes'!$E$16-1)</f>
        <v/>
      </c>
      <c r="V16" s="49">
        <f>IF('Daily Closes'!V16="","",'Daily Closes'!V16/'Daily Closes'!$E$16-1)</f>
        <v/>
      </c>
      <c r="W16" s="49">
        <f>IF('Daily Closes'!W16="","",'Daily Closes'!W16/'Daily Closes'!$E$16-1)</f>
        <v/>
      </c>
      <c r="X16" s="49">
        <f>IF('Daily Closes'!X16="","",'Daily Closes'!X16/'Daily Closes'!$E$16-1)</f>
        <v/>
      </c>
      <c r="Y16" s="49">
        <f>IF('Daily Closes'!Y16="","",'Daily Closes'!Y16/'Daily Closes'!$E$16-1)</f>
        <v/>
      </c>
      <c r="Z16" s="49">
        <f>IF('Daily Closes'!Z16="","",'Daily Closes'!Z16/'Daily Closes'!$E$16-1)</f>
        <v/>
      </c>
      <c r="AA16" s="49">
        <f>IF('Daily Closes'!AA16="","",'Daily Closes'!AA16/'Daily Closes'!$E$16-1)</f>
        <v/>
      </c>
    </row>
  </sheetData>
  <mergeCells count="2">
    <mergeCell ref="A1:AA1"/>
    <mergeCell ref="A2:AA2"/>
  </mergeCells>
  <conditionalFormatting sqref="G6:AA16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C9860A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</cols>
  <sheetData>
    <row r="1" ht="30" customHeight="1">
      <c r="A1" s="1" t="inlineStr">
        <is>
          <t>Mark-to-Market P&amp;L (₹)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Qty × (close − entry). Gross of costs.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30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20">
        <f>IF('Daily Closes'!G6="","",$D6*('Daily Closes'!G6-$E6))</f>
        <v/>
      </c>
      <c r="H6" s="20">
        <f>IF('Daily Closes'!H6="","",$D6*('Daily Closes'!H6-$E6))</f>
        <v/>
      </c>
      <c r="I6" s="20">
        <f>IF('Daily Closes'!I6="","",$D6*('Daily Closes'!I6-$E6))</f>
        <v/>
      </c>
      <c r="J6" s="20">
        <f>IF('Daily Closes'!J6="","",$D6*('Daily Closes'!J6-$E6))</f>
        <v/>
      </c>
      <c r="K6" s="20">
        <f>IF('Daily Closes'!K6="","",$D6*('Daily Closes'!K6-$E6))</f>
        <v/>
      </c>
      <c r="L6" s="20">
        <f>IF('Daily Closes'!L6="","",$D6*('Daily Closes'!L6-$E6))</f>
        <v/>
      </c>
      <c r="M6" s="20">
        <f>IF('Daily Closes'!M6="","",$D6*('Daily Closes'!M6-$E6))</f>
        <v/>
      </c>
      <c r="N6" s="20">
        <f>IF('Daily Closes'!N6="","",$D6*('Daily Closes'!N6-$E6))</f>
        <v/>
      </c>
      <c r="O6" s="20">
        <f>IF('Daily Closes'!O6="","",$D6*('Daily Closes'!O6-$E6))</f>
        <v/>
      </c>
      <c r="P6" s="20">
        <f>IF('Daily Closes'!P6="","",$D6*('Daily Closes'!P6-$E6))</f>
        <v/>
      </c>
      <c r="Q6" s="20">
        <f>IF('Daily Closes'!Q6="","",$D6*('Daily Closes'!Q6-$E6))</f>
        <v/>
      </c>
      <c r="R6" s="20">
        <f>IF('Daily Closes'!R6="","",$D6*('Daily Closes'!R6-$E6))</f>
        <v/>
      </c>
      <c r="S6" s="20">
        <f>IF('Daily Closes'!S6="","",$D6*('Daily Closes'!S6-$E6))</f>
        <v/>
      </c>
      <c r="T6" s="20">
        <f>IF('Daily Closes'!T6="","",$D6*('Daily Closes'!T6-$E6))</f>
        <v/>
      </c>
      <c r="U6" s="20">
        <f>IF('Daily Closes'!U6="","",$D6*('Daily Closes'!U6-$E6))</f>
        <v/>
      </c>
      <c r="V6" s="20">
        <f>IF('Daily Closes'!V6="","",$D6*('Daily Closes'!V6-$E6))</f>
        <v/>
      </c>
      <c r="W6" s="20">
        <f>IF('Daily Closes'!W6="","",$D6*('Daily Closes'!W6-$E6))</f>
        <v/>
      </c>
      <c r="X6" s="20">
        <f>IF('Daily Closes'!X6="","",$D6*('Daily Closes'!X6-$E6))</f>
        <v/>
      </c>
      <c r="Y6" s="20">
        <f>IF('Daily Closes'!Y6="","",$D6*('Daily Closes'!Y6-$E6))</f>
        <v/>
      </c>
      <c r="Z6" s="20">
        <f>IF('Daily Closes'!Z6="","",$D6*('Daily Closes'!Z6-$E6))</f>
        <v/>
      </c>
      <c r="AA6" s="20">
        <f>IF('Daily Closes'!AA6="","",$D6*('Daily Closes'!AA6-$E6))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20">
        <f>IF('Daily Closes'!G7="","",$D7*('Daily Closes'!G7-$E7))</f>
        <v/>
      </c>
      <c r="H7" s="20">
        <f>IF('Daily Closes'!H7="","",$D7*('Daily Closes'!H7-$E7))</f>
        <v/>
      </c>
      <c r="I7" s="20">
        <f>IF('Daily Closes'!I7="","",$D7*('Daily Closes'!I7-$E7))</f>
        <v/>
      </c>
      <c r="J7" s="20">
        <f>IF('Daily Closes'!J7="","",$D7*('Daily Closes'!J7-$E7))</f>
        <v/>
      </c>
      <c r="K7" s="20">
        <f>IF('Daily Closes'!K7="","",$D7*('Daily Closes'!K7-$E7))</f>
        <v/>
      </c>
      <c r="L7" s="20">
        <f>IF('Daily Closes'!L7="","",$D7*('Daily Closes'!L7-$E7))</f>
        <v/>
      </c>
      <c r="M7" s="20">
        <f>IF('Daily Closes'!M7="","",$D7*('Daily Closes'!M7-$E7))</f>
        <v/>
      </c>
      <c r="N7" s="20">
        <f>IF('Daily Closes'!N7="","",$D7*('Daily Closes'!N7-$E7))</f>
        <v/>
      </c>
      <c r="O7" s="20">
        <f>IF('Daily Closes'!O7="","",$D7*('Daily Closes'!O7-$E7))</f>
        <v/>
      </c>
      <c r="P7" s="20">
        <f>IF('Daily Closes'!P7="","",$D7*('Daily Closes'!P7-$E7))</f>
        <v/>
      </c>
      <c r="Q7" s="20">
        <f>IF('Daily Closes'!Q7="","",$D7*('Daily Closes'!Q7-$E7))</f>
        <v/>
      </c>
      <c r="R7" s="20">
        <f>IF('Daily Closes'!R7="","",$D7*('Daily Closes'!R7-$E7))</f>
        <v/>
      </c>
      <c r="S7" s="20">
        <f>IF('Daily Closes'!S7="","",$D7*('Daily Closes'!S7-$E7))</f>
        <v/>
      </c>
      <c r="T7" s="20">
        <f>IF('Daily Closes'!T7="","",$D7*('Daily Closes'!T7-$E7))</f>
        <v/>
      </c>
      <c r="U7" s="20">
        <f>IF('Daily Closes'!U7="","",$D7*('Daily Closes'!U7-$E7))</f>
        <v/>
      </c>
      <c r="V7" s="20">
        <f>IF('Daily Closes'!V7="","",$D7*('Daily Closes'!V7-$E7))</f>
        <v/>
      </c>
      <c r="W7" s="20">
        <f>IF('Daily Closes'!W7="","",$D7*('Daily Closes'!W7-$E7))</f>
        <v/>
      </c>
      <c r="X7" s="20">
        <f>IF('Daily Closes'!X7="","",$D7*('Daily Closes'!X7-$E7))</f>
        <v/>
      </c>
      <c r="Y7" s="20">
        <f>IF('Daily Closes'!Y7="","",$D7*('Daily Closes'!Y7-$E7))</f>
        <v/>
      </c>
      <c r="Z7" s="20">
        <f>IF('Daily Closes'!Z7="","",$D7*('Daily Closes'!Z7-$E7))</f>
        <v/>
      </c>
      <c r="AA7" s="20">
        <f>IF('Daily Closes'!AA7="","",$D7*('Daily Closes'!AA7-$E7))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20">
        <f>IF('Daily Closes'!G8="","",$D8*('Daily Closes'!G8-$E8))</f>
        <v/>
      </c>
      <c r="H8" s="20">
        <f>IF('Daily Closes'!H8="","",$D8*('Daily Closes'!H8-$E8))</f>
        <v/>
      </c>
      <c r="I8" s="20">
        <f>IF('Daily Closes'!I8="","",$D8*('Daily Closes'!I8-$E8))</f>
        <v/>
      </c>
      <c r="J8" s="20">
        <f>IF('Daily Closes'!J8="","",$D8*('Daily Closes'!J8-$E8))</f>
        <v/>
      </c>
      <c r="K8" s="20">
        <f>IF('Daily Closes'!K8="","",$D8*('Daily Closes'!K8-$E8))</f>
        <v/>
      </c>
      <c r="L8" s="20">
        <f>IF('Daily Closes'!L8="","",$D8*('Daily Closes'!L8-$E8))</f>
        <v/>
      </c>
      <c r="M8" s="20">
        <f>IF('Daily Closes'!M8="","",$D8*('Daily Closes'!M8-$E8))</f>
        <v/>
      </c>
      <c r="N8" s="20">
        <f>IF('Daily Closes'!N8="","",$D8*('Daily Closes'!N8-$E8))</f>
        <v/>
      </c>
      <c r="O8" s="20">
        <f>IF('Daily Closes'!O8="","",$D8*('Daily Closes'!O8-$E8))</f>
        <v/>
      </c>
      <c r="P8" s="20">
        <f>IF('Daily Closes'!P8="","",$D8*('Daily Closes'!P8-$E8))</f>
        <v/>
      </c>
      <c r="Q8" s="20">
        <f>IF('Daily Closes'!Q8="","",$D8*('Daily Closes'!Q8-$E8))</f>
        <v/>
      </c>
      <c r="R8" s="20">
        <f>IF('Daily Closes'!R8="","",$D8*('Daily Closes'!R8-$E8))</f>
        <v/>
      </c>
      <c r="S8" s="20">
        <f>IF('Daily Closes'!S8="","",$D8*('Daily Closes'!S8-$E8))</f>
        <v/>
      </c>
      <c r="T8" s="20">
        <f>IF('Daily Closes'!T8="","",$D8*('Daily Closes'!T8-$E8))</f>
        <v/>
      </c>
      <c r="U8" s="20">
        <f>IF('Daily Closes'!U8="","",$D8*('Daily Closes'!U8-$E8))</f>
        <v/>
      </c>
      <c r="V8" s="20">
        <f>IF('Daily Closes'!V8="","",$D8*('Daily Closes'!V8-$E8))</f>
        <v/>
      </c>
      <c r="W8" s="20">
        <f>IF('Daily Closes'!W8="","",$D8*('Daily Closes'!W8-$E8))</f>
        <v/>
      </c>
      <c r="X8" s="20">
        <f>IF('Daily Closes'!X8="","",$D8*('Daily Closes'!X8-$E8))</f>
        <v/>
      </c>
      <c r="Y8" s="20">
        <f>IF('Daily Closes'!Y8="","",$D8*('Daily Closes'!Y8-$E8))</f>
        <v/>
      </c>
      <c r="Z8" s="20">
        <f>IF('Daily Closes'!Z8="","",$D8*('Daily Closes'!Z8-$E8))</f>
        <v/>
      </c>
      <c r="AA8" s="20">
        <f>IF('Daily Closes'!AA8="","",$D8*('Daily Closes'!AA8-$E8))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20">
        <f>IF('Daily Closes'!G9="","",$D9*('Daily Closes'!G9-$E9))</f>
        <v/>
      </c>
      <c r="H9" s="20">
        <f>IF('Daily Closes'!H9="","",$D9*('Daily Closes'!H9-$E9))</f>
        <v/>
      </c>
      <c r="I9" s="20">
        <f>IF('Daily Closes'!I9="","",$D9*('Daily Closes'!I9-$E9))</f>
        <v/>
      </c>
      <c r="J9" s="20">
        <f>IF('Daily Closes'!J9="","",$D9*('Daily Closes'!J9-$E9))</f>
        <v/>
      </c>
      <c r="K9" s="20">
        <f>IF('Daily Closes'!K9="","",$D9*('Daily Closes'!K9-$E9))</f>
        <v/>
      </c>
      <c r="L9" s="20">
        <f>IF('Daily Closes'!L9="","",$D9*('Daily Closes'!L9-$E9))</f>
        <v/>
      </c>
      <c r="M9" s="20">
        <f>IF('Daily Closes'!M9="","",$D9*('Daily Closes'!M9-$E9))</f>
        <v/>
      </c>
      <c r="N9" s="20">
        <f>IF('Daily Closes'!N9="","",$D9*('Daily Closes'!N9-$E9))</f>
        <v/>
      </c>
      <c r="O9" s="20">
        <f>IF('Daily Closes'!O9="","",$D9*('Daily Closes'!O9-$E9))</f>
        <v/>
      </c>
      <c r="P9" s="20">
        <f>IF('Daily Closes'!P9="","",$D9*('Daily Closes'!P9-$E9))</f>
        <v/>
      </c>
      <c r="Q9" s="20">
        <f>IF('Daily Closes'!Q9="","",$D9*('Daily Closes'!Q9-$E9))</f>
        <v/>
      </c>
      <c r="R9" s="20">
        <f>IF('Daily Closes'!R9="","",$D9*('Daily Closes'!R9-$E9))</f>
        <v/>
      </c>
      <c r="S9" s="20">
        <f>IF('Daily Closes'!S9="","",$D9*('Daily Closes'!S9-$E9))</f>
        <v/>
      </c>
      <c r="T9" s="20">
        <f>IF('Daily Closes'!T9="","",$D9*('Daily Closes'!T9-$E9))</f>
        <v/>
      </c>
      <c r="U9" s="20">
        <f>IF('Daily Closes'!U9="","",$D9*('Daily Closes'!U9-$E9))</f>
        <v/>
      </c>
      <c r="V9" s="20">
        <f>IF('Daily Closes'!V9="","",$D9*('Daily Closes'!V9-$E9))</f>
        <v/>
      </c>
      <c r="W9" s="20">
        <f>IF('Daily Closes'!W9="","",$D9*('Daily Closes'!W9-$E9))</f>
        <v/>
      </c>
      <c r="X9" s="20">
        <f>IF('Daily Closes'!X9="","",$D9*('Daily Closes'!X9-$E9))</f>
        <v/>
      </c>
      <c r="Y9" s="20">
        <f>IF('Daily Closes'!Y9="","",$D9*('Daily Closes'!Y9-$E9))</f>
        <v/>
      </c>
      <c r="Z9" s="20">
        <f>IF('Daily Closes'!Z9="","",$D9*('Daily Closes'!Z9-$E9))</f>
        <v/>
      </c>
      <c r="AA9" s="20">
        <f>IF('Daily Closes'!AA9="","",$D9*('Daily Closes'!AA9-$E9))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20">
        <f>IF('Daily Closes'!G10="","",$D10*('Daily Closes'!G10-$E10))</f>
        <v/>
      </c>
      <c r="H10" s="20">
        <f>IF('Daily Closes'!H10="","",$D10*('Daily Closes'!H10-$E10))</f>
        <v/>
      </c>
      <c r="I10" s="20">
        <f>IF('Daily Closes'!I10="","",$D10*('Daily Closes'!I10-$E10))</f>
        <v/>
      </c>
      <c r="J10" s="20">
        <f>IF('Daily Closes'!J10="","",$D10*('Daily Closes'!J10-$E10))</f>
        <v/>
      </c>
      <c r="K10" s="20">
        <f>IF('Daily Closes'!K10="","",$D10*('Daily Closes'!K10-$E10))</f>
        <v/>
      </c>
      <c r="L10" s="20">
        <f>IF('Daily Closes'!L10="","",$D10*('Daily Closes'!L10-$E10))</f>
        <v/>
      </c>
      <c r="M10" s="20">
        <f>IF('Daily Closes'!M10="","",$D10*('Daily Closes'!M10-$E10))</f>
        <v/>
      </c>
      <c r="N10" s="20">
        <f>IF('Daily Closes'!N10="","",$D10*('Daily Closes'!N10-$E10))</f>
        <v/>
      </c>
      <c r="O10" s="20">
        <f>IF('Daily Closes'!O10="","",$D10*('Daily Closes'!O10-$E10))</f>
        <v/>
      </c>
      <c r="P10" s="20">
        <f>IF('Daily Closes'!P10="","",$D10*('Daily Closes'!P10-$E10))</f>
        <v/>
      </c>
      <c r="Q10" s="20">
        <f>IF('Daily Closes'!Q10="","",$D10*('Daily Closes'!Q10-$E10))</f>
        <v/>
      </c>
      <c r="R10" s="20">
        <f>IF('Daily Closes'!R10="","",$D10*('Daily Closes'!R10-$E10))</f>
        <v/>
      </c>
      <c r="S10" s="20">
        <f>IF('Daily Closes'!S10="","",$D10*('Daily Closes'!S10-$E10))</f>
        <v/>
      </c>
      <c r="T10" s="20">
        <f>IF('Daily Closes'!T10="","",$D10*('Daily Closes'!T10-$E10))</f>
        <v/>
      </c>
      <c r="U10" s="20">
        <f>IF('Daily Closes'!U10="","",$D10*('Daily Closes'!U10-$E10))</f>
        <v/>
      </c>
      <c r="V10" s="20">
        <f>IF('Daily Closes'!V10="","",$D10*('Daily Closes'!V10-$E10))</f>
        <v/>
      </c>
      <c r="W10" s="20">
        <f>IF('Daily Closes'!W10="","",$D10*('Daily Closes'!W10-$E10))</f>
        <v/>
      </c>
      <c r="X10" s="20">
        <f>IF('Daily Closes'!X10="","",$D10*('Daily Closes'!X10-$E10))</f>
        <v/>
      </c>
      <c r="Y10" s="20">
        <f>IF('Daily Closes'!Y10="","",$D10*('Daily Closes'!Y10-$E10))</f>
        <v/>
      </c>
      <c r="Z10" s="20">
        <f>IF('Daily Closes'!Z10="","",$D10*('Daily Closes'!Z10-$E10))</f>
        <v/>
      </c>
      <c r="AA10" s="20">
        <f>IF('Daily Closes'!AA10="","",$D10*('Daily Closes'!AA10-$E10))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20">
        <f>IF('Daily Closes'!G11="","",$D11*('Daily Closes'!G11-$E11))</f>
        <v/>
      </c>
      <c r="H11" s="20">
        <f>IF('Daily Closes'!H11="","",$D11*('Daily Closes'!H11-$E11))</f>
        <v/>
      </c>
      <c r="I11" s="20">
        <f>IF('Daily Closes'!I11="","",$D11*('Daily Closes'!I11-$E11))</f>
        <v/>
      </c>
      <c r="J11" s="20">
        <f>IF('Daily Closes'!J11="","",$D11*('Daily Closes'!J11-$E11))</f>
        <v/>
      </c>
      <c r="K11" s="20">
        <f>IF('Daily Closes'!K11="","",$D11*('Daily Closes'!K11-$E11))</f>
        <v/>
      </c>
      <c r="L11" s="20">
        <f>IF('Daily Closes'!L11="","",$D11*('Daily Closes'!L11-$E11))</f>
        <v/>
      </c>
      <c r="M11" s="20">
        <f>IF('Daily Closes'!M11="","",$D11*('Daily Closes'!M11-$E11))</f>
        <v/>
      </c>
      <c r="N11" s="20">
        <f>IF('Daily Closes'!N11="","",$D11*('Daily Closes'!N11-$E11))</f>
        <v/>
      </c>
      <c r="O11" s="20">
        <f>IF('Daily Closes'!O11="","",$D11*('Daily Closes'!O11-$E11))</f>
        <v/>
      </c>
      <c r="P11" s="20">
        <f>IF('Daily Closes'!P11="","",$D11*('Daily Closes'!P11-$E11))</f>
        <v/>
      </c>
      <c r="Q11" s="20">
        <f>IF('Daily Closes'!Q11="","",$D11*('Daily Closes'!Q11-$E11))</f>
        <v/>
      </c>
      <c r="R11" s="20">
        <f>IF('Daily Closes'!R11="","",$D11*('Daily Closes'!R11-$E11))</f>
        <v/>
      </c>
      <c r="S11" s="20">
        <f>IF('Daily Closes'!S11="","",$D11*('Daily Closes'!S11-$E11))</f>
        <v/>
      </c>
      <c r="T11" s="20">
        <f>IF('Daily Closes'!T11="","",$D11*('Daily Closes'!T11-$E11))</f>
        <v/>
      </c>
      <c r="U11" s="20">
        <f>IF('Daily Closes'!U11="","",$D11*('Daily Closes'!U11-$E11))</f>
        <v/>
      </c>
      <c r="V11" s="20">
        <f>IF('Daily Closes'!V11="","",$D11*('Daily Closes'!V11-$E11))</f>
        <v/>
      </c>
      <c r="W11" s="20">
        <f>IF('Daily Closes'!W11="","",$D11*('Daily Closes'!W11-$E11))</f>
        <v/>
      </c>
      <c r="X11" s="20">
        <f>IF('Daily Closes'!X11="","",$D11*('Daily Closes'!X11-$E11))</f>
        <v/>
      </c>
      <c r="Y11" s="20">
        <f>IF('Daily Closes'!Y11="","",$D11*('Daily Closes'!Y11-$E11))</f>
        <v/>
      </c>
      <c r="Z11" s="20">
        <f>IF('Daily Closes'!Z11="","",$D11*('Daily Closes'!Z11-$E11))</f>
        <v/>
      </c>
      <c r="AA11" s="20">
        <f>IF('Daily Closes'!AA11="","",$D11*('Daily Closes'!AA11-$E11))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20">
        <f>IF('Daily Closes'!G12="","",$D12*('Daily Closes'!G12-$E12))</f>
        <v/>
      </c>
      <c r="H12" s="20">
        <f>IF('Daily Closes'!H12="","",$D12*('Daily Closes'!H12-$E12))</f>
        <v/>
      </c>
      <c r="I12" s="20">
        <f>IF('Daily Closes'!I12="","",$D12*('Daily Closes'!I12-$E12))</f>
        <v/>
      </c>
      <c r="J12" s="20">
        <f>IF('Daily Closes'!J12="","",$D12*('Daily Closes'!J12-$E12))</f>
        <v/>
      </c>
      <c r="K12" s="20">
        <f>IF('Daily Closes'!K12="","",$D12*('Daily Closes'!K12-$E12))</f>
        <v/>
      </c>
      <c r="L12" s="20">
        <f>IF('Daily Closes'!L12="","",$D12*('Daily Closes'!L12-$E12))</f>
        <v/>
      </c>
      <c r="M12" s="20">
        <f>IF('Daily Closes'!M12="","",$D12*('Daily Closes'!M12-$E12))</f>
        <v/>
      </c>
      <c r="N12" s="20">
        <f>IF('Daily Closes'!N12="","",$D12*('Daily Closes'!N12-$E12))</f>
        <v/>
      </c>
      <c r="O12" s="20">
        <f>IF('Daily Closes'!O12="","",$D12*('Daily Closes'!O12-$E12))</f>
        <v/>
      </c>
      <c r="P12" s="20">
        <f>IF('Daily Closes'!P12="","",$D12*('Daily Closes'!P12-$E12))</f>
        <v/>
      </c>
      <c r="Q12" s="20">
        <f>IF('Daily Closes'!Q12="","",$D12*('Daily Closes'!Q12-$E12))</f>
        <v/>
      </c>
      <c r="R12" s="20">
        <f>IF('Daily Closes'!R12="","",$D12*('Daily Closes'!R12-$E12))</f>
        <v/>
      </c>
      <c r="S12" s="20">
        <f>IF('Daily Closes'!S12="","",$D12*('Daily Closes'!S12-$E12))</f>
        <v/>
      </c>
      <c r="T12" s="20">
        <f>IF('Daily Closes'!T12="","",$D12*('Daily Closes'!T12-$E12))</f>
        <v/>
      </c>
      <c r="U12" s="20">
        <f>IF('Daily Closes'!U12="","",$D12*('Daily Closes'!U12-$E12))</f>
        <v/>
      </c>
      <c r="V12" s="20">
        <f>IF('Daily Closes'!V12="","",$D12*('Daily Closes'!V12-$E12))</f>
        <v/>
      </c>
      <c r="W12" s="20">
        <f>IF('Daily Closes'!W12="","",$D12*('Daily Closes'!W12-$E12))</f>
        <v/>
      </c>
      <c r="X12" s="20">
        <f>IF('Daily Closes'!X12="","",$D12*('Daily Closes'!X12-$E12))</f>
        <v/>
      </c>
      <c r="Y12" s="20">
        <f>IF('Daily Closes'!Y12="","",$D12*('Daily Closes'!Y12-$E12))</f>
        <v/>
      </c>
      <c r="Z12" s="20">
        <f>IF('Daily Closes'!Z12="","",$D12*('Daily Closes'!Z12-$E12))</f>
        <v/>
      </c>
      <c r="AA12" s="20">
        <f>IF('Daily Closes'!AA12="","",$D12*('Daily Closes'!AA12-$E12))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20">
        <f>IF('Daily Closes'!G13="","",$D13*('Daily Closes'!G13-$E13))</f>
        <v/>
      </c>
      <c r="H13" s="20">
        <f>IF('Daily Closes'!H13="","",$D13*('Daily Closes'!H13-$E13))</f>
        <v/>
      </c>
      <c r="I13" s="20">
        <f>IF('Daily Closes'!I13="","",$D13*('Daily Closes'!I13-$E13))</f>
        <v/>
      </c>
      <c r="J13" s="20">
        <f>IF('Daily Closes'!J13="","",$D13*('Daily Closes'!J13-$E13))</f>
        <v/>
      </c>
      <c r="K13" s="20">
        <f>IF('Daily Closes'!K13="","",$D13*('Daily Closes'!K13-$E13))</f>
        <v/>
      </c>
      <c r="L13" s="20">
        <f>IF('Daily Closes'!L13="","",$D13*('Daily Closes'!L13-$E13))</f>
        <v/>
      </c>
      <c r="M13" s="20">
        <f>IF('Daily Closes'!M13="","",$D13*('Daily Closes'!M13-$E13))</f>
        <v/>
      </c>
      <c r="N13" s="20">
        <f>IF('Daily Closes'!N13="","",$D13*('Daily Closes'!N13-$E13))</f>
        <v/>
      </c>
      <c r="O13" s="20">
        <f>IF('Daily Closes'!O13="","",$D13*('Daily Closes'!O13-$E13))</f>
        <v/>
      </c>
      <c r="P13" s="20">
        <f>IF('Daily Closes'!P13="","",$D13*('Daily Closes'!P13-$E13))</f>
        <v/>
      </c>
      <c r="Q13" s="20">
        <f>IF('Daily Closes'!Q13="","",$D13*('Daily Closes'!Q13-$E13))</f>
        <v/>
      </c>
      <c r="R13" s="20">
        <f>IF('Daily Closes'!R13="","",$D13*('Daily Closes'!R13-$E13))</f>
        <v/>
      </c>
      <c r="S13" s="20">
        <f>IF('Daily Closes'!S13="","",$D13*('Daily Closes'!S13-$E13))</f>
        <v/>
      </c>
      <c r="T13" s="20">
        <f>IF('Daily Closes'!T13="","",$D13*('Daily Closes'!T13-$E13))</f>
        <v/>
      </c>
      <c r="U13" s="20">
        <f>IF('Daily Closes'!U13="","",$D13*('Daily Closes'!U13-$E13))</f>
        <v/>
      </c>
      <c r="V13" s="20">
        <f>IF('Daily Closes'!V13="","",$D13*('Daily Closes'!V13-$E13))</f>
        <v/>
      </c>
      <c r="W13" s="20">
        <f>IF('Daily Closes'!W13="","",$D13*('Daily Closes'!W13-$E13))</f>
        <v/>
      </c>
      <c r="X13" s="20">
        <f>IF('Daily Closes'!X13="","",$D13*('Daily Closes'!X13-$E13))</f>
        <v/>
      </c>
      <c r="Y13" s="20">
        <f>IF('Daily Closes'!Y13="","",$D13*('Daily Closes'!Y13-$E13))</f>
        <v/>
      </c>
      <c r="Z13" s="20">
        <f>IF('Daily Closes'!Z13="","",$D13*('Daily Closes'!Z13-$E13))</f>
        <v/>
      </c>
      <c r="AA13" s="20">
        <f>IF('Daily Closes'!AA13="","",$D13*('Daily Closes'!AA13-$E13))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20">
        <f>IF('Daily Closes'!G14="","",$D14*('Daily Closes'!G14-$E14))</f>
        <v/>
      </c>
      <c r="H14" s="20">
        <f>IF('Daily Closes'!H14="","",$D14*('Daily Closes'!H14-$E14))</f>
        <v/>
      </c>
      <c r="I14" s="20">
        <f>IF('Daily Closes'!I14="","",$D14*('Daily Closes'!I14-$E14))</f>
        <v/>
      </c>
      <c r="J14" s="20">
        <f>IF('Daily Closes'!J14="","",$D14*('Daily Closes'!J14-$E14))</f>
        <v/>
      </c>
      <c r="K14" s="20">
        <f>IF('Daily Closes'!K14="","",$D14*('Daily Closes'!K14-$E14))</f>
        <v/>
      </c>
      <c r="L14" s="20">
        <f>IF('Daily Closes'!L14="","",$D14*('Daily Closes'!L14-$E14))</f>
        <v/>
      </c>
      <c r="M14" s="20">
        <f>IF('Daily Closes'!M14="","",$D14*('Daily Closes'!M14-$E14))</f>
        <v/>
      </c>
      <c r="N14" s="20">
        <f>IF('Daily Closes'!N14="","",$D14*('Daily Closes'!N14-$E14))</f>
        <v/>
      </c>
      <c r="O14" s="20">
        <f>IF('Daily Closes'!O14="","",$D14*('Daily Closes'!O14-$E14))</f>
        <v/>
      </c>
      <c r="P14" s="20">
        <f>IF('Daily Closes'!P14="","",$D14*('Daily Closes'!P14-$E14))</f>
        <v/>
      </c>
      <c r="Q14" s="20">
        <f>IF('Daily Closes'!Q14="","",$D14*('Daily Closes'!Q14-$E14))</f>
        <v/>
      </c>
      <c r="R14" s="20">
        <f>IF('Daily Closes'!R14="","",$D14*('Daily Closes'!R14-$E14))</f>
        <v/>
      </c>
      <c r="S14" s="20">
        <f>IF('Daily Closes'!S14="","",$D14*('Daily Closes'!S14-$E14))</f>
        <v/>
      </c>
      <c r="T14" s="20">
        <f>IF('Daily Closes'!T14="","",$D14*('Daily Closes'!T14-$E14))</f>
        <v/>
      </c>
      <c r="U14" s="20">
        <f>IF('Daily Closes'!U14="","",$D14*('Daily Closes'!U14-$E14))</f>
        <v/>
      </c>
      <c r="V14" s="20">
        <f>IF('Daily Closes'!V14="","",$D14*('Daily Closes'!V14-$E14))</f>
        <v/>
      </c>
      <c r="W14" s="20">
        <f>IF('Daily Closes'!W14="","",$D14*('Daily Closes'!W14-$E14))</f>
        <v/>
      </c>
      <c r="X14" s="20">
        <f>IF('Daily Closes'!X14="","",$D14*('Daily Closes'!X14-$E14))</f>
        <v/>
      </c>
      <c r="Y14" s="20">
        <f>IF('Daily Closes'!Y14="","",$D14*('Daily Closes'!Y14-$E14))</f>
        <v/>
      </c>
      <c r="Z14" s="20">
        <f>IF('Daily Closes'!Z14="","",$D14*('Daily Closes'!Z14-$E14))</f>
        <v/>
      </c>
      <c r="AA14" s="20">
        <f>IF('Daily Closes'!AA14="","",$D14*('Daily Closes'!AA14-$E14))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20">
        <f>IF('Daily Closes'!G15="","",$D15*('Daily Closes'!G15-$E15))</f>
        <v/>
      </c>
      <c r="H15" s="20">
        <f>IF('Daily Closes'!H15="","",$D15*('Daily Closes'!H15-$E15))</f>
        <v/>
      </c>
      <c r="I15" s="20">
        <f>IF('Daily Closes'!I15="","",$D15*('Daily Closes'!I15-$E15))</f>
        <v/>
      </c>
      <c r="J15" s="20">
        <f>IF('Daily Closes'!J15="","",$D15*('Daily Closes'!J15-$E15))</f>
        <v/>
      </c>
      <c r="K15" s="20">
        <f>IF('Daily Closes'!K15="","",$D15*('Daily Closes'!K15-$E15))</f>
        <v/>
      </c>
      <c r="L15" s="20">
        <f>IF('Daily Closes'!L15="","",$D15*('Daily Closes'!L15-$E15))</f>
        <v/>
      </c>
      <c r="M15" s="20">
        <f>IF('Daily Closes'!M15="","",$D15*('Daily Closes'!M15-$E15))</f>
        <v/>
      </c>
      <c r="N15" s="20">
        <f>IF('Daily Closes'!N15="","",$D15*('Daily Closes'!N15-$E15))</f>
        <v/>
      </c>
      <c r="O15" s="20">
        <f>IF('Daily Closes'!O15="","",$D15*('Daily Closes'!O15-$E15))</f>
        <v/>
      </c>
      <c r="P15" s="20">
        <f>IF('Daily Closes'!P15="","",$D15*('Daily Closes'!P15-$E15))</f>
        <v/>
      </c>
      <c r="Q15" s="20">
        <f>IF('Daily Closes'!Q15="","",$D15*('Daily Closes'!Q15-$E15))</f>
        <v/>
      </c>
      <c r="R15" s="20">
        <f>IF('Daily Closes'!R15="","",$D15*('Daily Closes'!R15-$E15))</f>
        <v/>
      </c>
      <c r="S15" s="20">
        <f>IF('Daily Closes'!S15="","",$D15*('Daily Closes'!S15-$E15))</f>
        <v/>
      </c>
      <c r="T15" s="20">
        <f>IF('Daily Closes'!T15="","",$D15*('Daily Closes'!T15-$E15))</f>
        <v/>
      </c>
      <c r="U15" s="20">
        <f>IF('Daily Closes'!U15="","",$D15*('Daily Closes'!U15-$E15))</f>
        <v/>
      </c>
      <c r="V15" s="20">
        <f>IF('Daily Closes'!V15="","",$D15*('Daily Closes'!V15-$E15))</f>
        <v/>
      </c>
      <c r="W15" s="20">
        <f>IF('Daily Closes'!W15="","",$D15*('Daily Closes'!W15-$E15))</f>
        <v/>
      </c>
      <c r="X15" s="20">
        <f>IF('Daily Closes'!X15="","",$D15*('Daily Closes'!X15-$E15))</f>
        <v/>
      </c>
      <c r="Y15" s="20">
        <f>IF('Daily Closes'!Y15="","",$D15*('Daily Closes'!Y15-$E15))</f>
        <v/>
      </c>
      <c r="Z15" s="20">
        <f>IF('Daily Closes'!Z15="","",$D15*('Daily Closes'!Z15-$E15))</f>
        <v/>
      </c>
      <c r="AA15" s="20">
        <f>IF('Daily Closes'!AA15="","",$D15*('Daily Closes'!AA15-$E15))</f>
        <v/>
      </c>
    </row>
    <row r="16">
      <c r="B16" s="16" t="inlineStr">
        <is>
          <t>TOTAL</t>
        </is>
      </c>
      <c r="G16" s="48">
        <f>IF(COUNT(G6:G15)=0,"",SUM(G6:G15))</f>
        <v/>
      </c>
      <c r="H16" s="48">
        <f>IF(COUNT(H6:H15)=0,"",SUM(H6:H15))</f>
        <v/>
      </c>
      <c r="I16" s="48">
        <f>IF(COUNT(I6:I15)=0,"",SUM(I6:I15))</f>
        <v/>
      </c>
      <c r="J16" s="48">
        <f>IF(COUNT(J6:J15)=0,"",SUM(J6:J15))</f>
        <v/>
      </c>
      <c r="K16" s="48">
        <f>IF(COUNT(K6:K15)=0,"",SUM(K6:K15))</f>
        <v/>
      </c>
      <c r="L16" s="48">
        <f>IF(COUNT(L6:L15)=0,"",SUM(L6:L15))</f>
        <v/>
      </c>
      <c r="M16" s="48">
        <f>IF(COUNT(M6:M15)=0,"",SUM(M6:M15))</f>
        <v/>
      </c>
      <c r="N16" s="48">
        <f>IF(COUNT(N6:N15)=0,"",SUM(N6:N15))</f>
        <v/>
      </c>
      <c r="O16" s="48">
        <f>IF(COUNT(O6:O15)=0,"",SUM(O6:O15))</f>
        <v/>
      </c>
      <c r="P16" s="48">
        <f>IF(COUNT(P6:P15)=0,"",SUM(P6:P15))</f>
        <v/>
      </c>
      <c r="Q16" s="48">
        <f>IF(COUNT(Q6:Q15)=0,"",SUM(Q6:Q15))</f>
        <v/>
      </c>
      <c r="R16" s="48">
        <f>IF(COUNT(R6:R15)=0,"",SUM(R6:R15))</f>
        <v/>
      </c>
      <c r="S16" s="48">
        <f>IF(COUNT(S6:S15)=0,"",SUM(S6:S15))</f>
        <v/>
      </c>
      <c r="T16" s="48">
        <f>IF(COUNT(T6:T15)=0,"",SUM(T6:T15))</f>
        <v/>
      </c>
      <c r="U16" s="48">
        <f>IF(COUNT(U6:U15)=0,"",SUM(U6:U15))</f>
        <v/>
      </c>
      <c r="V16" s="48">
        <f>IF(COUNT(V6:V15)=0,"",SUM(V6:V15))</f>
        <v/>
      </c>
      <c r="W16" s="48">
        <f>IF(COUNT(W6:W15)=0,"",SUM(W6:W15))</f>
        <v/>
      </c>
      <c r="X16" s="48">
        <f>IF(COUNT(X6:X15)=0,"",SUM(X6:X15))</f>
        <v/>
      </c>
      <c r="Y16" s="48">
        <f>IF(COUNT(Y6:Y15)=0,"",SUM(Y6:Y15))</f>
        <v/>
      </c>
      <c r="Z16" s="48">
        <f>IF(COUNT(Z6:Z15)=0,"",SUM(Z6:Z15))</f>
        <v/>
      </c>
      <c r="AA16" s="48">
        <f>IF(COUNT(AA6:AA15)=0,"",SUM(AA6:AA15))</f>
        <v/>
      </c>
    </row>
  </sheetData>
  <mergeCells count="2">
    <mergeCell ref="A1:AA1"/>
    <mergeCell ref="A2:AA2"/>
  </mergeCells>
  <conditionalFormatting sqref="G6:AA1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18" customWidth="1" min="4" max="4"/>
    <col width="14" customWidth="1" min="5" max="5"/>
    <col width="11" customWidth="1" min="6" max="6"/>
    <col width="10" customWidth="1" min="7" max="7"/>
    <col width="12" customWidth="1" min="8" max="8"/>
    <col width="12" customWidth="1" min="9" max="9"/>
  </cols>
  <sheetData>
    <row r="1" ht="30" customHeight="1">
      <c r="A1" s="1" t="inlineStr">
        <is>
          <t>Portfolio Path — Day by Day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Value, P&amp;L, return, drawdown and Nifty 50 comparison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Day</t>
        </is>
      </c>
      <c r="B4" s="15" t="inlineStr">
        <is>
          <t>Date</t>
        </is>
      </c>
      <c r="C4" s="15" t="inlineStr">
        <is>
          <t>Status</t>
        </is>
      </c>
      <c r="D4" s="15" t="inlineStr">
        <is>
          <t>Portfolio Value ₹</t>
        </is>
      </c>
      <c r="E4" s="15" t="inlineStr">
        <is>
          <t>P&amp;L ₹</t>
        </is>
      </c>
      <c r="F4" s="15" t="inlineStr">
        <is>
          <t>Return %</t>
        </is>
      </c>
      <c r="G4" s="15" t="inlineStr">
        <is>
          <t>Daily %</t>
        </is>
      </c>
      <c r="H4" s="15" t="inlineStr">
        <is>
          <t>Drawdown %</t>
        </is>
      </c>
      <c r="I4" s="15" t="inlineStr">
        <is>
          <t>Nifty 50 %</t>
        </is>
      </c>
    </row>
    <row r="5">
      <c r="A5" s="53" t="n">
        <v>0</v>
      </c>
      <c r="B5" s="35" t="inlineStr">
        <is>
          <t>2026-09-28</t>
        </is>
      </c>
      <c r="C5" s="52" t="inlineStr">
        <is>
          <t>Signal</t>
        </is>
      </c>
      <c r="D5" s="20" t="n">
        <v>139903</v>
      </c>
      <c r="E5" s="20" t="n">
        <v>0</v>
      </c>
      <c r="F5" s="19" t="n">
        <v>0</v>
      </c>
      <c r="G5" s="19" t="n"/>
      <c r="H5" s="19" t="n"/>
      <c r="I5" s="19" t="n">
        <v>0</v>
      </c>
    </row>
    <row r="6">
      <c r="A6" s="53" t="n">
        <v>1</v>
      </c>
      <c r="B6" s="35" t="inlineStr">
        <is>
          <t>2026-09-29</t>
        </is>
      </c>
      <c r="C6" s="52" t="inlineStr">
        <is>
          <t>Entry</t>
        </is>
      </c>
      <c r="D6" s="20" t="n">
        <v>145178.6</v>
      </c>
      <c r="E6" s="20" t="n">
        <v>5223.55</v>
      </c>
      <c r="F6" s="19" t="n">
        <v>0.037323</v>
      </c>
      <c r="G6" s="19" t="n"/>
      <c r="H6" s="19" t="n">
        <v>0</v>
      </c>
      <c r="I6" s="19" t="n">
        <v>-0.002812</v>
      </c>
    </row>
    <row r="7">
      <c r="A7" s="53" t="n">
        <v>2</v>
      </c>
      <c r="B7" s="35" t="inlineStr">
        <is>
          <t>2026-09-30</t>
        </is>
      </c>
      <c r="C7" s="52" t="inlineStr">
        <is>
          <t>Hold</t>
        </is>
      </c>
      <c r="D7" s="20" t="n">
        <v>144421.3</v>
      </c>
      <c r="E7" s="20" t="n">
        <v>4466.25</v>
      </c>
      <c r="F7" s="19" t="n">
        <v>0.031912</v>
      </c>
      <c r="G7" s="19" t="n">
        <v>-0.005216</v>
      </c>
      <c r="H7" s="19" t="n">
        <v>-0.005216</v>
      </c>
      <c r="I7" s="19" t="n">
        <v>-0.007015</v>
      </c>
    </row>
    <row r="8">
      <c r="A8" s="53" t="n">
        <v>3</v>
      </c>
      <c r="B8" s="35" t="inlineStr">
        <is>
          <t>2026-10-01</t>
        </is>
      </c>
      <c r="C8" s="52" t="inlineStr">
        <is>
          <t>Hold</t>
        </is>
      </c>
      <c r="D8" s="20" t="n">
        <v>142311.25</v>
      </c>
      <c r="E8" s="20" t="n">
        <v>2356.2</v>
      </c>
      <c r="F8" s="19" t="n">
        <v>0.016835</v>
      </c>
      <c r="G8" s="19" t="n">
        <v>-0.01461</v>
      </c>
      <c r="H8" s="19" t="n">
        <v>-0.019751</v>
      </c>
      <c r="I8" s="19" t="n">
        <v>-0.015729</v>
      </c>
    </row>
    <row r="9">
      <c r="A9" s="53" t="n">
        <v>4</v>
      </c>
      <c r="B9" s="35" t="inlineStr">
        <is>
          <t>2026-10-02</t>
        </is>
      </c>
      <c r="C9" s="52" t="inlineStr">
        <is>
          <t>Hold</t>
        </is>
      </c>
      <c r="D9" s="20" t="n">
        <v>142311.25</v>
      </c>
      <c r="E9" s="20" t="n">
        <v>2356.2</v>
      </c>
      <c r="F9" s="19" t="n">
        <v>0.016835</v>
      </c>
      <c r="G9" s="19" t="n">
        <v>0</v>
      </c>
      <c r="H9" s="19" t="n">
        <v>-0.019751</v>
      </c>
      <c r="I9" s="19" t="n">
        <v>-0.015729</v>
      </c>
    </row>
    <row r="10">
      <c r="A10" s="53" t="n">
        <v>5</v>
      </c>
      <c r="B10" s="35" t="inlineStr">
        <is>
          <t>2026-10-05</t>
        </is>
      </c>
      <c r="C10" s="52" t="inlineStr">
        <is>
          <t>Hold</t>
        </is>
      </c>
      <c r="D10" s="20" t="n">
        <v>144045.15</v>
      </c>
      <c r="E10" s="20" t="n">
        <v>4090.1</v>
      </c>
      <c r="F10" s="19" t="n">
        <v>0.029224</v>
      </c>
      <c r="G10" s="19" t="n">
        <v>0.012184</v>
      </c>
      <c r="H10" s="19" t="n">
        <v>-0.007807</v>
      </c>
      <c r="I10" s="19" t="n">
        <v>-0.009854999999999999</v>
      </c>
    </row>
    <row r="11">
      <c r="A11" s="53" t="n">
        <v>6</v>
      </c>
      <c r="B11" s="35" t="inlineStr">
        <is>
          <t>2026-10-06</t>
        </is>
      </c>
      <c r="C11" s="52" t="inlineStr">
        <is>
          <t>Hold</t>
        </is>
      </c>
      <c r="D11" s="20" t="n">
        <v>148186.35</v>
      </c>
      <c r="E11" s="20" t="n">
        <v>8231.299999999999</v>
      </c>
      <c r="F11" s="19" t="n">
        <v>0.058814</v>
      </c>
      <c r="G11" s="19" t="n">
        <v>0.028749</v>
      </c>
      <c r="H11" s="19" t="n">
        <v>0</v>
      </c>
      <c r="I11" s="19" t="n">
        <v>-0.000182</v>
      </c>
    </row>
    <row r="12">
      <c r="A12" s="53" t="n">
        <v>7</v>
      </c>
      <c r="B12" s="35" t="inlineStr">
        <is>
          <t>2026-10-07</t>
        </is>
      </c>
      <c r="C12" s="52" t="inlineStr">
        <is>
          <t>Hold</t>
        </is>
      </c>
      <c r="D12" s="20" t="n">
        <v>148825.15</v>
      </c>
      <c r="E12" s="20" t="n">
        <v>8870.1</v>
      </c>
      <c r="F12" s="19" t="n">
        <v>0.063378</v>
      </c>
      <c r="G12" s="19" t="n">
        <v>0.004311</v>
      </c>
      <c r="H12" s="19" t="n">
        <v>0</v>
      </c>
      <c r="I12" s="19" t="n">
        <v>-0.007779</v>
      </c>
    </row>
    <row r="13">
      <c r="A13" s="53" t="n">
        <v>8</v>
      </c>
      <c r="B13" s="35" t="inlineStr">
        <is>
          <t>2026-10-08</t>
        </is>
      </c>
      <c r="C13" s="52" t="inlineStr">
        <is>
          <t>Hold</t>
        </is>
      </c>
      <c r="D13" s="20" t="n">
        <v>145212.55</v>
      </c>
      <c r="E13" s="20" t="n">
        <v>5257.5</v>
      </c>
      <c r="F13" s="19" t="n">
        <v>0.037566</v>
      </c>
      <c r="G13" s="19" t="n">
        <v>-0.024274</v>
      </c>
      <c r="H13" s="19" t="n">
        <v>-0.024274</v>
      </c>
      <c r="I13" s="19" t="n">
        <v>-0.024076</v>
      </c>
    </row>
    <row r="14">
      <c r="A14" s="53" t="n">
        <v>9</v>
      </c>
      <c r="B14" s="35" t="inlineStr">
        <is>
          <t>2026-10-09</t>
        </is>
      </c>
      <c r="C14" s="52" t="inlineStr">
        <is>
          <t>Hold</t>
        </is>
      </c>
      <c r="D14" s="20" t="n">
        <v>146665.1</v>
      </c>
      <c r="E14" s="20" t="n">
        <v>6710.05</v>
      </c>
      <c r="F14" s="19" t="n">
        <v>0.047944</v>
      </c>
      <c r="G14" s="19" t="n">
        <v>0.010003</v>
      </c>
      <c r="H14" s="19" t="n">
        <v>-0.014514</v>
      </c>
      <c r="I14" s="19" t="n">
        <v>-0.011405</v>
      </c>
    </row>
    <row r="15">
      <c r="A15" s="53" t="n">
        <v>10</v>
      </c>
      <c r="B15" s="35" t="inlineStr">
        <is>
          <t>2026-10-12</t>
        </is>
      </c>
      <c r="C15" s="52" t="inlineStr">
        <is>
          <t>Hold</t>
        </is>
      </c>
      <c r="D15" s="20" t="n">
        <v>150238.35</v>
      </c>
      <c r="E15" s="20" t="n">
        <v>10283.3</v>
      </c>
      <c r="F15" s="19" t="n">
        <v>0.073476</v>
      </c>
      <c r="G15" s="19" t="n">
        <v>0.024363</v>
      </c>
      <c r="H15" s="19" t="n">
        <v>0</v>
      </c>
      <c r="I15" s="19" t="n">
        <v>-0.018301</v>
      </c>
    </row>
    <row r="16">
      <c r="A16" s="53" t="n">
        <v>11</v>
      </c>
      <c r="B16" s="35" t="inlineStr">
        <is>
          <t>2026-10-13</t>
        </is>
      </c>
      <c r="C16" s="52" t="inlineStr">
        <is>
          <t>Hold</t>
        </is>
      </c>
      <c r="D16" s="20" t="n">
        <v>148485.25</v>
      </c>
      <c r="E16" s="20" t="n">
        <v>8530.200000000001</v>
      </c>
      <c r="F16" s="19" t="n">
        <v>0.06095</v>
      </c>
      <c r="G16" s="19" t="n">
        <v>-0.011669</v>
      </c>
      <c r="H16" s="19" t="n">
        <v>-0.011669</v>
      </c>
      <c r="I16" s="19" t="n">
        <v>-0.002559</v>
      </c>
    </row>
    <row r="17">
      <c r="A17" s="53" t="n">
        <v>12</v>
      </c>
      <c r="B17" s="35" t="inlineStr">
        <is>
          <t>2026-10-14</t>
        </is>
      </c>
      <c r="C17" s="52" t="inlineStr">
        <is>
          <t>Hold</t>
        </is>
      </c>
      <c r="D17" s="20" t="n">
        <v>148334.2</v>
      </c>
      <c r="E17" s="20" t="n">
        <v>8379.15</v>
      </c>
      <c r="F17" s="19" t="n">
        <v>0.05987</v>
      </c>
      <c r="G17" s="19" t="n">
        <v>-0.001017</v>
      </c>
      <c r="H17" s="19" t="n">
        <v>-0.012674</v>
      </c>
      <c r="I17" s="19" t="n">
        <v>-0.006916</v>
      </c>
    </row>
    <row r="18">
      <c r="A18" s="53" t="n">
        <v>13</v>
      </c>
      <c r="B18" s="35" t="inlineStr">
        <is>
          <t>2026-10-15</t>
        </is>
      </c>
      <c r="C18" s="52" t="inlineStr">
        <is>
          <t>Hold</t>
        </is>
      </c>
      <c r="D18" s="20" t="n">
        <v>143337.25</v>
      </c>
      <c r="E18" s="20" t="n">
        <v>3382.2</v>
      </c>
      <c r="F18" s="19" t="n">
        <v>0.024166</v>
      </c>
      <c r="G18" s="19" t="n">
        <v>-0.033687</v>
      </c>
      <c r="H18" s="19" t="n">
        <v>-0.045934</v>
      </c>
      <c r="I18" s="19" t="n">
        <v>0.00953</v>
      </c>
    </row>
    <row r="19">
      <c r="A19" s="54" t="n">
        <v>14</v>
      </c>
      <c r="B19" s="55" t="inlineStr">
        <is>
          <t>2026-10-16</t>
        </is>
      </c>
      <c r="C19" s="56" t="inlineStr">
        <is>
          <t>Hold</t>
        </is>
      </c>
      <c r="D19" s="57" t="n">
        <v>142526.25</v>
      </c>
      <c r="E19" s="57" t="n">
        <v>2571.2</v>
      </c>
      <c r="F19" s="58" t="n">
        <v>0.018372</v>
      </c>
      <c r="G19" s="58" t="n">
        <v>-0.005658</v>
      </c>
      <c r="H19" s="58" t="n">
        <v>-0.051332</v>
      </c>
      <c r="I19" s="58" t="n">
        <v>0.016062</v>
      </c>
    </row>
    <row r="20">
      <c r="A20" s="59" t="n">
        <v>15</v>
      </c>
      <c r="B20" s="60" t="inlineStr">
        <is>
          <t>2026-10-21</t>
        </is>
      </c>
      <c r="C20" s="61" t="inlineStr">
        <is>
          <t>Hold (upcoming)</t>
        </is>
      </c>
      <c r="D20" s="62" t="n"/>
      <c r="E20" s="62" t="n"/>
      <c r="F20" s="63" t="n"/>
      <c r="G20" s="63" t="n"/>
      <c r="H20" s="63" t="n"/>
      <c r="I20" s="63" t="n"/>
    </row>
    <row r="21">
      <c r="A21" s="59" t="n">
        <v>16</v>
      </c>
      <c r="B21" s="60" t="inlineStr">
        <is>
          <t>2026-10-22</t>
        </is>
      </c>
      <c r="C21" s="61" t="inlineStr">
        <is>
          <t>Hold (upcoming)</t>
        </is>
      </c>
      <c r="D21" s="62" t="n"/>
      <c r="E21" s="62" t="n"/>
      <c r="F21" s="63" t="n"/>
      <c r="G21" s="63" t="n"/>
      <c r="H21" s="63" t="n"/>
      <c r="I21" s="63" t="n"/>
    </row>
    <row r="22">
      <c r="A22" s="59" t="n">
        <v>17</v>
      </c>
      <c r="B22" s="60" t="inlineStr">
        <is>
          <t>2026-10-23</t>
        </is>
      </c>
      <c r="C22" s="61" t="inlineStr">
        <is>
          <t>Hold (upcoming)</t>
        </is>
      </c>
      <c r="D22" s="62" t="n"/>
      <c r="E22" s="62" t="n"/>
      <c r="F22" s="63" t="n"/>
      <c r="G22" s="63" t="n"/>
      <c r="H22" s="63" t="n"/>
      <c r="I22" s="63" t="n"/>
    </row>
    <row r="23">
      <c r="A23" s="59" t="n">
        <v>18</v>
      </c>
      <c r="B23" s="60" t="inlineStr">
        <is>
          <t>2026-10-26</t>
        </is>
      </c>
      <c r="C23" s="61" t="inlineStr">
        <is>
          <t>Hold (upcoming)</t>
        </is>
      </c>
      <c r="D23" s="62" t="n"/>
      <c r="E23" s="62" t="n"/>
      <c r="F23" s="63" t="n"/>
      <c r="G23" s="63" t="n"/>
      <c r="H23" s="63" t="n"/>
      <c r="I23" s="63" t="n"/>
    </row>
    <row r="24">
      <c r="A24" s="59" t="n">
        <v>19</v>
      </c>
      <c r="B24" s="60" t="inlineStr">
        <is>
          <t>2026-10-27</t>
        </is>
      </c>
      <c r="C24" s="61" t="inlineStr">
        <is>
          <t>Hold (upcoming)</t>
        </is>
      </c>
      <c r="D24" s="62" t="n"/>
      <c r="E24" s="62" t="n"/>
      <c r="F24" s="63" t="n"/>
      <c r="G24" s="63" t="n"/>
      <c r="H24" s="63" t="n"/>
      <c r="I24" s="63" t="n"/>
    </row>
    <row r="25">
      <c r="A25" s="59" t="n">
        <v>20</v>
      </c>
      <c r="B25" s="60" t="inlineStr">
        <is>
          <t>2026-10-28</t>
        </is>
      </c>
      <c r="C25" s="61" t="inlineStr">
        <is>
          <t>Exit reminder (upcoming)</t>
        </is>
      </c>
      <c r="D25" s="62" t="n"/>
      <c r="E25" s="62" t="n"/>
      <c r="F25" s="63" t="n"/>
      <c r="G25" s="63" t="n"/>
      <c r="H25" s="63" t="n"/>
      <c r="I25" s="63" t="n"/>
    </row>
    <row r="26">
      <c r="A26" s="59" t="n">
        <v>21</v>
      </c>
      <c r="B26" s="60" t="inlineStr">
        <is>
          <t>2026-10-29</t>
        </is>
      </c>
      <c r="C26" s="61" t="inlineStr">
        <is>
          <t>Exit (upcoming)</t>
        </is>
      </c>
      <c r="D26" s="62" t="n"/>
      <c r="E26" s="62" t="n"/>
      <c r="F26" s="63" t="n"/>
      <c r="G26" s="63" t="n"/>
      <c r="H26" s="63" t="n"/>
      <c r="I26" s="63" t="n"/>
    </row>
  </sheetData>
  <mergeCells count="2">
    <mergeCell ref="A1:I1"/>
    <mergeCell ref="A2:I2"/>
  </mergeCells>
  <conditionalFormatting sqref="E5:I2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P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0" customHeight="1">
      <c r="A1" s="1" t="inlineStr">
        <is>
          <t>Batch Details (from SwingScope HTML)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SwingScope batch 2026-09-28</t>
        </is>
      </c>
      <c r="B2" s="2" t="n"/>
      <c r="C2" s="2" t="n"/>
      <c r="D2" s="2" t="n"/>
      <c r="E2" s="2" t="n"/>
      <c r="F2" s="2" t="n"/>
      <c r="G2" s="2" t="n"/>
      <c r="H2" s="2" t="n"/>
    </row>
    <row r="4">
      <c r="B4" s="22" t="inlineStr">
        <is>
          <t>Batch ID</t>
        </is>
      </c>
      <c r="C4" s="52" t="inlineStr">
        <is>
          <t>2026-09-28</t>
        </is>
      </c>
      <c r="D4" s="64" t="n"/>
      <c r="E4" s="64" t="n"/>
      <c r="F4" s="64" t="n"/>
      <c r="G4" s="64" t="n"/>
      <c r="H4" s="65" t="n"/>
    </row>
    <row r="5">
      <c r="B5" s="22" t="inlineStr">
        <is>
          <t>Signal date (Day 0)</t>
        </is>
      </c>
      <c r="C5" s="52" t="inlineStr">
        <is>
          <t>2026-09-28</t>
        </is>
      </c>
      <c r="D5" s="64" t="n"/>
      <c r="E5" s="64" t="n"/>
      <c r="F5" s="64" t="n"/>
      <c r="G5" s="64" t="n"/>
      <c r="H5" s="65" t="n"/>
    </row>
    <row r="6">
      <c r="B6" s="22" t="inlineStr">
        <is>
          <t>Exit (HTML estimate)</t>
        </is>
      </c>
      <c r="C6" s="52" t="inlineStr">
        <is>
          <t>2026-10-27</t>
        </is>
      </c>
      <c r="D6" s="64" t="n"/>
      <c r="E6" s="64" t="n"/>
      <c r="F6" s="64" t="n"/>
      <c r="G6" s="64" t="n"/>
      <c r="H6" s="65" t="n"/>
    </row>
    <row r="7">
      <c r="B7" s="22" t="inlineStr">
        <is>
          <t>Exit (projected, NSE calendar)</t>
        </is>
      </c>
      <c r="C7" s="52" t="inlineStr">
        <is>
          <t>2026-10-29</t>
        </is>
      </c>
      <c r="D7" s="64" t="n"/>
      <c r="E7" s="64" t="n"/>
      <c r="F7" s="64" t="n"/>
      <c r="G7" s="64" t="n"/>
      <c r="H7" s="65" t="n"/>
    </row>
    <row r="8">
      <c r="B8" s="22" t="inlineStr">
        <is>
          <t>Hold</t>
        </is>
      </c>
      <c r="C8" s="52" t="inlineStr">
        <is>
          <t>21 sessions — no stop, no target</t>
        </is>
      </c>
      <c r="D8" s="64" t="n"/>
      <c r="E8" s="64" t="n"/>
      <c r="F8" s="64" t="n"/>
      <c r="G8" s="64" t="n"/>
      <c r="H8" s="65" t="n"/>
    </row>
    <row r="9">
      <c r="B9" s="22" t="inlineStr">
        <is>
          <t>Universe</t>
        </is>
      </c>
      <c r="C9" s="52" t="inlineStr">
        <is>
          <t>liquidity top 400 of all NSE stocks</t>
        </is>
      </c>
      <c r="D9" s="64" t="n"/>
      <c r="E9" s="64" t="n"/>
      <c r="F9" s="64" t="n"/>
      <c r="G9" s="64" t="n"/>
      <c r="H9" s="65" t="n"/>
    </row>
    <row r="10">
      <c r="B10" s="22" t="inlineStr">
        <is>
          <t>Capital committed (at signal close)</t>
        </is>
      </c>
      <c r="C10" s="66" t="n">
        <v>139903</v>
      </c>
      <c r="D10" s="64" t="n"/>
      <c r="E10" s="64" t="n"/>
      <c r="F10" s="64" t="n"/>
      <c r="G10" s="64" t="n"/>
      <c r="H10" s="65" t="n"/>
    </row>
    <row r="11">
      <c r="B11" s="22" t="inlineStr">
        <is>
          <t>Estimated costs</t>
        </is>
      </c>
      <c r="C11" s="66" t="n">
        <v>859</v>
      </c>
      <c r="D11" s="64" t="n"/>
      <c r="E11" s="64" t="n"/>
      <c r="F11" s="64" t="n"/>
      <c r="G11" s="64" t="n"/>
      <c r="H11" s="65" t="n"/>
    </row>
    <row r="12">
      <c r="B12" s="22" t="inlineStr">
        <is>
          <t>Cost %</t>
        </is>
      </c>
      <c r="C12" s="52" t="inlineStr">
        <is>
          <t>0.6%</t>
        </is>
      </c>
      <c r="D12" s="64" t="n"/>
      <c r="E12" s="64" t="n"/>
      <c r="F12" s="64" t="n"/>
      <c r="G12" s="64" t="n"/>
      <c r="H12" s="65" t="n"/>
    </row>
    <row r="13">
      <c r="B13" s="22" t="inlineStr">
        <is>
          <t>Market regime</t>
        </is>
      </c>
      <c r="C13" s="52" t="inlineStr">
        <is>
          <t>Down — the signal's weakest regime historically</t>
        </is>
      </c>
      <c r="D13" s="64" t="n"/>
      <c r="E13" s="64" t="n"/>
      <c r="F13" s="64" t="n"/>
      <c r="G13" s="64" t="n"/>
      <c r="H13" s="65" t="n"/>
    </row>
    <row r="14">
      <c r="B14" s="22" t="inlineStr">
        <is>
          <t>Stocks with a warning</t>
        </is>
      </c>
      <c r="C14" s="52" t="inlineStr">
        <is>
          <t>0 of 10</t>
        </is>
      </c>
      <c r="D14" s="64" t="n"/>
      <c r="E14" s="64" t="n"/>
      <c r="F14" s="64" t="n"/>
      <c r="G14" s="64" t="n"/>
      <c r="H14" s="65" t="n"/>
    </row>
    <row r="17">
      <c r="B17" s="15" t="inlineStr">
        <is>
          <t>#</t>
        </is>
      </c>
      <c r="C17" s="15" t="inlineStr">
        <is>
          <t>Symbol</t>
        </is>
      </c>
      <c r="D17" s="15" t="inlineStr">
        <is>
          <t>ISIN</t>
        </is>
      </c>
      <c r="E17" s="15" t="inlineStr">
        <is>
          <t>Qty</t>
        </is>
      </c>
      <c r="F17" s="15" t="inlineStr">
        <is>
          <t>Signal close</t>
        </is>
      </c>
      <c r="G17" s="15" t="inlineStr">
        <is>
          <t>Amount</t>
        </is>
      </c>
      <c r="H17" s="15" t="inlineStr">
        <is>
          <t>12-1 %</t>
        </is>
      </c>
      <c r="I17" s="15" t="inlineStr">
        <is>
          <t>6-1 %</t>
        </is>
      </c>
      <c r="J17" s="15" t="inlineStr">
        <is>
          <t>3-1 %</t>
        </is>
      </c>
      <c r="K17" s="15" t="inlineStr">
        <is>
          <t>Vol %</t>
        </is>
      </c>
      <c r="L17" s="15" t="inlineStr">
        <is>
          <t>Traded daily (cr)</t>
        </is>
      </c>
      <c r="M17" s="15" t="inlineStr">
        <is>
          <t>From 12m high %</t>
        </is>
      </c>
      <c r="N17" s="15" t="inlineStr">
        <is>
          <t>Signal rank</t>
        </is>
      </c>
      <c r="O17" s="15" t="inlineStr">
        <is>
          <t>Data quality</t>
        </is>
      </c>
      <c r="P17" s="15" t="inlineStr">
        <is>
          <t>Watch</t>
        </is>
      </c>
    </row>
    <row r="18">
      <c r="B18" s="51" t="n">
        <v>1</v>
      </c>
      <c r="C18" s="52" t="inlineStr">
        <is>
          <t>TDPOWERSYS</t>
        </is>
      </c>
      <c r="D18" s="52" t="inlineStr">
        <is>
          <t>INE419M01035</t>
        </is>
      </c>
      <c r="E18" s="51" t="n">
        <v>20</v>
      </c>
      <c r="F18" s="18" t="n">
        <v>722</v>
      </c>
      <c r="G18" s="18" t="n">
        <v>14440</v>
      </c>
      <c r="H18" s="51" t="n">
        <v>177</v>
      </c>
      <c r="I18" s="51" t="n">
        <v>72.2</v>
      </c>
      <c r="J18" s="51" t="n">
        <v>19.6</v>
      </c>
      <c r="K18" s="51" t="n">
        <v>60.1</v>
      </c>
      <c r="L18" s="51" t="n">
        <v>128</v>
      </c>
      <c r="M18" s="51" t="n">
        <v>-10.3</v>
      </c>
      <c r="N18" s="51" t="n">
        <v>6</v>
      </c>
      <c r="O18" s="52" t="inlineStr">
        <is>
          <t>Green</t>
        </is>
      </c>
      <c r="P18" s="52" t="inlineStr">
        <is>
          <t>Nothing flagged</t>
        </is>
      </c>
    </row>
    <row r="19">
      <c r="B19" s="51" t="n">
        <v>2</v>
      </c>
      <c r="C19" s="52" t="inlineStr">
        <is>
          <t>AEROFLEX</t>
        </is>
      </c>
      <c r="D19" s="52" t="inlineStr">
        <is>
          <t>INE024001021</t>
        </is>
      </c>
      <c r="E19" s="51" t="n">
        <v>29</v>
      </c>
      <c r="F19" s="18" t="n">
        <v>513.4</v>
      </c>
      <c r="G19" s="18" t="n">
        <v>14889</v>
      </c>
      <c r="H19" s="51" t="n">
        <v>175</v>
      </c>
      <c r="I19" s="51" t="n">
        <v>107</v>
      </c>
      <c r="J19" s="51" t="n">
        <v>10.7</v>
      </c>
      <c r="K19" s="51" t="n">
        <v>67.3</v>
      </c>
      <c r="L19" s="51" t="n">
        <v>53</v>
      </c>
      <c r="M19" s="51" t="n">
        <v>-10.5</v>
      </c>
      <c r="N19" s="51" t="n">
        <v>7</v>
      </c>
      <c r="O19" s="52" t="inlineStr">
        <is>
          <t>Green</t>
        </is>
      </c>
      <c r="P19" s="52" t="inlineStr">
        <is>
          <t>Nothing flagged</t>
        </is>
      </c>
    </row>
    <row r="20">
      <c r="B20" s="51" t="n">
        <v>3</v>
      </c>
      <c r="C20" s="52" t="inlineStr">
        <is>
          <t>ATHERENERG</t>
        </is>
      </c>
      <c r="D20" s="52" t="inlineStr">
        <is>
          <t>INE0LEZ01016</t>
        </is>
      </c>
      <c r="E20" s="51" t="n">
        <v>10</v>
      </c>
      <c r="F20" s="18" t="n">
        <v>1454.9</v>
      </c>
      <c r="G20" s="18" t="n">
        <v>14549</v>
      </c>
      <c r="H20" s="51" t="n">
        <v>166</v>
      </c>
      <c r="I20" s="51" t="n">
        <v>97.5</v>
      </c>
      <c r="J20" s="51" t="n">
        <v>31.1</v>
      </c>
      <c r="K20" s="51" t="n">
        <v>49.4</v>
      </c>
      <c r="L20" s="51" t="n">
        <v>493</v>
      </c>
      <c r="M20" s="51" t="n">
        <v>-15.7</v>
      </c>
      <c r="N20" s="51" t="n">
        <v>9</v>
      </c>
      <c r="O20" s="52" t="inlineStr">
        <is>
          <t>Green</t>
        </is>
      </c>
      <c r="P20" s="52" t="inlineStr">
        <is>
          <t>Nothing flagged</t>
        </is>
      </c>
    </row>
    <row r="21">
      <c r="B21" s="51" t="n">
        <v>4</v>
      </c>
      <c r="C21" s="52" t="inlineStr">
        <is>
          <t>THANGAMAYL</t>
        </is>
      </c>
      <c r="D21" s="52" t="inlineStr">
        <is>
          <t>INE085J01014</t>
        </is>
      </c>
      <c r="E21" s="51" t="n">
        <v>2</v>
      </c>
      <c r="F21" s="18" t="n">
        <v>5011.5</v>
      </c>
      <c r="G21" s="18" t="n">
        <v>10023</v>
      </c>
      <c r="H21" s="51" t="n">
        <v>154</v>
      </c>
      <c r="I21" s="51" t="n">
        <v>66.3</v>
      </c>
      <c r="J21" s="51" t="n">
        <v>-14</v>
      </c>
      <c r="K21" s="51" t="n">
        <v>59.8</v>
      </c>
      <c r="L21" s="51" t="n">
        <v>71</v>
      </c>
      <c r="M21" s="51" t="n">
        <v>-31.4</v>
      </c>
      <c r="N21" s="51" t="n">
        <v>11</v>
      </c>
      <c r="O21" s="52" t="inlineStr">
        <is>
          <t>Green</t>
        </is>
      </c>
      <c r="P21" s="52" t="inlineStr">
        <is>
          <t>Nothing flagged</t>
        </is>
      </c>
    </row>
    <row r="22">
      <c r="B22" s="51" t="n">
        <v>5</v>
      </c>
      <c r="C22" s="52" t="inlineStr">
        <is>
          <t>RRKABEL</t>
        </is>
      </c>
      <c r="D22" s="52" t="inlineStr">
        <is>
          <t>INE777K01022</t>
        </is>
      </c>
      <c r="E22" s="51" t="n">
        <v>6</v>
      </c>
      <c r="F22" s="18" t="n">
        <v>2459.8</v>
      </c>
      <c r="G22" s="18" t="n">
        <v>14759</v>
      </c>
      <c r="H22" s="51" t="n">
        <v>126</v>
      </c>
      <c r="I22" s="51" t="n">
        <v>110</v>
      </c>
      <c r="J22" s="51" t="n">
        <v>18.2</v>
      </c>
      <c r="K22" s="51" t="n">
        <v>44</v>
      </c>
      <c r="L22" s="51" t="n">
        <v>93</v>
      </c>
      <c r="M22" s="51" t="n">
        <v>-16</v>
      </c>
      <c r="N22" s="51" t="n">
        <v>15</v>
      </c>
      <c r="O22" s="52" t="inlineStr">
        <is>
          <t>Green</t>
        </is>
      </c>
      <c r="P22" s="52" t="inlineStr">
        <is>
          <t>Nothing flagged</t>
        </is>
      </c>
    </row>
    <row r="23">
      <c r="B23" s="51" t="n">
        <v>6</v>
      </c>
      <c r="C23" s="52" t="inlineStr">
        <is>
          <t>ACUTAAS</t>
        </is>
      </c>
      <c r="D23" s="52" t="inlineStr">
        <is>
          <t>INE00FF01025</t>
        </is>
      </c>
      <c r="E23" s="51" t="n">
        <v>4</v>
      </c>
      <c r="F23" s="18" t="n">
        <v>3214.4</v>
      </c>
      <c r="G23" s="18" t="n">
        <v>12858</v>
      </c>
      <c r="H23" s="51" t="n">
        <v>126</v>
      </c>
      <c r="I23" s="51" t="n">
        <v>36.7</v>
      </c>
      <c r="J23" s="51" t="n">
        <v>-5.6</v>
      </c>
      <c r="K23" s="51" t="n">
        <v>46.7</v>
      </c>
      <c r="L23" s="51" t="n">
        <v>101</v>
      </c>
      <c r="M23" s="51" t="n">
        <v>-13</v>
      </c>
      <c r="N23" s="51" t="n">
        <v>16</v>
      </c>
      <c r="O23" s="52" t="inlineStr">
        <is>
          <t>Green</t>
        </is>
      </c>
      <c r="P23" s="52" t="inlineStr">
        <is>
          <t>Nothing flagged</t>
        </is>
      </c>
    </row>
    <row r="24">
      <c r="B24" s="51" t="n">
        <v>7</v>
      </c>
      <c r="C24" s="52" t="inlineStr">
        <is>
          <t>DIACABS</t>
        </is>
      </c>
      <c r="D24" s="52" t="inlineStr">
        <is>
          <t>INE989C01038</t>
        </is>
      </c>
      <c r="E24" s="51" t="n">
        <v>44</v>
      </c>
      <c r="F24" s="18" t="n">
        <v>339.25</v>
      </c>
      <c r="G24" s="18" t="n">
        <v>14927</v>
      </c>
      <c r="H24" s="51" t="n">
        <v>124</v>
      </c>
      <c r="I24" s="51" t="n">
        <v>180</v>
      </c>
      <c r="J24" s="51" t="n">
        <v>61.7</v>
      </c>
      <c r="K24" s="51" t="n">
        <v>53.6</v>
      </c>
      <c r="L24" s="51" t="n">
        <v>51</v>
      </c>
      <c r="M24" s="51" t="n">
        <v>-14.1</v>
      </c>
      <c r="N24" s="51" t="n">
        <v>17</v>
      </c>
      <c r="O24" s="52" t="inlineStr">
        <is>
          <t>Green</t>
        </is>
      </c>
      <c r="P24" s="52" t="inlineStr">
        <is>
          <t>Nothing flagged</t>
        </is>
      </c>
    </row>
    <row r="25">
      <c r="B25" s="51" t="n">
        <v>8</v>
      </c>
      <c r="C25" s="52" t="inlineStr">
        <is>
          <t>KIRLOSENG</t>
        </is>
      </c>
      <c r="D25" s="52" t="inlineStr">
        <is>
          <t>INE146L01010</t>
        </is>
      </c>
      <c r="E25" s="51" t="n">
        <v>7</v>
      </c>
      <c r="F25" s="18" t="n">
        <v>2141.2</v>
      </c>
      <c r="G25" s="18" t="n">
        <v>14988</v>
      </c>
      <c r="H25" s="51" t="n">
        <v>123</v>
      </c>
      <c r="I25" s="51" t="n">
        <v>58.2</v>
      </c>
      <c r="J25" s="51" t="n">
        <v>-11.2</v>
      </c>
      <c r="K25" s="51" t="n">
        <v>49.9</v>
      </c>
      <c r="L25" s="51" t="n">
        <v>87</v>
      </c>
      <c r="M25" s="51" t="n">
        <v>-16.5</v>
      </c>
      <c r="N25" s="51" t="n">
        <v>18</v>
      </c>
      <c r="O25" s="52" t="inlineStr">
        <is>
          <t>Green</t>
        </is>
      </c>
      <c r="P25" s="52" t="inlineStr">
        <is>
          <t>Nothing flagged</t>
        </is>
      </c>
    </row>
    <row r="26">
      <c r="B26" s="51" t="n">
        <v>9</v>
      </c>
      <c r="C26" s="52" t="inlineStr">
        <is>
          <t>E2E</t>
        </is>
      </c>
      <c r="D26" s="52" t="inlineStr">
        <is>
          <t>INE255Z01027</t>
        </is>
      </c>
      <c r="E26" s="51" t="n">
        <v>23</v>
      </c>
      <c r="F26" s="18" t="n">
        <v>625.9</v>
      </c>
      <c r="G26" s="18" t="n">
        <v>14396</v>
      </c>
      <c r="H26" s="51" t="n">
        <v>109</v>
      </c>
      <c r="I26" s="51" t="n">
        <v>186</v>
      </c>
      <c r="J26" s="51" t="n">
        <v>56</v>
      </c>
      <c r="K26" s="51" t="n">
        <v>56.2</v>
      </c>
      <c r="L26" s="51" t="n">
        <v>49</v>
      </c>
      <c r="M26" s="51" t="n">
        <v>-8.800000000000001</v>
      </c>
      <c r="N26" s="51" t="n">
        <v>20</v>
      </c>
      <c r="O26" s="52" t="inlineStr">
        <is>
          <t>Green</t>
        </is>
      </c>
      <c r="P26" s="52" t="inlineStr">
        <is>
          <t>Nothing flagged</t>
        </is>
      </c>
    </row>
    <row r="27">
      <c r="B27" s="51" t="n">
        <v>10</v>
      </c>
      <c r="C27" s="52" t="inlineStr">
        <is>
          <t>LAURUSLABS</t>
        </is>
      </c>
      <c r="D27" s="52" t="inlineStr">
        <is>
          <t>INE947Q01028</t>
        </is>
      </c>
      <c r="E27" s="51" t="n">
        <v>7</v>
      </c>
      <c r="F27" s="18" t="n">
        <v>2010.7</v>
      </c>
      <c r="G27" s="18" t="n">
        <v>14075</v>
      </c>
      <c r="H27" s="51" t="n">
        <v>109</v>
      </c>
      <c r="I27" s="51" t="n">
        <v>94.40000000000001</v>
      </c>
      <c r="J27" s="51" t="n">
        <v>27.2</v>
      </c>
      <c r="K27" s="51" t="n">
        <v>28.1</v>
      </c>
      <c r="L27" s="51" t="n">
        <v>300</v>
      </c>
      <c r="M27" s="51" t="n">
        <v>-1.1</v>
      </c>
      <c r="N27" s="51" t="n">
        <v>21</v>
      </c>
      <c r="O27" s="52" t="inlineStr">
        <is>
          <t>Green</t>
        </is>
      </c>
      <c r="P27" s="52" t="inlineStr">
        <is>
          <t>Nothing flagged</t>
        </is>
      </c>
    </row>
    <row r="30">
      <c r="B30" s="14" t="inlineStr">
        <is>
          <t>Evidence behind the rule (backtest, from HTML)</t>
        </is>
      </c>
    </row>
    <row r="31" ht="60" customHeight="1">
      <c r="B31" s="67" t="inlineStr">
        <is>
          <t>Backtest, 2017–2026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</t>
        </is>
      </c>
    </row>
    <row r="32" ht="60" customHeight="1">
      <c r="B32" s="67" t="inlineStr">
        <is>
          <t>Live record | No results yet | The first live result arrives when this system finishes its first batch. Live results are kept apart from the backtest and never mixed in.</t>
        </is>
      </c>
    </row>
    <row r="34">
      <c r="B34" s="14" t="inlineStr">
        <is>
          <t>Corporate actions (splits, bonuses, dividends)</t>
        </is>
      </c>
    </row>
    <row r="35">
      <c r="B35" s="28" t="inlineStr">
        <is>
          <t>None recorded during this hold.</t>
        </is>
      </c>
    </row>
  </sheetData>
  <mergeCells count="15">
    <mergeCell ref="C11:H11"/>
    <mergeCell ref="C6:H6"/>
    <mergeCell ref="C10:H10"/>
    <mergeCell ref="C14:H14"/>
    <mergeCell ref="C5:H5"/>
    <mergeCell ref="A2:H2"/>
    <mergeCell ref="C9:H9"/>
    <mergeCell ref="C13:H13"/>
    <mergeCell ref="B31:P31"/>
    <mergeCell ref="C8:H8"/>
    <mergeCell ref="C4:H4"/>
    <mergeCell ref="B32:P32"/>
    <mergeCell ref="A1:H1"/>
    <mergeCell ref="C12:H12"/>
    <mergeCell ref="C7:H7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8B5CF6"/>
    <outlinePr summaryBelow="1" summaryRight="1"/>
    <pageSetUpPr fitToPage="1"/>
  </sheetPr>
  <dimension ref="A1:I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2" customWidth="1" min="3" max="3"/>
    <col width="20" customWidth="1" min="4" max="4"/>
    <col width="12" customWidth="1" min="5" max="5"/>
    <col width="58" customWidth="1" min="6" max="6"/>
    <col width="15" customWidth="1" min="7" max="7"/>
    <col width="16" customWidth="1" min="8" max="8"/>
  </cols>
  <sheetData>
    <row r="1" ht="30" customHeight="1">
      <c r="A1" s="1" t="inlineStr">
        <is>
          <t>Stock-by-Stock Research &amp; Swing-Trade Shortlist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Views from your research notes · written 2026-09-28 13:27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Rank</t>
        </is>
      </c>
      <c r="B4" s="15" t="inlineStr">
        <is>
          <t>Symbol</t>
        </is>
      </c>
      <c r="C4" s="15" t="inlineStr">
        <is>
          <t>Company</t>
        </is>
      </c>
      <c r="D4" s="15" t="inlineStr">
        <is>
          <t>View</t>
        </is>
      </c>
      <c r="E4" s="15" t="inlineStr">
        <is>
          <t>Conviction</t>
        </is>
      </c>
      <c r="F4" s="15" t="inlineStr">
        <is>
          <t>Why</t>
        </is>
      </c>
      <c r="G4" s="15" t="inlineStr">
        <is>
          <t>Since entry %</t>
        </is>
      </c>
      <c r="H4" s="15" t="inlineStr">
        <is>
          <t>Call check</t>
        </is>
      </c>
    </row>
    <row r="5" ht="30" customHeight="1">
      <c r="A5" s="51" t="n">
        <v>1</v>
      </c>
      <c r="B5" s="16" t="inlineStr">
        <is>
          <t>LAURUSLABS</t>
        </is>
      </c>
      <c r="C5" s="52" t="inlineStr">
        <is>
          <t>Laurus Labs</t>
        </is>
      </c>
      <c r="D5" s="68" t="inlineStr">
        <is>
          <t>Bullish</t>
        </is>
      </c>
      <c r="E5" s="69" t="n">
        <v>2</v>
      </c>
      <c r="F5" s="70" t="inlineStr">
        <is>
          <t>Relative strength near highs, lowest volatility, defensive sector</t>
        </is>
      </c>
      <c r="G5" s="19" t="n">
        <v>0.01949819369525407</v>
      </c>
      <c r="H5" s="52" t="inlineStr">
        <is>
          <t>✓ On track</t>
        </is>
      </c>
    </row>
    <row r="6" ht="30" customHeight="1">
      <c r="A6" s="51" t="n">
        <v>2</v>
      </c>
      <c r="B6" s="16" t="inlineStr">
        <is>
          <t>TDPOWERSYS</t>
        </is>
      </c>
      <c r="C6" s="52" t="inlineStr">
        <is>
          <t>TD Power Systems</t>
        </is>
      </c>
      <c r="D6" s="71" t="inlineStr">
        <is>
          <t>Bullish</t>
        </is>
      </c>
      <c r="E6" s="69" t="n">
        <v>1.5</v>
      </c>
      <c r="F6" s="70" t="inlineStr">
        <is>
          <t>Guidance raised, shallow pullback. Check for a fundraise.</t>
        </is>
      </c>
      <c r="G6" s="19" t="n">
        <v>0.02246175243393589</v>
      </c>
      <c r="H6" s="52" t="inlineStr">
        <is>
          <t>✓ On track</t>
        </is>
      </c>
    </row>
    <row r="7" ht="30" customHeight="1">
      <c r="A7" s="51" t="n">
        <v>3</v>
      </c>
      <c r="B7" s="16" t="inlineStr">
        <is>
          <t>ATHERENERG</t>
        </is>
      </c>
      <c r="C7" s="52" t="inlineStr">
        <is>
          <t>Ather Energy</t>
        </is>
      </c>
      <c r="D7" s="71" t="inlineStr">
        <is>
          <t>Bullish</t>
        </is>
      </c>
      <c r="E7" s="69" t="n">
        <v>1.25</v>
      </c>
      <c r="F7" s="70" t="inlineStr">
        <is>
          <t>Strong catalysts and brokers, but still pulling back</t>
        </is>
      </c>
      <c r="G7" s="19" t="n">
        <v>0.006711409395973034</v>
      </c>
      <c r="H7" s="52" t="inlineStr">
        <is>
          <t>✓ On track</t>
        </is>
      </c>
    </row>
    <row r="8" ht="30" customHeight="1">
      <c r="A8" s="51" t="n">
        <v>4</v>
      </c>
      <c r="B8" s="16" t="inlineStr">
        <is>
          <t>RRKABEL</t>
        </is>
      </c>
      <c r="C8" s="52" t="inlineStr">
        <is>
          <t>RR Kabel</t>
        </is>
      </c>
      <c r="D8" s="72" t="inlineStr">
        <is>
          <t>Moderately bullish</t>
        </is>
      </c>
      <c r="E8" s="69" t="n">
        <v>1</v>
      </c>
      <c r="F8" s="70" t="inlineStr">
        <is>
          <t>Strong Q1, moderate volatility</t>
        </is>
      </c>
      <c r="G8" s="19" t="n">
        <v>-0.02918936498902358</v>
      </c>
      <c r="H8" s="52" t="inlineStr">
        <is>
          <t>✗ Off track</t>
        </is>
      </c>
    </row>
    <row r="9" ht="30" customHeight="1">
      <c r="A9" s="51" t="n">
        <v>5</v>
      </c>
      <c r="B9" s="16" t="inlineStr">
        <is>
          <t>AEROFLEX</t>
        </is>
      </c>
      <c r="C9" s="52" t="inlineStr">
        <is>
          <t>Aeroflex Industries</t>
        </is>
      </c>
      <c r="D9" s="71" t="inlineStr">
        <is>
          <t>Bullish, risky</t>
        </is>
      </c>
      <c r="E9" s="69" t="n">
        <v>1.25</v>
      </c>
      <c r="F9" s="70" t="inlineStr">
        <is>
          <t>Strong growth, expensive, volatile, thin liquidity</t>
        </is>
      </c>
      <c r="G9" s="19" t="n">
        <v>0.02835908468609416</v>
      </c>
      <c r="H9" s="52" t="inlineStr">
        <is>
          <t>✓ On track</t>
        </is>
      </c>
    </row>
    <row r="10" ht="30" customHeight="1">
      <c r="A10" s="51" t="n">
        <v>6</v>
      </c>
      <c r="B10" s="16" t="inlineStr">
        <is>
          <t>E2E</t>
        </is>
      </c>
      <c r="C10" s="52" t="inlineStr">
        <is>
          <t>E2E Networks</t>
        </is>
      </c>
      <c r="D10" s="73" t="inlineStr">
        <is>
          <t>Speculative</t>
        </is>
      </c>
      <c r="E10" s="69" t="n">
        <v>0.5</v>
      </c>
      <c r="F10" s="70" t="inlineStr">
        <is>
          <t>Big revenue jump, P/E near 400</t>
        </is>
      </c>
      <c r="G10" s="19" t="n">
        <v>0.1215398272940038</v>
      </c>
      <c r="H10" s="52" t="inlineStr">
        <is>
          <t>↑ Beat call</t>
        </is>
      </c>
    </row>
    <row r="11" ht="30" customHeight="1">
      <c r="A11" s="51" t="n">
        <v>7</v>
      </c>
      <c r="B11" s="16" t="inlineStr">
        <is>
          <t>ACUTAAS</t>
        </is>
      </c>
      <c r="C11" s="52" t="inlineStr">
        <is>
          <t>Acutaas Chemicals</t>
        </is>
      </c>
      <c r="D11" s="74" t="inlineStr">
        <is>
          <t>Neutral</t>
        </is>
      </c>
      <c r="E11" s="69" t="n">
        <v>0</v>
      </c>
      <c r="F11" s="70" t="inlineStr">
        <is>
          <t>No catalyst, sideways trend</t>
        </is>
      </c>
      <c r="G11" s="19" t="n">
        <v>-0.02553191489361706</v>
      </c>
      <c r="H11" s="52" t="inlineStr">
        <is>
          <t>• Neutral call</t>
        </is>
      </c>
    </row>
    <row r="12" ht="30" customHeight="1">
      <c r="A12" s="51" t="n">
        <v>8</v>
      </c>
      <c r="B12" s="16" t="inlineStr">
        <is>
          <t>DIACABS</t>
        </is>
      </c>
      <c r="C12" s="52" t="inlineStr">
        <is>
          <t>Diamond Power Infra</t>
        </is>
      </c>
      <c r="D12" s="75" t="inlineStr">
        <is>
          <t>Neutral to bearish</t>
        </is>
      </c>
      <c r="E12" s="69" t="n">
        <v>-1</v>
      </c>
      <c r="F12" s="70" t="inlineStr">
        <is>
          <t>Extended, weak balance sheet</t>
        </is>
      </c>
      <c r="G12" s="19" t="n">
        <v>0.07569011576135343</v>
      </c>
      <c r="H12" s="52" t="inlineStr">
        <is>
          <t>✗ Off track</t>
        </is>
      </c>
    </row>
    <row r="13" ht="30" customHeight="1">
      <c r="A13" s="51" t="n">
        <v>9</v>
      </c>
      <c r="B13" s="16" t="inlineStr">
        <is>
          <t>KIRLOSENG</t>
        </is>
      </c>
      <c r="C13" s="52" t="inlineStr">
        <is>
          <t>Kirloskar Oil Engines</t>
        </is>
      </c>
      <c r="D13" s="75" t="inlineStr">
        <is>
          <t>Neutral to bearish</t>
        </is>
      </c>
      <c r="E13" s="69" t="n">
        <v>-1</v>
      </c>
      <c r="F13" s="70" t="inlineStr">
        <is>
          <t>Margins and momentum fading</t>
        </is>
      </c>
      <c r="G13" s="19" t="n">
        <v>-0.05398841770969542</v>
      </c>
      <c r="H13" s="52" t="inlineStr">
        <is>
          <t>✓ On track</t>
        </is>
      </c>
    </row>
    <row r="14" ht="30" customHeight="1">
      <c r="A14" s="51" t="n">
        <v>10</v>
      </c>
      <c r="B14" s="16" t="inlineStr">
        <is>
          <t>THANGAMAYL</t>
        </is>
      </c>
      <c r="C14" s="52" t="inlineStr">
        <is>
          <t>Thangamayil Jewellery</t>
        </is>
      </c>
      <c r="D14" s="76" t="inlineStr">
        <is>
          <t>Bearish</t>
        </is>
      </c>
      <c r="E14" s="69" t="n">
        <v>-2</v>
      </c>
      <c r="F14" s="70" t="inlineStr">
        <is>
          <t>Downtrend, avoid</t>
        </is>
      </c>
      <c r="G14" s="19" t="n">
        <v>0.01756487025948106</v>
      </c>
      <c r="H14" s="52" t="inlineStr">
        <is>
          <t>✗ Off track</t>
        </is>
      </c>
    </row>
    <row r="16">
      <c r="A16" s="77" t="inlineStr">
        <is>
          <t>STOCK BY STOCK — catalysts, risks and sources</t>
        </is>
      </c>
    </row>
    <row r="17">
      <c r="A17" s="15" t="inlineStr">
        <is>
          <t>Rank</t>
        </is>
      </c>
      <c r="B17" s="15" t="inlineStr">
        <is>
          <t>Symbol</t>
        </is>
      </c>
      <c r="C17" s="15" t="inlineStr">
        <is>
          <t>Company</t>
        </is>
      </c>
      <c r="D17" s="15" t="inlineStr">
        <is>
          <t>Type</t>
        </is>
      </c>
      <c r="E17" s="15" t="inlineStr">
        <is>
          <t>Point</t>
        </is>
      </c>
      <c r="F17" s="15" t="inlineStr"/>
      <c r="G17" s="15" t="inlineStr">
        <is>
          <t>Source</t>
        </is>
      </c>
      <c r="H17" s="15" t="inlineStr">
        <is>
          <t>Link</t>
        </is>
      </c>
    </row>
    <row r="18" ht="44" customHeight="1">
      <c r="A18" s="51" t="n">
        <v>1</v>
      </c>
      <c r="B18" s="52" t="inlineStr">
        <is>
          <t>LAURUSLABS</t>
        </is>
      </c>
      <c r="C18" s="52" t="inlineStr">
        <is>
          <t>Laurus Labs</t>
        </is>
      </c>
      <c r="D18" s="78" t="inlineStr">
        <is>
          <t>Catalyst</t>
        </is>
      </c>
      <c r="E18" s="70" t="inlineStr">
        <is>
          <t>Its close is only 1.1% below its 12-month high, and its volatility is the lowest of the ten (28%).</t>
        </is>
      </c>
      <c r="F18" s="65" t="n"/>
      <c r="G18" s="52" t="inlineStr"/>
      <c r="H18" s="52" t="n"/>
    </row>
    <row r="19" ht="30" customHeight="1">
      <c r="A19" s="51" t="n">
        <v>1</v>
      </c>
      <c r="B19" s="52" t="inlineStr">
        <is>
          <t>LAURUSLABS</t>
        </is>
      </c>
      <c r="C19" s="52" t="inlineStr">
        <is>
          <t>Laurus Labs</t>
        </is>
      </c>
      <c r="D19" s="78" t="inlineStr">
        <is>
          <t>Catalyst</t>
        </is>
      </c>
      <c r="E19" s="70" t="inlineStr">
        <is>
          <t>FY26 profit after tax was ₹740 crore vs ₹380 crore the year before.</t>
        </is>
      </c>
      <c r="F19" s="65" t="n"/>
      <c r="G19" s="52" t="inlineStr">
        <is>
          <t>torusdigital</t>
        </is>
      </c>
      <c r="H19" s="79" t="inlineStr">
        <is>
          <t>open ↗</t>
        </is>
      </c>
    </row>
    <row r="20" ht="30" customHeight="1">
      <c r="A20" s="51" t="n">
        <v>1</v>
      </c>
      <c r="B20" s="52" t="inlineStr">
        <is>
          <t>LAURUSLABS</t>
        </is>
      </c>
      <c r="C20" s="52" t="inlineStr">
        <is>
          <t>Laurus Labs</t>
        </is>
      </c>
      <c r="D20" s="78" t="inlineStr">
        <is>
          <t>Catalyst</t>
        </is>
      </c>
      <c r="E20" s="70" t="inlineStr">
        <is>
          <t>It is up about 94% in six months and holding near highs while the index falls.</t>
        </is>
      </c>
      <c r="F20" s="65" t="n"/>
      <c r="G20" s="52" t="inlineStr">
        <is>
          <t>anandrathi</t>
        </is>
      </c>
      <c r="H20" s="79" t="inlineStr">
        <is>
          <t>open ↗</t>
        </is>
      </c>
    </row>
    <row r="21" ht="30" customHeight="1">
      <c r="A21" s="51" t="n">
        <v>1</v>
      </c>
      <c r="B21" s="52" t="inlineStr">
        <is>
          <t>LAURUSLABS</t>
        </is>
      </c>
      <c r="C21" s="52" t="inlineStr">
        <is>
          <t>Laurus Labs</t>
        </is>
      </c>
      <c r="D21" s="78" t="inlineStr">
        <is>
          <t>Catalyst</t>
        </is>
      </c>
      <c r="E21" s="70" t="inlineStr">
        <is>
          <t>Pharma is also defensive in a risk-off tape.</t>
        </is>
      </c>
      <c r="F21" s="65" t="n"/>
      <c r="G21" s="52" t="inlineStr">
        <is>
          <t>anandrathi</t>
        </is>
      </c>
      <c r="H21" s="79" t="inlineStr">
        <is>
          <t>open ↗</t>
        </is>
      </c>
    </row>
    <row r="22" ht="30" customHeight="1">
      <c r="A22" s="51" t="n">
        <v>1</v>
      </c>
      <c r="B22" s="52" t="inlineStr">
        <is>
          <t>LAURUSLABS</t>
        </is>
      </c>
      <c r="C22" s="52" t="inlineStr">
        <is>
          <t>Laurus Labs</t>
        </is>
      </c>
      <c r="D22" s="80" t="inlineStr">
        <is>
          <t>Risk</t>
        </is>
      </c>
      <c r="E22" s="70" t="inlineStr">
        <is>
          <t>P/E is high, so it can still pull back.</t>
        </is>
      </c>
      <c r="F22" s="65" t="n"/>
      <c r="G22" s="52" t="inlineStr">
        <is>
          <t>anandrathi</t>
        </is>
      </c>
      <c r="H22" s="79" t="inlineStr">
        <is>
          <t>open ↗</t>
        </is>
      </c>
    </row>
    <row r="23" ht="30" customHeight="1">
      <c r="A23" s="51" t="n">
        <v>2</v>
      </c>
      <c r="B23" s="52" t="inlineStr">
        <is>
          <t>TDPOWERSYS</t>
        </is>
      </c>
      <c r="C23" s="52" t="inlineStr">
        <is>
          <t>TD Power Systems</t>
        </is>
      </c>
      <c r="D23" s="81" t="inlineStr">
        <is>
          <t>Context</t>
        </is>
      </c>
      <c r="E23" s="70" t="inlineStr">
        <is>
          <t>The stock is 10% below its high, a shallow pullback within a strong uptrend.</t>
        </is>
      </c>
      <c r="F23" s="65" t="n"/>
      <c r="G23" s="52" t="inlineStr"/>
      <c r="H23" s="52" t="n"/>
    </row>
    <row r="24" ht="30" customHeight="1">
      <c r="A24" s="51" t="n">
        <v>2</v>
      </c>
      <c r="B24" s="52" t="inlineStr">
        <is>
          <t>TDPOWERSYS</t>
        </is>
      </c>
      <c r="C24" s="52" t="inlineStr">
        <is>
          <t>TD Power Systems</t>
        </is>
      </c>
      <c r="D24" s="78" t="inlineStr">
        <is>
          <t>Catalyst</t>
        </is>
      </c>
      <c r="E24" s="70" t="inlineStr">
        <is>
          <t>Q1 FY27 revenue rose about 72% YoY.</t>
        </is>
      </c>
      <c r="F24" s="65" t="n"/>
      <c r="G24" s="52" t="inlineStr">
        <is>
          <t>5paisa</t>
        </is>
      </c>
      <c r="H24" s="79" t="inlineStr">
        <is>
          <t>open ↗</t>
        </is>
      </c>
    </row>
    <row r="25" ht="30" customHeight="1">
      <c r="A25" s="51" t="n">
        <v>2</v>
      </c>
      <c r="B25" s="52" t="inlineStr">
        <is>
          <t>TDPOWERSYS</t>
        </is>
      </c>
      <c r="C25" s="52" t="inlineStr">
        <is>
          <t>TD Power Systems</t>
        </is>
      </c>
      <c r="D25" s="78" t="inlineStr">
        <is>
          <t>Catalyst</t>
        </is>
      </c>
      <c r="E25" s="70" t="inlineStr">
        <is>
          <t>It raised its FY27 revenue guidance to ₹2,600 crore.</t>
        </is>
      </c>
      <c r="F25" s="65" t="n"/>
      <c r="G25" s="52" t="inlineStr">
        <is>
          <t>fyers</t>
        </is>
      </c>
      <c r="H25" s="79" t="inlineStr">
        <is>
          <t>open ↗</t>
        </is>
      </c>
    </row>
    <row r="26" ht="44" customHeight="1">
      <c r="A26" s="51" t="n">
        <v>2</v>
      </c>
      <c r="B26" s="52" t="inlineStr">
        <is>
          <t>TDPOWERSYS</t>
        </is>
      </c>
      <c r="C26" s="52" t="inlineStr">
        <is>
          <t>TD Power Systems</t>
        </is>
      </c>
      <c r="D26" s="80" t="inlineStr">
        <is>
          <t>Risk</t>
        </is>
      </c>
      <c r="E26" s="70" t="inlineStr">
        <is>
          <t>A board meeting on 14 Aug was set to consider raising funds, so check whether a dilutive QIP is pending.</t>
        </is>
      </c>
      <c r="F26" s="65" t="n"/>
      <c r="G26" s="52" t="inlineStr">
        <is>
          <t>5paisa</t>
        </is>
      </c>
      <c r="H26" s="79" t="inlineStr">
        <is>
          <t>open ↗</t>
        </is>
      </c>
    </row>
    <row r="27" ht="30" customHeight="1">
      <c r="A27" s="51" t="n">
        <v>2</v>
      </c>
      <c r="B27" s="52" t="inlineStr">
        <is>
          <t>TDPOWERSYS</t>
        </is>
      </c>
      <c r="C27" s="52" t="inlineStr">
        <is>
          <t>TD Power Systems</t>
        </is>
      </c>
      <c r="D27" s="80" t="inlineStr">
        <is>
          <t>Risk</t>
        </is>
      </c>
      <c r="E27" s="70" t="inlineStr">
        <is>
          <t>Valuation is stretched (P/E around 70).</t>
        </is>
      </c>
      <c r="F27" s="65" t="n"/>
      <c r="G27" s="52" t="inlineStr">
        <is>
          <t>5paisa</t>
        </is>
      </c>
      <c r="H27" s="79" t="inlineStr">
        <is>
          <t>open ↗</t>
        </is>
      </c>
    </row>
    <row r="28" ht="30" customHeight="1">
      <c r="A28" s="51" t="n">
        <v>3</v>
      </c>
      <c r="B28" s="52" t="inlineStr">
        <is>
          <t>ATHERENERG</t>
        </is>
      </c>
      <c r="C28" s="52" t="inlineStr">
        <is>
          <t>Ather Energy</t>
        </is>
      </c>
      <c r="D28" s="78" t="inlineStr">
        <is>
          <t>Catalyst</t>
        </is>
      </c>
      <c r="E28" s="70" t="inlineStr">
        <is>
          <t>Q1 revenue grew 89% and the loss narrowed 71%.</t>
        </is>
      </c>
      <c r="F28" s="65" t="n"/>
      <c r="G28" s="52" t="inlineStr">
        <is>
          <t>indmoney</t>
        </is>
      </c>
      <c r="H28" s="79" t="inlineStr">
        <is>
          <t>open ↗</t>
        </is>
      </c>
    </row>
    <row r="29" ht="30" customHeight="1">
      <c r="A29" s="51" t="n">
        <v>3</v>
      </c>
      <c r="B29" s="52" t="inlineStr">
        <is>
          <t>ATHERENERG</t>
        </is>
      </c>
      <c r="C29" s="52" t="inlineStr">
        <is>
          <t>Ather Energy</t>
        </is>
      </c>
      <c r="D29" s="78" t="inlineStr">
        <is>
          <t>Catalyst</t>
        </is>
      </c>
      <c r="E29" s="70" t="inlineStr">
        <is>
          <t>It was also added to the MSCI India Domestic Small Cap Index.</t>
        </is>
      </c>
      <c r="F29" s="65" t="n"/>
      <c r="G29" s="52" t="inlineStr">
        <is>
          <t>indmoney</t>
        </is>
      </c>
      <c r="H29" s="79" t="inlineStr">
        <is>
          <t>open ↗</t>
        </is>
      </c>
    </row>
    <row r="30" ht="30" customHeight="1">
      <c r="A30" s="51" t="n">
        <v>3</v>
      </c>
      <c r="B30" s="52" t="inlineStr">
        <is>
          <t>ATHERENERG</t>
        </is>
      </c>
      <c r="C30" s="52" t="inlineStr">
        <is>
          <t>Ather Energy</t>
        </is>
      </c>
      <c r="D30" s="78" t="inlineStr">
        <is>
          <t>Catalyst</t>
        </is>
      </c>
      <c r="E30" s="70" t="inlineStr">
        <is>
          <t>Hero MotoCorp is lifting its stake to about 32.8%.</t>
        </is>
      </c>
      <c r="F30" s="65" t="n"/>
      <c r="G30" s="52" t="inlineStr">
        <is>
          <t>freepressjournal</t>
        </is>
      </c>
      <c r="H30" s="79" t="inlineStr">
        <is>
          <t>open ↗</t>
        </is>
      </c>
    </row>
    <row r="31" ht="30" customHeight="1">
      <c r="A31" s="51" t="n">
        <v>3</v>
      </c>
      <c r="B31" s="52" t="inlineStr">
        <is>
          <t>ATHERENERG</t>
        </is>
      </c>
      <c r="C31" s="52" t="inlineStr">
        <is>
          <t>Ather Energy</t>
        </is>
      </c>
      <c r="D31" s="78" t="inlineStr">
        <is>
          <t>Catalyst</t>
        </is>
      </c>
      <c r="E31" s="70" t="inlineStr">
        <is>
          <t>A global broker raised its target to ₹1,926.</t>
        </is>
      </c>
      <c r="F31" s="65" t="n"/>
      <c r="G31" s="52" t="inlineStr">
        <is>
          <t>hdfcsky</t>
        </is>
      </c>
      <c r="H31" s="79" t="inlineStr">
        <is>
          <t>open ↗</t>
        </is>
      </c>
    </row>
    <row r="32" ht="44" customHeight="1">
      <c r="A32" s="51" t="n">
        <v>3</v>
      </c>
      <c r="B32" s="52" t="inlineStr">
        <is>
          <t>ATHERENERG</t>
        </is>
      </c>
      <c r="C32" s="52" t="inlineStr">
        <is>
          <t>Ather Energy</t>
        </is>
      </c>
      <c r="D32" s="81" t="inlineStr">
        <is>
          <t>Context</t>
        </is>
      </c>
      <c r="E32" s="70" t="inlineStr">
        <is>
          <t>The stock has slid about 16% from its early-September high, so the story is intact but the price is digesting a big run.</t>
        </is>
      </c>
      <c r="F32" s="65" t="n"/>
      <c r="G32" s="52" t="inlineStr"/>
      <c r="H32" s="52" t="n"/>
    </row>
    <row r="33" ht="30" customHeight="1">
      <c r="A33" s="51" t="n">
        <v>3</v>
      </c>
      <c r="B33" s="52" t="inlineStr">
        <is>
          <t>ATHERENERG</t>
        </is>
      </c>
      <c r="C33" s="52" t="inlineStr">
        <is>
          <t>Ather Energy</t>
        </is>
      </c>
      <c r="D33" s="78" t="inlineStr">
        <is>
          <t>Catalyst</t>
        </is>
      </c>
      <c r="E33" s="70" t="inlineStr">
        <is>
          <t>High oil prices are a tailwind for the EV theme.</t>
        </is>
      </c>
      <c r="F33" s="65" t="n"/>
      <c r="G33" s="52" t="inlineStr"/>
      <c r="H33" s="52" t="n"/>
    </row>
    <row r="34" ht="30" customHeight="1">
      <c r="A34" s="51" t="n">
        <v>4</v>
      </c>
      <c r="B34" s="52" t="inlineStr">
        <is>
          <t>RRKABEL</t>
        </is>
      </c>
      <c r="C34" s="52" t="inlineStr">
        <is>
          <t>RR Kabel</t>
        </is>
      </c>
      <c r="D34" s="78" t="inlineStr">
        <is>
          <t>Catalyst</t>
        </is>
      </c>
      <c r="E34" s="70" t="inlineStr">
        <is>
          <t>Q1 PAT jumped 129% and EBITDA doubled.</t>
        </is>
      </c>
      <c r="F34" s="65" t="n"/>
      <c r="G34" s="52" t="inlineStr">
        <is>
          <t>5paisa</t>
        </is>
      </c>
      <c r="H34" s="79" t="inlineStr">
        <is>
          <t>open ↗</t>
        </is>
      </c>
    </row>
    <row r="35" ht="30" customHeight="1">
      <c r="A35" s="51" t="n">
        <v>4</v>
      </c>
      <c r="B35" s="52" t="inlineStr">
        <is>
          <t>RRKABEL</t>
        </is>
      </c>
      <c r="C35" s="52" t="inlineStr">
        <is>
          <t>RR Kabel</t>
        </is>
      </c>
      <c r="D35" s="78" t="inlineStr">
        <is>
          <t>Catalyst</t>
        </is>
      </c>
      <c r="E35" s="70" t="inlineStr">
        <is>
          <t>CLSA initiated at Outperform with a ₹2,850 target.</t>
        </is>
      </c>
      <c r="F35" s="65" t="n"/>
      <c r="G35" s="52" t="inlineStr">
        <is>
          <t>fyers</t>
        </is>
      </c>
      <c r="H35" s="79" t="inlineStr">
        <is>
          <t>open ↗</t>
        </is>
      </c>
    </row>
    <row r="36" ht="30" customHeight="1">
      <c r="A36" s="51" t="n">
        <v>4</v>
      </c>
      <c r="B36" s="52" t="inlineStr">
        <is>
          <t>RRKABEL</t>
        </is>
      </c>
      <c r="C36" s="52" t="inlineStr">
        <is>
          <t>RR Kabel</t>
        </is>
      </c>
      <c r="D36" s="81" t="inlineStr">
        <is>
          <t>Context</t>
        </is>
      </c>
      <c r="E36" s="70" t="inlineStr">
        <is>
          <t>The stock is 16% off its high, so it is consolidating.</t>
        </is>
      </c>
      <c r="F36" s="65" t="n"/>
      <c r="G36" s="52" t="inlineStr"/>
      <c r="H36" s="52" t="n"/>
    </row>
    <row r="37" ht="30" customHeight="1">
      <c r="A37" s="51" t="n">
        <v>4</v>
      </c>
      <c r="B37" s="52" t="inlineStr">
        <is>
          <t>RRKABEL</t>
        </is>
      </c>
      <c r="C37" s="52" t="inlineStr">
        <is>
          <t>RR Kabel</t>
        </is>
      </c>
      <c r="D37" s="78" t="inlineStr">
        <is>
          <t>Catalyst</t>
        </is>
      </c>
      <c r="E37" s="70" t="inlineStr">
        <is>
          <t>Volatility is moderate (44%), which is better than most here.</t>
        </is>
      </c>
      <c r="F37" s="65" t="n"/>
      <c r="G37" s="52" t="inlineStr"/>
      <c r="H37" s="52" t="n"/>
    </row>
    <row r="38" ht="30" customHeight="1">
      <c r="A38" s="51" t="n">
        <v>5</v>
      </c>
      <c r="B38" s="52" t="inlineStr">
        <is>
          <t>AEROFLEX</t>
        </is>
      </c>
      <c r="C38" s="52" t="inlineStr">
        <is>
          <t>Aeroflex Industries</t>
        </is>
      </c>
      <c r="D38" s="78" t="inlineStr">
        <is>
          <t>Catalyst</t>
        </is>
      </c>
      <c r="E38" s="70" t="inlineStr">
        <is>
          <t>Q1 FY27 revenue grew 72.4% and PAT rose 162%.</t>
        </is>
      </c>
      <c r="F38" s="65" t="n"/>
      <c r="G38" s="52" t="inlineStr">
        <is>
          <t>sahi</t>
        </is>
      </c>
      <c r="H38" s="79" t="inlineStr">
        <is>
          <t>open ↗</t>
        </is>
      </c>
    </row>
    <row r="39" ht="30" customHeight="1">
      <c r="A39" s="51" t="n">
        <v>5</v>
      </c>
      <c r="B39" s="52" t="inlineStr">
        <is>
          <t>AEROFLEX</t>
        </is>
      </c>
      <c r="C39" s="52" t="inlineStr">
        <is>
          <t>Aeroflex Industries</t>
        </is>
      </c>
      <c r="D39" s="78" t="inlineStr">
        <is>
          <t>Catalyst</t>
        </is>
      </c>
      <c r="E39" s="70" t="inlineStr">
        <is>
          <t>Liquid-cooling skid capacity was raised 50%, with further expansion planned.</t>
        </is>
      </c>
      <c r="F39" s="65" t="n"/>
      <c r="G39" s="52" t="inlineStr">
        <is>
          <t>sahi</t>
        </is>
      </c>
      <c r="H39" s="79" t="inlineStr">
        <is>
          <t>open ↗</t>
        </is>
      </c>
    </row>
    <row r="40" ht="44" customHeight="1">
      <c r="A40" s="51" t="n">
        <v>5</v>
      </c>
      <c r="B40" s="52" t="inlineStr">
        <is>
          <t>AEROFLEX</t>
        </is>
      </c>
      <c r="C40" s="52" t="inlineStr">
        <is>
          <t>Aeroflex Industries</t>
        </is>
      </c>
      <c r="D40" s="80" t="inlineStr">
        <is>
          <t>Risk</t>
        </is>
      </c>
      <c r="E40" s="70" t="inlineStr">
        <is>
          <t>P/E is about 102, volatility is the highest of the ten (67%), and liquidity is thin (₹53 cr/day).</t>
        </is>
      </c>
      <c r="F40" s="65" t="n"/>
      <c r="G40" s="52" t="inlineStr">
        <is>
          <t>share</t>
        </is>
      </c>
      <c r="H40" s="79" t="inlineStr">
        <is>
          <t>open ↗</t>
        </is>
      </c>
    </row>
    <row r="41" ht="30" customHeight="1">
      <c r="A41" s="51" t="n">
        <v>5</v>
      </c>
      <c r="B41" s="52" t="inlineStr">
        <is>
          <t>AEROFLEX</t>
        </is>
      </c>
      <c r="C41" s="52" t="inlineStr">
        <is>
          <t>Aeroflex Industries</t>
        </is>
      </c>
      <c r="D41" s="80" t="inlineStr">
        <is>
          <t>Risk</t>
        </is>
      </c>
      <c r="E41" s="70" t="inlineStr">
        <is>
          <t>That makes it the most fragile in a falling market.</t>
        </is>
      </c>
      <c r="F41" s="65" t="n"/>
      <c r="G41" s="52" t="inlineStr">
        <is>
          <t>share</t>
        </is>
      </c>
      <c r="H41" s="79" t="inlineStr">
        <is>
          <t>open ↗</t>
        </is>
      </c>
    </row>
    <row r="42" ht="44" customHeight="1">
      <c r="A42" s="51" t="n">
        <v>6</v>
      </c>
      <c r="B42" s="52" t="inlineStr">
        <is>
          <t>E2E</t>
        </is>
      </c>
      <c r="C42" s="52" t="inlineStr">
        <is>
          <t>E2E Networks</t>
        </is>
      </c>
      <c r="D42" s="78" t="inlineStr">
        <is>
          <t>Catalyst</t>
        </is>
      </c>
      <c r="E42" s="70" t="inlineStr">
        <is>
          <t>Q1 revenue was ₹156.76 crore vs ₹36.11 crore a year earlier, with a profit of ₹43.88 crore, on GPU cluster expansion.</t>
        </is>
      </c>
      <c r="F42" s="65" t="n"/>
      <c r="G42" s="52" t="inlineStr">
        <is>
          <t>angelone</t>
        </is>
      </c>
      <c r="H42" s="79" t="inlineStr">
        <is>
          <t>open ↗</t>
        </is>
      </c>
    </row>
    <row r="43" ht="30" customHeight="1">
      <c r="A43" s="51" t="n">
        <v>6</v>
      </c>
      <c r="B43" s="52" t="inlineStr">
        <is>
          <t>E2E</t>
        </is>
      </c>
      <c r="C43" s="52" t="inlineStr">
        <is>
          <t>E2E Networks</t>
        </is>
      </c>
      <c r="D43" s="80" t="inlineStr">
        <is>
          <t>Risk</t>
        </is>
      </c>
      <c r="E43" s="70" t="inlineStr">
        <is>
          <t>P/E is about 398 and the stock fell 11.8% in the month to 18 Sep.</t>
        </is>
      </c>
      <c r="F43" s="65" t="n"/>
      <c r="G43" s="52" t="inlineStr">
        <is>
          <t>anandrathi</t>
        </is>
      </c>
      <c r="H43" s="79" t="inlineStr">
        <is>
          <t>open ↗</t>
        </is>
      </c>
    </row>
    <row r="44" ht="30" customHeight="1">
      <c r="A44" s="51" t="n">
        <v>6</v>
      </c>
      <c r="B44" s="52" t="inlineStr">
        <is>
          <t>E2E</t>
        </is>
      </c>
      <c r="C44" s="52" t="inlineStr">
        <is>
          <t>E2E Networks</t>
        </is>
      </c>
      <c r="D44" s="81" t="inlineStr">
        <is>
          <t>Context</t>
        </is>
      </c>
      <c r="E44" s="70" t="inlineStr">
        <is>
          <t>It has bounced since.</t>
        </is>
      </c>
      <c r="F44" s="65" t="n"/>
      <c r="G44" s="52" t="inlineStr">
        <is>
          <t>anandrathi</t>
        </is>
      </c>
      <c r="H44" s="79" t="inlineStr">
        <is>
          <t>open ↗</t>
        </is>
      </c>
    </row>
    <row r="45" ht="30" customHeight="1">
      <c r="A45" s="51" t="n">
        <v>6</v>
      </c>
      <c r="B45" s="52" t="inlineStr">
        <is>
          <t>E2E</t>
        </is>
      </c>
      <c r="C45" s="52" t="inlineStr">
        <is>
          <t>E2E Networks</t>
        </is>
      </c>
      <c r="D45" s="80" t="inlineStr">
        <is>
          <t>Risk</t>
        </is>
      </c>
      <c r="E45" s="70" t="inlineStr">
        <is>
          <t>It is an AI-theme stock with thin liquidity and gap risk in both directions.</t>
        </is>
      </c>
      <c r="F45" s="65" t="n"/>
      <c r="G45" s="52" t="inlineStr"/>
      <c r="H45" s="52" t="n"/>
    </row>
    <row r="46" ht="44" customHeight="1">
      <c r="A46" s="51" t="n">
        <v>7</v>
      </c>
      <c r="B46" s="52" t="inlineStr">
        <is>
          <t>ACUTAAS</t>
        </is>
      </c>
      <c r="C46" s="52" t="inlineStr">
        <is>
          <t>Acutaas Chemicals</t>
        </is>
      </c>
      <c r="D46" s="78" t="inlineStr">
        <is>
          <t>Catalyst</t>
        </is>
      </c>
      <c r="E46" s="70" t="inlineStr">
        <is>
          <t>It received PLI approval for an electrolyte additives plan and commissioned a high-potency API pilot plant.</t>
        </is>
      </c>
      <c r="F46" s="65" t="n"/>
      <c r="G46" s="52" t="inlineStr">
        <is>
          <t>fyers</t>
        </is>
      </c>
      <c r="H46" s="79" t="inlineStr">
        <is>
          <t>open ↗</t>
        </is>
      </c>
    </row>
    <row r="47" ht="44" customHeight="1">
      <c r="A47" s="51" t="n">
        <v>7</v>
      </c>
      <c r="B47" s="52" t="inlineStr">
        <is>
          <t>ACUTAAS</t>
        </is>
      </c>
      <c r="C47" s="52" t="inlineStr">
        <is>
          <t>Acutaas Chemicals</t>
        </is>
      </c>
      <c r="D47" s="80" t="inlineStr">
        <is>
          <t>Risk</t>
        </is>
      </c>
      <c r="E47" s="70" t="inlineStr">
        <is>
          <t>Quarterly revenue and profit were lower sequentially (₹327 cr and ₹76 cr in Jun vs ₹436 cr and ₹137 cr in Mar).</t>
        </is>
      </c>
      <c r="F47" s="65" t="n"/>
      <c r="G47" s="52" t="inlineStr">
        <is>
          <t>anandrathi</t>
        </is>
      </c>
      <c r="H47" s="79" t="inlineStr">
        <is>
          <t>open ↗</t>
        </is>
      </c>
    </row>
    <row r="48" ht="30" customHeight="1">
      <c r="A48" s="51" t="n">
        <v>7</v>
      </c>
      <c r="B48" s="52" t="inlineStr">
        <is>
          <t>ACUTAAS</t>
        </is>
      </c>
      <c r="C48" s="52" t="inlineStr">
        <is>
          <t>Acutaas Chemicals</t>
        </is>
      </c>
      <c r="D48" s="80" t="inlineStr">
        <is>
          <t>Risk</t>
        </is>
      </c>
      <c r="E48" s="70" t="inlineStr">
        <is>
          <t>The 6-1 return is negative.</t>
        </is>
      </c>
      <c r="F48" s="65" t="n"/>
      <c r="G48" s="52" t="inlineStr">
        <is>
          <t>anandrathi</t>
        </is>
      </c>
      <c r="H48" s="79" t="inlineStr">
        <is>
          <t>open ↗</t>
        </is>
      </c>
    </row>
    <row r="49" ht="30" customHeight="1">
      <c r="A49" s="51" t="n">
        <v>7</v>
      </c>
      <c r="B49" s="52" t="inlineStr">
        <is>
          <t>ACUTAAS</t>
        </is>
      </c>
      <c r="C49" s="52" t="inlineStr">
        <is>
          <t>Acutaas Chemicals</t>
        </is>
      </c>
      <c r="D49" s="80" t="inlineStr">
        <is>
          <t>Risk</t>
        </is>
      </c>
      <c r="E49" s="70" t="inlineStr">
        <is>
          <t>The price has moved sideways since June.</t>
        </is>
      </c>
      <c r="F49" s="65" t="n"/>
      <c r="G49" s="52" t="inlineStr"/>
      <c r="H49" s="52" t="n"/>
    </row>
    <row r="50" ht="30" customHeight="1">
      <c r="A50" s="51" t="n">
        <v>7</v>
      </c>
      <c r="B50" s="52" t="inlineStr">
        <is>
          <t>ACUTAAS</t>
        </is>
      </c>
      <c r="C50" s="52" t="inlineStr">
        <is>
          <t>Acutaas Chemicals</t>
        </is>
      </c>
      <c r="D50" s="80" t="inlineStr">
        <is>
          <t>Risk</t>
        </is>
      </c>
      <c r="E50" s="70" t="inlineStr">
        <is>
          <t>There is no clear trigger for a 21-day move.</t>
        </is>
      </c>
      <c r="F50" s="65" t="n"/>
      <c r="G50" s="52" t="inlineStr"/>
      <c r="H50" s="52" t="n"/>
    </row>
    <row r="51" ht="30" customHeight="1">
      <c r="A51" s="51" t="n">
        <v>8</v>
      </c>
      <c r="B51" s="52" t="inlineStr">
        <is>
          <t>DIACABS</t>
        </is>
      </c>
      <c r="C51" s="52" t="inlineStr">
        <is>
          <t>Diamond Power Infra</t>
        </is>
      </c>
      <c r="D51" s="80" t="inlineStr">
        <is>
          <t>Risk</t>
        </is>
      </c>
      <c r="E51" s="70" t="inlineStr">
        <is>
          <t>It hit a 52-week high of about ₹395 on 17 Sep, up 202% in six months, with a P/E near 128.</t>
        </is>
      </c>
      <c r="F51" s="65" t="n"/>
      <c r="G51" s="52" t="inlineStr">
        <is>
          <t>anandrathi</t>
        </is>
      </c>
      <c r="H51" s="79" t="inlineStr">
        <is>
          <t>open ↗</t>
        </is>
      </c>
    </row>
    <row r="52" ht="30" customHeight="1">
      <c r="A52" s="51" t="n">
        <v>8</v>
      </c>
      <c r="B52" s="52" t="inlineStr">
        <is>
          <t>DIACABS</t>
        </is>
      </c>
      <c r="C52" s="52" t="inlineStr">
        <is>
          <t>Diamond Power Infra</t>
        </is>
      </c>
      <c r="D52" s="80" t="inlineStr">
        <is>
          <t>Risk</t>
        </is>
      </c>
      <c r="E52" s="70" t="inlineStr">
        <is>
          <t>Book value per share was negative in the July data.</t>
        </is>
      </c>
      <c r="F52" s="65" t="n"/>
      <c r="G52" s="52" t="inlineStr">
        <is>
          <t>bajajfinserv</t>
        </is>
      </c>
      <c r="H52" s="79" t="inlineStr">
        <is>
          <t>open ↗</t>
        </is>
      </c>
    </row>
    <row r="53" ht="30" customHeight="1">
      <c r="A53" s="51" t="n">
        <v>8</v>
      </c>
      <c r="B53" s="52" t="inlineStr">
        <is>
          <t>DIACABS</t>
        </is>
      </c>
      <c r="C53" s="52" t="inlineStr">
        <is>
          <t>Diamond Power Infra</t>
        </is>
      </c>
      <c r="D53" s="80" t="inlineStr">
        <is>
          <t>Risk</t>
        </is>
      </c>
      <c r="E53" s="70" t="inlineStr">
        <is>
          <t>It is now 14% off that high.</t>
        </is>
      </c>
      <c r="F53" s="65" t="n"/>
      <c r="G53" s="52" t="inlineStr"/>
      <c r="H53" s="52" t="n"/>
    </row>
    <row r="54" ht="44" customHeight="1">
      <c r="A54" s="51" t="n">
        <v>8</v>
      </c>
      <c r="B54" s="52" t="inlineStr">
        <is>
          <t>DIACABS</t>
        </is>
      </c>
      <c r="C54" s="52" t="inlineStr">
        <is>
          <t>Diamond Power Infra</t>
        </is>
      </c>
      <c r="D54" s="81" t="inlineStr">
        <is>
          <t>Context</t>
        </is>
      </c>
      <c r="E54" s="70" t="inlineStr">
        <is>
          <t>The T&amp;D order-book story is real, but the valuation and balance sheet make it a momentum-only trade.</t>
        </is>
      </c>
      <c r="F54" s="65" t="n"/>
      <c r="G54" s="52" t="inlineStr"/>
      <c r="H54" s="52" t="n"/>
    </row>
    <row r="55" ht="44" customHeight="1">
      <c r="A55" s="51" t="n">
        <v>9</v>
      </c>
      <c r="B55" s="52" t="inlineStr">
        <is>
          <t>KIRLOSENG</t>
        </is>
      </c>
      <c r="C55" s="52" t="inlineStr">
        <is>
          <t>Kirloskar Oil Engines</t>
        </is>
      </c>
      <c r="D55" s="80" t="inlineStr">
        <is>
          <t>Risk</t>
        </is>
      </c>
      <c r="E55" s="70" t="inlineStr">
        <is>
          <t>June-quarter revenue was ₹1,482 cr vs ₹1,284 cr a year ago, but EBITDA slipped to ₹176 cr from ₹184 cr, so margins are compressing.</t>
        </is>
      </c>
      <c r="F55" s="65" t="n"/>
      <c r="G55" s="52" t="inlineStr">
        <is>
          <t>anandrathi</t>
        </is>
      </c>
      <c r="H55" s="79" t="inlineStr">
        <is>
          <t>open ↗</t>
        </is>
      </c>
    </row>
    <row r="56" ht="30" customHeight="1">
      <c r="A56" s="51" t="n">
        <v>9</v>
      </c>
      <c r="B56" s="52" t="inlineStr">
        <is>
          <t>KIRLOSENG</t>
        </is>
      </c>
      <c r="C56" s="52" t="inlineStr">
        <is>
          <t>Kirloskar Oil Engines</t>
        </is>
      </c>
      <c r="D56" s="80" t="inlineStr">
        <is>
          <t>Risk</t>
        </is>
      </c>
      <c r="E56" s="70" t="inlineStr">
        <is>
          <t>The 6-1 return is −11% and the stock is 16.5% below its high.</t>
        </is>
      </c>
      <c r="F56" s="65" t="n"/>
      <c r="G56" s="52" t="inlineStr"/>
      <c r="H56" s="52" t="n"/>
    </row>
    <row r="57" ht="30" customHeight="1">
      <c r="A57" s="51" t="n">
        <v>9</v>
      </c>
      <c r="B57" s="52" t="inlineStr">
        <is>
          <t>KIRLOSENG</t>
        </is>
      </c>
      <c r="C57" s="52" t="inlineStr">
        <is>
          <t>Kirloskar Oil Engines</t>
        </is>
      </c>
      <c r="D57" s="80" t="inlineStr">
        <is>
          <t>Risk</t>
        </is>
      </c>
      <c r="E57" s="70" t="inlineStr">
        <is>
          <t>Momentum is fading.</t>
        </is>
      </c>
      <c r="F57" s="65" t="n"/>
      <c r="G57" s="52" t="inlineStr"/>
      <c r="H57" s="52" t="n"/>
    </row>
    <row r="58" ht="30" customHeight="1">
      <c r="A58" s="51" t="n">
        <v>10</v>
      </c>
      <c r="B58" s="52" t="inlineStr">
        <is>
          <t>THANGAMAYL</t>
        </is>
      </c>
      <c r="C58" s="52" t="inlineStr">
        <is>
          <t>Thangamayil Jewellery</t>
        </is>
      </c>
      <c r="D58" s="81" t="inlineStr">
        <is>
          <t>Context</t>
        </is>
      </c>
      <c r="E58" s="70" t="inlineStr">
        <is>
          <t>It hit a high of ₹7,429 and traded near ₹5,085 on 22 Sep.</t>
        </is>
      </c>
      <c r="F58" s="65" t="n"/>
      <c r="G58" s="52" t="inlineStr">
        <is>
          <t>anandrathi</t>
        </is>
      </c>
      <c r="H58" s="79" t="inlineStr">
        <is>
          <t>open ↗</t>
        </is>
      </c>
    </row>
    <row r="59" ht="30" customHeight="1">
      <c r="A59" s="51" t="n">
        <v>10</v>
      </c>
      <c r="B59" s="52" t="inlineStr">
        <is>
          <t>THANGAMAYL</t>
        </is>
      </c>
      <c r="C59" s="52" t="inlineStr">
        <is>
          <t>Thangamayil Jewellery</t>
        </is>
      </c>
      <c r="D59" s="80" t="inlineStr">
        <is>
          <t>Risk</t>
        </is>
      </c>
      <c r="E59" s="70" t="inlineStr">
        <is>
          <t>It is now about 31% below the peak.</t>
        </is>
      </c>
      <c r="F59" s="65" t="n"/>
      <c r="G59" s="52" t="inlineStr">
        <is>
          <t>anandrathi</t>
        </is>
      </c>
      <c r="H59" s="79" t="inlineStr">
        <is>
          <t>open ↗</t>
        </is>
      </c>
    </row>
    <row r="60" ht="30" customHeight="1">
      <c r="A60" s="51" t="n">
        <v>10</v>
      </c>
      <c r="B60" s="52" t="inlineStr">
        <is>
          <t>THANGAMAYL</t>
        </is>
      </c>
      <c r="C60" s="52" t="inlineStr">
        <is>
          <t>Thangamayil Jewellery</t>
        </is>
      </c>
      <c r="D60" s="80" t="inlineStr">
        <is>
          <t>Risk</t>
        </is>
      </c>
      <c r="E60" s="70" t="inlineStr">
        <is>
          <t>Q1 EBITDA (₹145 cr) fell from ₹214 cr in the March quarter.</t>
        </is>
      </c>
      <c r="F60" s="65" t="n"/>
      <c r="G60" s="52" t="inlineStr">
        <is>
          <t>anandrathi</t>
        </is>
      </c>
      <c r="H60" s="79" t="inlineStr">
        <is>
          <t>open ↗</t>
        </is>
      </c>
    </row>
    <row r="61" ht="44" customHeight="1">
      <c r="A61" s="51" t="n">
        <v>10</v>
      </c>
      <c r="B61" s="52" t="inlineStr">
        <is>
          <t>THANGAMAYL</t>
        </is>
      </c>
      <c r="C61" s="52" t="inlineStr">
        <is>
          <t>Thangamayil Jewellery</t>
        </is>
      </c>
      <c r="D61" s="80" t="inlineStr">
        <is>
          <t>Risk</t>
        </is>
      </c>
      <c r="E61" s="70" t="inlineStr">
        <is>
          <t>It has the weakest chart in the batch: a clear downtrend, a negative 6-1 return, and a gold-price-sensitive business.</t>
        </is>
      </c>
      <c r="F61" s="65" t="n"/>
      <c r="G61" s="52" t="inlineStr"/>
      <c r="H61" s="52" t="n"/>
    </row>
  </sheetData>
  <mergeCells count="46">
    <mergeCell ref="E43:F43"/>
    <mergeCell ref="E50:F50"/>
    <mergeCell ref="E55:F55"/>
    <mergeCell ref="E24:F24"/>
    <mergeCell ref="E33:F33"/>
    <mergeCell ref="E42:F42"/>
    <mergeCell ref="E23:F23"/>
    <mergeCell ref="E52:F52"/>
    <mergeCell ref="E48:F48"/>
    <mergeCell ref="E39:F39"/>
    <mergeCell ref="E44:F44"/>
    <mergeCell ref="E35:F35"/>
    <mergeCell ref="E51:F51"/>
    <mergeCell ref="E20:F20"/>
    <mergeCell ref="A2:I2"/>
    <mergeCell ref="E38:F38"/>
    <mergeCell ref="E29:F29"/>
    <mergeCell ref="E19:F19"/>
    <mergeCell ref="E28:F28"/>
    <mergeCell ref="E60:F60"/>
    <mergeCell ref="E40:F40"/>
    <mergeCell ref="E31:F31"/>
    <mergeCell ref="E56:F56"/>
    <mergeCell ref="E34:F34"/>
    <mergeCell ref="E59:F59"/>
    <mergeCell ref="E30:F30"/>
    <mergeCell ref="E46:F46"/>
    <mergeCell ref="E58:F58"/>
    <mergeCell ref="E49:F49"/>
    <mergeCell ref="E27:F27"/>
    <mergeCell ref="E45:F45"/>
    <mergeCell ref="E36:F36"/>
    <mergeCell ref="E61:F61"/>
    <mergeCell ref="E26:F26"/>
    <mergeCell ref="E57:F57"/>
    <mergeCell ref="E54:F54"/>
    <mergeCell ref="E32:F32"/>
    <mergeCell ref="E25:F25"/>
    <mergeCell ref="E41:F41"/>
    <mergeCell ref="A1:I1"/>
    <mergeCell ref="E37:F37"/>
    <mergeCell ref="E22:F22"/>
    <mergeCell ref="E53:F53"/>
    <mergeCell ref="E18:F18"/>
    <mergeCell ref="E47:F47"/>
    <mergeCell ref="E21:F21"/>
  </mergeCells>
  <conditionalFormatting sqref="E5:E14">
    <cfRule type="dataBar" priority="1">
      <dataBar showValue="1">
        <cfvo type="num" val="-2"/>
        <cfvo type="num" val="2"/>
        <color rgb="001F9D63"/>
      </dataBar>
    </cfRule>
  </conditionalFormatting>
  <conditionalFormatting sqref="G5:G14">
    <cfRule type="cellIs" priority="2" operator="greaterThan" dxfId="2">
      <formula>0</formula>
    </cfRule>
    <cfRule type="cellIs" priority="3" operator="lessThan" dxfId="3">
      <formula>0</formula>
    </cfRule>
  </conditionalFormatting>
  <hyperlinks>
    <hyperlink xmlns:r="http://schemas.openxmlformats.org/officeDocument/2006/relationships" ref="H19" r:id="rId1"/>
    <hyperlink xmlns:r="http://schemas.openxmlformats.org/officeDocument/2006/relationships" ref="H20" r:id="rId2"/>
    <hyperlink xmlns:r="http://schemas.openxmlformats.org/officeDocument/2006/relationships" ref="H21" r:id="rId3"/>
    <hyperlink xmlns:r="http://schemas.openxmlformats.org/officeDocument/2006/relationships" ref="H22" r:id="rId4"/>
    <hyperlink xmlns:r="http://schemas.openxmlformats.org/officeDocument/2006/relationships" ref="H24" r:id="rId5"/>
    <hyperlink xmlns:r="http://schemas.openxmlformats.org/officeDocument/2006/relationships" ref="H25" r:id="rId6"/>
    <hyperlink xmlns:r="http://schemas.openxmlformats.org/officeDocument/2006/relationships" ref="H26" r:id="rId7"/>
    <hyperlink xmlns:r="http://schemas.openxmlformats.org/officeDocument/2006/relationships" ref="H27" r:id="rId8"/>
    <hyperlink xmlns:r="http://schemas.openxmlformats.org/officeDocument/2006/relationships" ref="H28" r:id="rId9"/>
    <hyperlink xmlns:r="http://schemas.openxmlformats.org/officeDocument/2006/relationships" ref="H29" r:id="rId10"/>
    <hyperlink xmlns:r="http://schemas.openxmlformats.org/officeDocument/2006/relationships" ref="H30" r:id="rId11"/>
    <hyperlink xmlns:r="http://schemas.openxmlformats.org/officeDocument/2006/relationships" ref="H31" r:id="rId12"/>
    <hyperlink xmlns:r="http://schemas.openxmlformats.org/officeDocument/2006/relationships" ref="H34" r:id="rId13"/>
    <hyperlink xmlns:r="http://schemas.openxmlformats.org/officeDocument/2006/relationships" ref="H35" r:id="rId14"/>
    <hyperlink xmlns:r="http://schemas.openxmlformats.org/officeDocument/2006/relationships" ref="H38" r:id="rId15"/>
    <hyperlink xmlns:r="http://schemas.openxmlformats.org/officeDocument/2006/relationships" ref="H39" r:id="rId16"/>
    <hyperlink xmlns:r="http://schemas.openxmlformats.org/officeDocument/2006/relationships" ref="H40" r:id="rId17"/>
    <hyperlink xmlns:r="http://schemas.openxmlformats.org/officeDocument/2006/relationships" ref="H41" r:id="rId18"/>
    <hyperlink xmlns:r="http://schemas.openxmlformats.org/officeDocument/2006/relationships" ref="H42" r:id="rId19"/>
    <hyperlink xmlns:r="http://schemas.openxmlformats.org/officeDocument/2006/relationships" ref="H43" r:id="rId20"/>
    <hyperlink xmlns:r="http://schemas.openxmlformats.org/officeDocument/2006/relationships" ref="H44" r:id="rId21"/>
    <hyperlink xmlns:r="http://schemas.openxmlformats.org/officeDocument/2006/relationships" ref="H46" r:id="rId22"/>
    <hyperlink xmlns:r="http://schemas.openxmlformats.org/officeDocument/2006/relationships" ref="H47" r:id="rId23"/>
    <hyperlink xmlns:r="http://schemas.openxmlformats.org/officeDocument/2006/relationships" ref="H48" r:id="rId24"/>
    <hyperlink xmlns:r="http://schemas.openxmlformats.org/officeDocument/2006/relationships" ref="H51" r:id="rId25"/>
    <hyperlink xmlns:r="http://schemas.openxmlformats.org/officeDocument/2006/relationships" ref="H52" r:id="rId26"/>
    <hyperlink xmlns:r="http://schemas.openxmlformats.org/officeDocument/2006/relationships" ref="H55" r:id="rId27"/>
    <hyperlink xmlns:r="http://schemas.openxmlformats.org/officeDocument/2006/relationships" ref="H58" r:id="rId28"/>
    <hyperlink xmlns:r="http://schemas.openxmlformats.org/officeDocument/2006/relationships" ref="H59" r:id="rId29"/>
    <hyperlink xmlns:r="http://schemas.openxmlformats.org/officeDocument/2006/relationships" ref="H60" r:id="rId30"/>
  </hyperlink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G1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80" customWidth="1" min="3" max="3"/>
    <col width="20" customWidth="1" min="4" max="4"/>
    <col width="10" customWidth="1" min="5" max="5"/>
    <col width="10" customWidth="1" min="6" max="6"/>
    <col width="9" customWidth="1" min="7" max="7"/>
  </cols>
  <sheetData>
    <row r="1" ht="30" customHeight="1">
      <c r="A1" s="1" t="inlineStr">
        <is>
          <t>Positive News &amp; Sentiment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Fetched 2026-10-16 16:52</t>
        </is>
      </c>
      <c r="B2" s="2" t="n"/>
      <c r="C2" s="2" t="n"/>
      <c r="D2" s="2" t="n"/>
      <c r="E2" s="2" t="n"/>
      <c r="F2" s="2" t="n"/>
      <c r="G2" s="2" t="n"/>
    </row>
    <row r="4">
      <c r="A4" s="15" t="inlineStr">
        <is>
          <t>Symbol</t>
        </is>
      </c>
      <c r="B4" s="15" t="inlineStr">
        <is>
          <t>Published</t>
        </is>
      </c>
      <c r="C4" s="15" t="inlineStr">
        <is>
          <t>Headline</t>
        </is>
      </c>
      <c r="D4" s="15" t="inlineStr">
        <is>
          <t>Source</t>
        </is>
      </c>
      <c r="E4" s="15" t="inlineStr">
        <is>
          <t>Sentiment</t>
        </is>
      </c>
      <c r="F4" s="15" t="inlineStr">
        <is>
          <t>Label</t>
        </is>
      </c>
      <c r="G4" s="15" t="inlineStr">
        <is>
          <t>Link</t>
        </is>
      </c>
    </row>
    <row r="5">
      <c r="A5" s="52" t="inlineStr">
        <is>
          <t>MARKET</t>
        </is>
      </c>
      <c r="B5" s="52" t="inlineStr">
        <is>
          <t>2026-10-16 16:13</t>
        </is>
      </c>
      <c r="C5" s="52" t="inlineStr">
        <is>
          <t>Stock markets end higher for 2nd day, led by strong buying in IT firms</t>
        </is>
      </c>
      <c r="D5" s="52" t="inlineStr">
        <is>
          <t>Deccan Herald</t>
        </is>
      </c>
      <c r="E5" s="82" t="n">
        <v>0.382</v>
      </c>
      <c r="F5" s="52" t="inlineStr">
        <is>
          <t>Positive</t>
        </is>
      </c>
      <c r="G5" s="83" t="inlineStr">
        <is>
          <t>open ↗</t>
        </is>
      </c>
    </row>
    <row r="6">
      <c r="A6" s="52" t="inlineStr">
        <is>
          <t>E2E</t>
        </is>
      </c>
      <c r="B6" s="52" t="inlineStr">
        <is>
          <t>2026-10-16 15:01</t>
        </is>
      </c>
      <c r="C6" s="52" t="inlineStr">
        <is>
          <t>This small-cap AI stock has surged 250% in 2026: What is behind its stellar market performance?</t>
        </is>
      </c>
      <c r="D6" s="52" t="inlineStr">
        <is>
          <t>Livemint</t>
        </is>
      </c>
      <c r="E6" s="82" t="n">
        <v>0</v>
      </c>
      <c r="F6" s="52" t="inlineStr">
        <is>
          <t>Neutral</t>
        </is>
      </c>
      <c r="G6" s="83" t="inlineStr">
        <is>
          <t>open ↗</t>
        </is>
      </c>
    </row>
    <row r="7">
      <c r="A7" s="52" t="inlineStr">
        <is>
          <t>LAURUSLABS</t>
        </is>
      </c>
      <c r="B7" s="52" t="inlineStr">
        <is>
          <t>2026-10-16 13:14</t>
        </is>
      </c>
      <c r="C7" s="52" t="inlineStr">
        <is>
          <t>Laurus Labs - Kotak Mahindra Bank among 5 stocks that hit 52-week highs &amp; rallied up to 15% in a month</t>
        </is>
      </c>
      <c r="D7" s="52" t="inlineStr">
        <is>
          <t>The Economic Times</t>
        </is>
      </c>
      <c r="E7" s="82" t="n">
        <v>-0.153</v>
      </c>
      <c r="F7" s="52" t="inlineStr">
        <is>
          <t>Neutral</t>
        </is>
      </c>
      <c r="G7" s="83" t="inlineStr">
        <is>
          <t>open ↗</t>
        </is>
      </c>
    </row>
    <row r="8">
      <c r="A8" s="52" t="inlineStr">
        <is>
          <t>E2E</t>
        </is>
      </c>
      <c r="B8" s="52" t="inlineStr">
        <is>
          <t>2026-10-16 11:53</t>
        </is>
      </c>
      <c r="C8" s="52" t="inlineStr">
        <is>
          <t>E2E Networks Q2 FY27 slides: revenue surges 411% on GPU expansion</t>
        </is>
      </c>
      <c r="D8" s="52" t="inlineStr">
        <is>
          <t>Investing.com India</t>
        </is>
      </c>
      <c r="E8" s="82" t="n">
        <v>0.6909999999999999</v>
      </c>
      <c r="F8" s="52" t="inlineStr">
        <is>
          <t>Positive</t>
        </is>
      </c>
      <c r="G8" s="83" t="inlineStr">
        <is>
          <t>open ↗</t>
        </is>
      </c>
    </row>
    <row r="9">
      <c r="A9" s="52" t="inlineStr">
        <is>
          <t>E2E</t>
        </is>
      </c>
      <c r="B9" s="52" t="inlineStr">
        <is>
          <t>2026-10-16 11:51</t>
        </is>
      </c>
      <c r="C9" s="52" t="inlineStr">
        <is>
          <t>E2E Networks Q2 FY27 Concall: Bullish or Cautious? Key Takeaways</t>
        </is>
      </c>
      <c r="D9" s="52" t="inlineStr">
        <is>
          <t>Business Upturn</t>
        </is>
      </c>
      <c r="E9" s="82" t="n">
        <v>0.459</v>
      </c>
      <c r="F9" s="52" t="inlineStr">
        <is>
          <t>Positive</t>
        </is>
      </c>
      <c r="G9" s="83" t="inlineStr">
        <is>
          <t>open ↗</t>
        </is>
      </c>
    </row>
    <row r="10">
      <c r="A10" s="52" t="inlineStr">
        <is>
          <t>MARKET</t>
        </is>
      </c>
      <c r="B10" s="52" t="inlineStr">
        <is>
          <t>2026-10-16 11:22</t>
        </is>
      </c>
      <c r="C10" s="52" t="inlineStr">
        <is>
          <t>Indian Equities Extend Gains, IT Sector Leads Rally on Strong Earnings</t>
        </is>
      </c>
      <c r="D10" s="52" t="inlineStr">
        <is>
          <t>Rediff</t>
        </is>
      </c>
      <c r="E10" s="82" t="n">
        <v>0.836</v>
      </c>
      <c r="F10" s="52" t="inlineStr">
        <is>
          <t>Positive</t>
        </is>
      </c>
      <c r="G10" s="83" t="inlineStr">
        <is>
          <t>open ↗</t>
        </is>
      </c>
    </row>
    <row r="11">
      <c r="A11" s="52" t="inlineStr">
        <is>
          <t>MARKET</t>
        </is>
      </c>
      <c r="B11" s="52" t="inlineStr">
        <is>
          <t>2026-10-16 11:17</t>
        </is>
      </c>
      <c r="C11" s="52" t="inlineStr">
        <is>
          <t>FSSAI flags ‘cholesterol-lowering’ claims on rice bran oil, issues notices to BigBasket, Flipkart</t>
        </is>
      </c>
      <c r="D11" s="52" t="inlineStr">
        <is>
          <t>The New Indian Express</t>
        </is>
      </c>
      <c r="E11" s="82" t="n">
        <v>0</v>
      </c>
      <c r="F11" s="52" t="inlineStr">
        <is>
          <t>Neutral</t>
        </is>
      </c>
      <c r="G11" s="83" t="inlineStr">
        <is>
          <t>open ↗</t>
        </is>
      </c>
    </row>
    <row r="12">
      <c r="A12" s="52" t="inlineStr">
        <is>
          <t>E2E</t>
        </is>
      </c>
      <c r="B12" s="52" t="inlineStr">
        <is>
          <t>2026-10-16 11:06</t>
        </is>
      </c>
      <c r="C12" s="52" t="inlineStr">
        <is>
          <t>E2E Networks (NSE:E2E) Earnings Recovery and AI Cloud Business</t>
        </is>
      </c>
      <c r="D12" s="52" t="inlineStr">
        <is>
          <t>Kalkine India</t>
        </is>
      </c>
      <c r="E12" s="82" t="n">
        <v>0</v>
      </c>
      <c r="F12" s="52" t="inlineStr">
        <is>
          <t>Neutral</t>
        </is>
      </c>
      <c r="G12" s="83" t="inlineStr">
        <is>
          <t>open ↗</t>
        </is>
      </c>
    </row>
    <row r="13">
      <c r="A13" s="52" t="inlineStr">
        <is>
          <t>MARKET</t>
        </is>
      </c>
      <c r="B13" s="52" t="inlineStr">
        <is>
          <t>2026-10-16 10:56</t>
        </is>
      </c>
      <c r="C13" s="52" t="inlineStr">
        <is>
          <t>Sensex, Nifty Rise Again; IT Stocks Lead Rally</t>
        </is>
      </c>
      <c r="D13" s="52" t="inlineStr">
        <is>
          <t>HDFC Sky</t>
        </is>
      </c>
      <c r="E13" s="82" t="n">
        <v>0.6909999999999999</v>
      </c>
      <c r="F13" s="52" t="inlineStr">
        <is>
          <t>Positive</t>
        </is>
      </c>
      <c r="G13" s="83" t="inlineStr">
        <is>
          <t>open ↗</t>
        </is>
      </c>
    </row>
    <row r="14">
      <c r="A14" s="52" t="inlineStr">
        <is>
          <t>MARKET</t>
        </is>
      </c>
      <c r="B14" s="52" t="inlineStr">
        <is>
          <t>2026-10-16 10:51</t>
        </is>
      </c>
      <c r="C14" s="52" t="inlineStr">
        <is>
          <t>Sensex Today Ends 417 Points Higher | Nifty Above 23,100 | Solara Active Pharma Sciences Up 9%</t>
        </is>
      </c>
      <c r="D14" s="52" t="inlineStr">
        <is>
          <t>Equitymaster</t>
        </is>
      </c>
      <c r="E14" s="82" t="n">
        <v>0.66</v>
      </c>
      <c r="F14" s="52" t="inlineStr">
        <is>
          <t>Positive</t>
        </is>
      </c>
      <c r="G14" s="83" t="inlineStr">
        <is>
          <t>open ↗</t>
        </is>
      </c>
    </row>
    <row r="15">
      <c r="A15" s="52" t="inlineStr">
        <is>
          <t>MARKET</t>
        </is>
      </c>
      <c r="B15" s="52" t="inlineStr">
        <is>
          <t>2026-10-16 10:44</t>
        </is>
      </c>
      <c r="C15" s="52" t="inlineStr">
        <is>
          <t>Indian markets close higher on Friday as IT stocks lead gains</t>
        </is>
      </c>
      <c r="D15" s="52" t="inlineStr">
        <is>
          <t>The New Indian Express</t>
        </is>
      </c>
      <c r="E15" s="82" t="n">
        <v>0.382</v>
      </c>
      <c r="F15" s="52" t="inlineStr">
        <is>
          <t>Positive</t>
        </is>
      </c>
      <c r="G15" s="83" t="inlineStr">
        <is>
          <t>open ↗</t>
        </is>
      </c>
    </row>
    <row r="16">
      <c r="A16" s="52" t="inlineStr">
        <is>
          <t>MARKET</t>
        </is>
      </c>
      <c r="B16" s="52" t="inlineStr">
        <is>
          <t>2026-10-16 10:38</t>
        </is>
      </c>
      <c r="C16" s="52" t="inlineStr">
        <is>
          <t>Stock Market Today: Sensex Rises 414 Points, Nifty Closes Above 23,100; IT Stocks Lead Gains</t>
        </is>
      </c>
      <c r="D16" s="52" t="inlineStr">
        <is>
          <t>APAC Media</t>
        </is>
      </c>
      <c r="E16" s="82" t="n">
        <v>0.649</v>
      </c>
      <c r="F16" s="52" t="inlineStr">
        <is>
          <t>Positive</t>
        </is>
      </c>
      <c r="G16" s="83" t="inlineStr">
        <is>
          <t>open ↗</t>
        </is>
      </c>
    </row>
    <row r="17">
      <c r="A17" s="52" t="inlineStr">
        <is>
          <t>MARKET</t>
        </is>
      </c>
      <c r="B17" s="52" t="inlineStr">
        <is>
          <t>2026-10-16 10:36</t>
        </is>
      </c>
      <c r="C17" s="52" t="inlineStr">
        <is>
          <t>Indian Stocks Rise 2nd Day, IT Firms Lead Gains</t>
        </is>
      </c>
      <c r="D17" s="52" t="inlineStr">
        <is>
          <t>Rediff MoneyWiz</t>
        </is>
      </c>
      <c r="E17" s="82" t="n">
        <v>0.382</v>
      </c>
      <c r="F17" s="52" t="inlineStr">
        <is>
          <t>Positive</t>
        </is>
      </c>
      <c r="G17" s="83" t="inlineStr">
        <is>
          <t>open ↗</t>
        </is>
      </c>
    </row>
    <row r="18">
      <c r="A18" s="52" t="inlineStr">
        <is>
          <t>MARKET</t>
        </is>
      </c>
      <c r="B18" s="52" t="inlineStr">
        <is>
          <t>2026-10-16 10:05</t>
        </is>
      </c>
      <c r="C18" s="52" t="inlineStr">
        <is>
          <t>Sensex ends 413 points higher, Nifty above 23,100; TechM up 8%</t>
        </is>
      </c>
      <c r="D18" s="52" t="inlineStr">
        <is>
          <t>India Today</t>
        </is>
      </c>
      <c r="E18" s="82" t="n">
        <v>0.402</v>
      </c>
      <c r="F18" s="52" t="inlineStr">
        <is>
          <t>Positive</t>
        </is>
      </c>
      <c r="G18" s="83" t="inlineStr">
        <is>
          <t>open ↗</t>
        </is>
      </c>
    </row>
    <row r="19">
      <c r="A19" s="52" t="inlineStr">
        <is>
          <t>LAURUSLABS</t>
        </is>
      </c>
      <c r="B19" s="52" t="inlineStr">
        <is>
          <t>2026-10-16 09:52</t>
        </is>
      </c>
      <c r="C19" s="52" t="inlineStr">
        <is>
          <t>Laurus Labs shifts gears as CDMO emerges as key growth driver; Nuvama sees 24% upside</t>
        </is>
      </c>
      <c r="D19" s="52" t="inlineStr">
        <is>
          <t>The Economic Times</t>
        </is>
      </c>
      <c r="E19" s="82" t="n">
        <v>0.649</v>
      </c>
      <c r="F19" s="52" t="inlineStr">
        <is>
          <t>Positive</t>
        </is>
      </c>
      <c r="G19" s="83" t="inlineStr">
        <is>
          <t>open ↗</t>
        </is>
      </c>
    </row>
    <row r="20">
      <c r="A20" s="52" t="inlineStr">
        <is>
          <t>E2E</t>
        </is>
      </c>
      <c r="B20" s="52" t="inlineStr">
        <is>
          <t>2026-10-16 09:46</t>
        </is>
      </c>
      <c r="C20" s="52" t="inlineStr">
        <is>
          <t>Crompton Greaves Consumer Electricals announces Q2 2026 financial results, management changes</t>
        </is>
      </c>
      <c r="D20" s="52" t="inlineStr">
        <is>
          <t>Business Upturn</t>
        </is>
      </c>
      <c r="E20" s="82" t="n">
        <v>0</v>
      </c>
      <c r="F20" s="52" t="inlineStr">
        <is>
          <t>Neutral</t>
        </is>
      </c>
      <c r="G20" s="83" t="inlineStr">
        <is>
          <t>open ↗</t>
        </is>
      </c>
    </row>
    <row r="21">
      <c r="A21" s="52" t="inlineStr">
        <is>
          <t>E2E</t>
        </is>
      </c>
      <c r="B21" s="52" t="inlineStr">
        <is>
          <t>2026-10-16 08:50</t>
        </is>
      </c>
      <c r="C21" s="52" t="inlineStr">
        <is>
          <t>E2E Networks Q2 results: Net profit jumps 66% QoQ to ₹73 crore, revenue rises 43%</t>
        </is>
      </c>
      <c r="D21" s="52" t="inlineStr">
        <is>
          <t>Business Upturn</t>
        </is>
      </c>
      <c r="E21" s="82" t="n">
        <v>0.66</v>
      </c>
      <c r="F21" s="52" t="inlineStr">
        <is>
          <t>Positive</t>
        </is>
      </c>
      <c r="G21" s="83" t="inlineStr">
        <is>
          <t>open ↗</t>
        </is>
      </c>
    </row>
    <row r="22">
      <c r="A22" s="52" t="inlineStr">
        <is>
          <t>E2E</t>
        </is>
      </c>
      <c r="B22" s="52" t="inlineStr">
        <is>
          <t>2026-10-16 08:50</t>
        </is>
      </c>
      <c r="C22" s="52" t="inlineStr">
        <is>
          <t>E2E Networks reports Q2 and H1 financial performance, announces key board changes</t>
        </is>
      </c>
      <c r="D22" s="52" t="inlineStr">
        <is>
          <t>Business Upturn</t>
        </is>
      </c>
      <c r="E22" s="82" t="n">
        <v>0</v>
      </c>
      <c r="F22" s="52" t="inlineStr">
        <is>
          <t>Neutral</t>
        </is>
      </c>
      <c r="G22" s="83" t="inlineStr">
        <is>
          <t>open ↗</t>
        </is>
      </c>
    </row>
    <row r="23">
      <c r="A23" s="52" t="inlineStr">
        <is>
          <t>LAURUSLABS</t>
        </is>
      </c>
      <c r="B23" s="52" t="inlineStr">
        <is>
          <t>2026-10-16 08:24</t>
        </is>
      </c>
      <c r="C23" s="52" t="inlineStr">
        <is>
          <t>Laurus Labs - 10 stocks held by 100+ MF schemes in September rally up to 205% in CY26; 6 turn multibaggers</t>
        </is>
      </c>
      <c r="D23" s="52" t="inlineStr">
        <is>
          <t>The Economic Times</t>
        </is>
      </c>
      <c r="E23" s="82" t="n">
        <v>0.459</v>
      </c>
      <c r="F23" s="52" t="inlineStr">
        <is>
          <t>Positive</t>
        </is>
      </c>
      <c r="G23" s="83" t="inlineStr">
        <is>
          <t>open ↗</t>
        </is>
      </c>
    </row>
    <row r="24">
      <c r="A24" s="52" t="inlineStr">
        <is>
          <t>ACUTAAS</t>
        </is>
      </c>
      <c r="B24" s="52" t="inlineStr">
        <is>
          <t>2026-10-16 08:21</t>
        </is>
      </c>
      <c r="C24" s="52" t="inlineStr">
        <is>
          <t>Acutaas Chemicals - 10 stocks held by 100+ MF schemes in September rally up to 205% in CY26; 6 turn multibaggers</t>
        </is>
      </c>
      <c r="D24" s="52" t="inlineStr">
        <is>
          <t>The Economic Times</t>
        </is>
      </c>
      <c r="E24" s="82" t="n">
        <v>0.459</v>
      </c>
      <c r="F24" s="52" t="inlineStr">
        <is>
          <t>Positive</t>
        </is>
      </c>
      <c r="G24" s="83" t="inlineStr">
        <is>
          <t>open ↗</t>
        </is>
      </c>
    </row>
    <row r="25">
      <c r="A25" s="52" t="inlineStr">
        <is>
          <t>THANGAMAYL</t>
        </is>
      </c>
      <c r="B25" s="52" t="inlineStr">
        <is>
          <t>2026-10-16 07:20</t>
        </is>
      </c>
      <c r="C25" s="52" t="inlineStr">
        <is>
          <t>HBL Engineering, Wipro, L&amp;T Finance shares spurt amid spike in volumes; check full list</t>
        </is>
      </c>
      <c r="D25" s="52" t="inlineStr">
        <is>
          <t>Upstox</t>
        </is>
      </c>
      <c r="E25" s="82" t="n">
        <v>0</v>
      </c>
      <c r="F25" s="52" t="inlineStr">
        <is>
          <t>Neutral</t>
        </is>
      </c>
      <c r="G25" s="83" t="inlineStr">
        <is>
          <t>open ↗</t>
        </is>
      </c>
    </row>
    <row r="26">
      <c r="A26" s="52" t="inlineStr">
        <is>
          <t>E2E</t>
        </is>
      </c>
      <c r="B26" s="52" t="inlineStr">
        <is>
          <t>2026-10-16 07:10</t>
        </is>
      </c>
      <c r="C26" s="52" t="inlineStr">
        <is>
          <t>E2E Networks Shares Recover Nearly 4% From Day's Low Ahead of Q2 Results; Can Revenue Jump 311% YoY?</t>
        </is>
      </c>
      <c r="D26" s="52" t="inlineStr">
        <is>
          <t>Business Upturn</t>
        </is>
      </c>
      <c r="E26" s="82" t="n">
        <v>0.178</v>
      </c>
      <c r="F26" s="52" t="inlineStr">
        <is>
          <t>Neutral</t>
        </is>
      </c>
      <c r="G26" s="83" t="inlineStr">
        <is>
          <t>open ↗</t>
        </is>
      </c>
    </row>
    <row r="27">
      <c r="A27" s="52" t="inlineStr">
        <is>
          <t>MARKET</t>
        </is>
      </c>
      <c r="B27" s="52" t="inlineStr">
        <is>
          <t>2026-10-16 05:42</t>
        </is>
      </c>
      <c r="C27" s="52" t="inlineStr">
        <is>
          <t>Indian equity market open flat amid profit booking; Sensex down over 130 pts, Nifty below 22,980</t>
        </is>
      </c>
      <c r="D27" s="52" t="inlineStr">
        <is>
          <t>cfo.economictimes.indiatimes.com</t>
        </is>
      </c>
      <c r="E27" s="82" t="n">
        <v>0.625</v>
      </c>
      <c r="F27" s="52" t="inlineStr">
        <is>
          <t>Positive</t>
        </is>
      </c>
      <c r="G27" s="83" t="inlineStr">
        <is>
          <t>open ↗</t>
        </is>
      </c>
    </row>
    <row r="28">
      <c r="A28" s="52" t="inlineStr">
        <is>
          <t>MARKET</t>
        </is>
      </c>
      <c r="B28" s="52" t="inlineStr">
        <is>
          <t>2026-10-16 05:25</t>
        </is>
      </c>
      <c r="C28" s="52" t="inlineStr">
        <is>
          <t>Sensex, Nifty trade lower in early deals; IT shares buck trend</t>
        </is>
      </c>
      <c r="D28" s="52" t="inlineStr">
        <is>
          <t>Telangana Today</t>
        </is>
      </c>
      <c r="E28" s="82" t="n">
        <v>0.226</v>
      </c>
      <c r="F28" s="52" t="inlineStr">
        <is>
          <t>Positive</t>
        </is>
      </c>
      <c r="G28" s="83" t="inlineStr">
        <is>
          <t>open ↗</t>
        </is>
      </c>
    </row>
    <row r="29">
      <c r="A29" s="52" t="inlineStr">
        <is>
          <t>E2E</t>
        </is>
      </c>
      <c r="B29" s="52" t="inlineStr">
        <is>
          <t>2026-10-16 05:00</t>
        </is>
      </c>
      <c r="C29" s="52" t="inlineStr">
        <is>
          <t>E2E Networks appoints Anandamoy Roychowdhary as strategic advisor</t>
        </is>
      </c>
      <c r="D29" s="52" t="inlineStr">
        <is>
          <t>Business Upturn</t>
        </is>
      </c>
      <c r="E29" s="82" t="n">
        <v>0</v>
      </c>
      <c r="F29" s="52" t="inlineStr">
        <is>
          <t>Neutral</t>
        </is>
      </c>
      <c r="G29" s="83" t="inlineStr">
        <is>
          <t>open ↗</t>
        </is>
      </c>
    </row>
    <row r="30">
      <c r="A30" s="52" t="inlineStr">
        <is>
          <t>THANGAMAYL</t>
        </is>
      </c>
      <c r="B30" s="52" t="inlineStr">
        <is>
          <t>2026-10-16 04:57</t>
        </is>
      </c>
      <c r="C30" s="52" t="inlineStr">
        <is>
          <t>Thangamayil Jewellery Share Price Today after 5.25% gain</t>
        </is>
      </c>
      <c r="D30" s="52" t="inlineStr">
        <is>
          <t>Univest</t>
        </is>
      </c>
      <c r="E30" s="82" t="n">
        <v>0.34</v>
      </c>
      <c r="F30" s="52" t="inlineStr">
        <is>
          <t>Positive</t>
        </is>
      </c>
      <c r="G30" s="83" t="inlineStr">
        <is>
          <t>open ↗</t>
        </is>
      </c>
    </row>
    <row r="31">
      <c r="A31" s="52" t="inlineStr">
        <is>
          <t>E2E</t>
        </is>
      </c>
      <c r="B31" s="52" t="inlineStr">
        <is>
          <t>2026-10-16 04:50</t>
        </is>
      </c>
      <c r="C31" s="52" t="inlineStr">
        <is>
          <t>E2E Networks NSE:E2E Onboards Strategic Advisor Anandamoy Roychowdhary</t>
        </is>
      </c>
      <c r="D31" s="52" t="inlineStr">
        <is>
          <t>Kalkine India</t>
        </is>
      </c>
      <c r="E31" s="82" t="n">
        <v>0</v>
      </c>
      <c r="F31" s="52" t="inlineStr">
        <is>
          <t>Neutral</t>
        </is>
      </c>
      <c r="G31" s="83" t="inlineStr">
        <is>
          <t>open ↗</t>
        </is>
      </c>
    </row>
    <row r="32">
      <c r="A32" s="52" t="inlineStr">
        <is>
          <t>MARKET</t>
        </is>
      </c>
      <c r="B32" s="52" t="inlineStr">
        <is>
          <t>2026-10-16 04:48</t>
        </is>
      </c>
      <c r="C32" s="52" t="inlineStr">
        <is>
          <t>Stock markets trade lower during early session amid profit-taking</t>
        </is>
      </c>
      <c r="D32" s="52" t="inlineStr">
        <is>
          <t>The Hindu</t>
        </is>
      </c>
      <c r="E32" s="82" t="n">
        <v>-0.202</v>
      </c>
      <c r="F32" s="52" t="inlineStr">
        <is>
          <t>Negative</t>
        </is>
      </c>
      <c r="G32" s="83" t="inlineStr">
        <is>
          <t>open ↗</t>
        </is>
      </c>
    </row>
    <row r="33">
      <c r="A33" s="52" t="inlineStr">
        <is>
          <t>MARKET</t>
        </is>
      </c>
      <c r="B33" s="52" t="inlineStr">
        <is>
          <t>2026-10-16 04:46</t>
        </is>
      </c>
      <c r="C33" s="52" t="inlineStr">
        <is>
          <t>Stock Markets Today: Sensex, Nifty Trade Lower Amid Profit-Booking</t>
        </is>
      </c>
      <c r="D33" s="52" t="inlineStr">
        <is>
          <t>ETV Bharat</t>
        </is>
      </c>
      <c r="E33" s="82" t="n">
        <v>0.226</v>
      </c>
      <c r="F33" s="52" t="inlineStr">
        <is>
          <t>Positive</t>
        </is>
      </c>
      <c r="G33" s="83" t="inlineStr">
        <is>
          <t>open ↗</t>
        </is>
      </c>
    </row>
    <row r="34">
      <c r="A34" s="52" t="inlineStr">
        <is>
          <t>MARKET</t>
        </is>
      </c>
      <c r="B34" s="52" t="inlineStr">
        <is>
          <t>2026-10-16 04:46</t>
        </is>
      </c>
      <c r="C34" s="52" t="inlineStr">
        <is>
          <t>Sensex, Nifty erase early losses as IT stocks rally on Q2 results</t>
        </is>
      </c>
      <c r="D34" s="52" t="inlineStr">
        <is>
          <t>India Today</t>
        </is>
      </c>
      <c r="E34" s="82" t="n">
        <v>0.44</v>
      </c>
      <c r="F34" s="52" t="inlineStr">
        <is>
          <t>Positive</t>
        </is>
      </c>
      <c r="G34" s="83" t="inlineStr">
        <is>
          <t>open ↗</t>
        </is>
      </c>
    </row>
    <row r="35">
      <c r="A35" s="52" t="inlineStr">
        <is>
          <t>MARKET</t>
        </is>
      </c>
      <c r="B35" s="52" t="inlineStr">
        <is>
          <t>2026-10-16 04:36</t>
        </is>
      </c>
      <c r="C35" s="52" t="inlineStr">
        <is>
          <t>Sensex, Nifty Slip Despite Strong Asian Cues</t>
        </is>
      </c>
      <c r="D35" s="52" t="inlineStr">
        <is>
          <t>HDFC Sky</t>
        </is>
      </c>
      <c r="E35" s="82" t="n">
        <v>-0.223</v>
      </c>
      <c r="F35" s="52" t="inlineStr">
        <is>
          <t>Negative</t>
        </is>
      </c>
      <c r="G35" s="83" t="inlineStr">
        <is>
          <t>open ↗</t>
        </is>
      </c>
    </row>
    <row r="36">
      <c r="A36" s="52" t="inlineStr">
        <is>
          <t>MARKET</t>
        </is>
      </c>
      <c r="B36" s="52" t="inlineStr">
        <is>
          <t>2026-10-16 04:34</t>
        </is>
      </c>
      <c r="C36" s="52" t="inlineStr">
        <is>
          <t>Sensex Today Trades Higher | Nifty Above 23,000 | IT Stocks Shine</t>
        </is>
      </c>
      <c r="D36" s="52" t="inlineStr">
        <is>
          <t>Equitymaster</t>
        </is>
      </c>
      <c r="E36" s="82" t="n">
        <v>0.402</v>
      </c>
      <c r="F36" s="52" t="inlineStr">
        <is>
          <t>Positive</t>
        </is>
      </c>
      <c r="G36" s="83" t="inlineStr">
        <is>
          <t>open ↗</t>
        </is>
      </c>
    </row>
    <row r="37">
      <c r="A37" s="52" t="inlineStr">
        <is>
          <t>MARKET</t>
        </is>
      </c>
      <c r="B37" s="52" t="inlineStr">
        <is>
          <t>2026-10-16 04:34</t>
        </is>
      </c>
      <c r="C37" s="52" t="inlineStr">
        <is>
          <t>Sensex Today Trades Higher | Nifty Above 22,400 | TCS &amp; Infosys Top Gainers</t>
        </is>
      </c>
      <c r="D37" s="52" t="inlineStr">
        <is>
          <t>Equitymaster</t>
        </is>
      </c>
      <c r="E37" s="82" t="n">
        <v>0.542</v>
      </c>
      <c r="F37" s="52" t="inlineStr">
        <is>
          <t>Positive</t>
        </is>
      </c>
      <c r="G37" s="83" t="inlineStr">
        <is>
          <t>open ↗</t>
        </is>
      </c>
    </row>
    <row r="38">
      <c r="A38" s="52" t="inlineStr">
        <is>
          <t>MARKET</t>
        </is>
      </c>
      <c r="B38" s="52" t="inlineStr">
        <is>
          <t>2026-10-16 01:19</t>
        </is>
      </c>
      <c r="C38" s="52" t="inlineStr">
        <is>
          <t>Stock market outlook today, 16 Oct: Sensex, Nifty prediction - DJIA, S&amp;P, NASDAQ, GIFT Nifty, Kospi, Nikkei, Taiwan cues</t>
        </is>
      </c>
      <c r="D38" s="52" t="inlineStr">
        <is>
          <t>Livemint</t>
        </is>
      </c>
      <c r="E38" s="82" t="n">
        <v>0.842</v>
      </c>
      <c r="F38" s="52" t="inlineStr">
        <is>
          <t>Positive</t>
        </is>
      </c>
      <c r="G38" s="83" t="inlineStr">
        <is>
          <t>open ↗</t>
        </is>
      </c>
    </row>
    <row r="39">
      <c r="A39" s="52" t="inlineStr">
        <is>
          <t>MARKET</t>
        </is>
      </c>
      <c r="B39" s="52" t="inlineStr">
        <is>
          <t>2026-10-15 20:01</t>
        </is>
      </c>
      <c r="C39" s="52" t="inlineStr">
        <is>
          <t>Sensex Today | Stock Market Live: Nifty nears 23,000, Sensex gains 1,200 pts; IT jumps 2%, auto gain</t>
        </is>
      </c>
      <c r="D39" s="52" t="inlineStr">
        <is>
          <t>IndiaIPO</t>
        </is>
      </c>
      <c r="E39" s="82" t="n">
        <v>0.866</v>
      </c>
      <c r="F39" s="52" t="inlineStr">
        <is>
          <t>Positive</t>
        </is>
      </c>
      <c r="G39" s="83" t="inlineStr">
        <is>
          <t>open ↗</t>
        </is>
      </c>
    </row>
    <row r="40">
      <c r="A40" s="52" t="inlineStr">
        <is>
          <t>MARKET</t>
        </is>
      </c>
      <c r="B40" s="52" t="inlineStr">
        <is>
          <t>2026-10-15 19:36</t>
        </is>
      </c>
      <c r="C40" s="52" t="inlineStr">
        <is>
          <t>Closing Bell: Nifty at 23,000, Sensex zooms 1,534 pts; IT, auto, private banks shine</t>
        </is>
      </c>
      <c r="D40" s="52" t="inlineStr">
        <is>
          <t>IndiaIPO</t>
        </is>
      </c>
      <c r="E40" s="82" t="n">
        <v>0.402</v>
      </c>
      <c r="F40" s="52" t="inlineStr">
        <is>
          <t>Positive</t>
        </is>
      </c>
      <c r="G40" s="83" t="inlineStr">
        <is>
          <t>open ↗</t>
        </is>
      </c>
    </row>
    <row r="41">
      <c r="A41" s="52" t="inlineStr">
        <is>
          <t>ATHERENERG</t>
        </is>
      </c>
      <c r="B41" s="52" t="inlineStr">
        <is>
          <t>2026-10-15 17:20</t>
        </is>
      </c>
      <c r="C41" s="52" t="inlineStr">
        <is>
          <t>Ather Energy ATHERENERG IRDAI Corporate Agent Licence Granted</t>
        </is>
      </c>
      <c r="D41" s="52" t="inlineStr">
        <is>
          <t>Kalkine India</t>
        </is>
      </c>
      <c r="E41" s="82" t="n">
        <v>0.477</v>
      </c>
      <c r="F41" s="52" t="inlineStr">
        <is>
          <t>Positive</t>
        </is>
      </c>
      <c r="G41" s="83" t="inlineStr">
        <is>
          <t>open ↗</t>
        </is>
      </c>
    </row>
    <row r="42">
      <c r="A42" s="52" t="inlineStr">
        <is>
          <t>E2E</t>
        </is>
      </c>
      <c r="B42" s="52" t="inlineStr">
        <is>
          <t>2026-10-15 17:14</t>
        </is>
      </c>
      <c r="C42" s="52" t="inlineStr">
        <is>
          <t>Usha Martin receives upgraded ESG rating of 63 from NSE</t>
        </is>
      </c>
      <c r="D42" s="52" t="inlineStr">
        <is>
          <t>Business Upturn</t>
        </is>
      </c>
      <c r="E42" s="82" t="n">
        <v>0.494</v>
      </c>
      <c r="F42" s="52" t="inlineStr">
        <is>
          <t>Positive</t>
        </is>
      </c>
      <c r="G42" s="83" t="inlineStr">
        <is>
          <t>open ↗</t>
        </is>
      </c>
    </row>
    <row r="43">
      <c r="A43" s="52" t="inlineStr">
        <is>
          <t>MARKET</t>
        </is>
      </c>
      <c r="B43" s="52" t="inlineStr">
        <is>
          <t>2026-10-15 14:37</t>
        </is>
      </c>
      <c r="C43" s="52" t="inlineStr">
        <is>
          <t>Nifty sees best day in 4 months, rally remains confined to largecap stocks</t>
        </is>
      </c>
      <c r="D43" s="52" t="inlineStr">
        <is>
          <t>Business Standard</t>
        </is>
      </c>
      <c r="E43" s="82" t="n">
        <v>0.872</v>
      </c>
      <c r="F43" s="52" t="inlineStr">
        <is>
          <t>Positive</t>
        </is>
      </c>
      <c r="G43" s="83" t="inlineStr">
        <is>
          <t>open ↗</t>
        </is>
      </c>
    </row>
    <row r="44">
      <c r="A44" s="52" t="inlineStr">
        <is>
          <t>ATHERENERG</t>
        </is>
      </c>
      <c r="B44" s="52" t="inlineStr">
        <is>
          <t>2026-10-15 13:24</t>
        </is>
      </c>
      <c r="C44" s="52" t="inlineStr">
        <is>
          <t>Why did September volumes diverge for two-wheeler makers (ATHERENERG), (TVSMOTOR) and (HEROMOTOCO)?</t>
        </is>
      </c>
      <c r="D44" s="52" t="inlineStr">
        <is>
          <t>Kalkine India</t>
        </is>
      </c>
      <c r="E44" s="82" t="n">
        <v>0</v>
      </c>
      <c r="F44" s="52" t="inlineStr">
        <is>
          <t>Neutral</t>
        </is>
      </c>
      <c r="G44" s="83" t="inlineStr">
        <is>
          <t>open ↗</t>
        </is>
      </c>
    </row>
    <row r="45">
      <c r="A45" s="52" t="inlineStr">
        <is>
          <t>AEROFLEX</t>
        </is>
      </c>
      <c r="B45" s="52" t="inlineStr">
        <is>
          <t>2026-10-15 12:55</t>
        </is>
      </c>
      <c r="C45" s="52" t="inlineStr">
        <is>
          <t>Aeroflex Enterprises AEROENTER: Stilonn Valves Acquisition</t>
        </is>
      </c>
      <c r="D45" s="52" t="inlineStr">
        <is>
          <t>Kalkine India</t>
        </is>
      </c>
      <c r="E45" s="82" t="n">
        <v>0</v>
      </c>
      <c r="F45" s="52" t="inlineStr">
        <is>
          <t>Neutral</t>
        </is>
      </c>
      <c r="G45" s="83" t="inlineStr">
        <is>
          <t>open ↗</t>
        </is>
      </c>
    </row>
    <row r="46">
      <c r="A46" s="52" t="inlineStr">
        <is>
          <t>MARKET</t>
        </is>
      </c>
      <c r="B46" s="52" t="inlineStr">
        <is>
          <t>2026-10-15 12:51</t>
        </is>
      </c>
      <c r="C46" s="52" t="inlineStr">
        <is>
          <t>Sensex surges 2%; Nifty nears 23,000: What triggered the stock market rally?</t>
        </is>
      </c>
      <c r="D46" s="52" t="inlineStr">
        <is>
          <t>DhanamOnline</t>
        </is>
      </c>
      <c r="E46" s="82" t="n">
        <v>0.836</v>
      </c>
      <c r="F46" s="52" t="inlineStr">
        <is>
          <t>Positive</t>
        </is>
      </c>
      <c r="G46" s="83" t="inlineStr">
        <is>
          <t>open ↗</t>
        </is>
      </c>
    </row>
    <row r="47">
      <c r="A47" s="52" t="inlineStr">
        <is>
          <t>MARKET</t>
        </is>
      </c>
      <c r="B47" s="52" t="inlineStr">
        <is>
          <t>2026-10-15 11:43</t>
        </is>
      </c>
      <c r="C47" s="52" t="inlineStr">
        <is>
          <t>Sensex surges 1,534 points to three-week high as crude prices ease</t>
        </is>
      </c>
      <c r="D47" s="52" t="inlineStr">
        <is>
          <t>The New Indian Express</t>
        </is>
      </c>
      <c r="E47" s="82" t="n">
        <v>0.421</v>
      </c>
      <c r="F47" s="52" t="inlineStr">
        <is>
          <t>Positive</t>
        </is>
      </c>
      <c r="G47" s="83" t="inlineStr">
        <is>
          <t>open ↗</t>
        </is>
      </c>
    </row>
    <row r="48">
      <c r="A48" s="52" t="inlineStr">
        <is>
          <t>MARKET</t>
        </is>
      </c>
      <c r="B48" s="52" t="inlineStr">
        <is>
          <t>2026-10-15 11:27</t>
        </is>
      </c>
      <c r="C48" s="52" t="inlineStr">
        <is>
          <t>Indian markets continue rally; Nifty and Sensex close 2% up as rupee strengthens</t>
        </is>
      </c>
      <c r="D48" s="52" t="inlineStr">
        <is>
          <t>The Hindu</t>
        </is>
      </c>
      <c r="E48" s="82" t="n">
        <v>0.827</v>
      </c>
      <c r="F48" s="52" t="inlineStr">
        <is>
          <t>Positive</t>
        </is>
      </c>
      <c r="G48" s="83" t="inlineStr">
        <is>
          <t>open ↗</t>
        </is>
      </c>
    </row>
    <row r="49">
      <c r="A49" s="52" t="inlineStr">
        <is>
          <t>MARKET</t>
        </is>
      </c>
      <c r="B49" s="52" t="inlineStr">
        <is>
          <t>2026-10-15 11:23</t>
        </is>
      </c>
      <c r="C49" s="52" t="inlineStr">
        <is>
          <t>Sensex Rallies 1,534 Points, Nifty Nears 23,000</t>
        </is>
      </c>
      <c r="D49" s="52" t="inlineStr">
        <is>
          <t>HDFC Sky</t>
        </is>
      </c>
      <c r="E49" s="82" t="n">
        <v>0.6909999999999999</v>
      </c>
      <c r="F49" s="52" t="inlineStr">
        <is>
          <t>Positive</t>
        </is>
      </c>
      <c r="G49" s="83" t="inlineStr">
        <is>
          <t>open ↗</t>
        </is>
      </c>
    </row>
    <row r="50">
      <c r="A50" s="52" t="inlineStr">
        <is>
          <t>MARKET</t>
        </is>
      </c>
      <c r="B50" s="52" t="inlineStr">
        <is>
          <t>2026-10-15 11:21</t>
        </is>
      </c>
      <c r="C50" s="52" t="inlineStr">
        <is>
          <t>Share Market Today: Nifty 50, Bank Nifty | Oct 15, 2026</t>
        </is>
      </c>
      <c r="D50" s="52" t="inlineStr">
        <is>
          <t>Liquide Blog</t>
        </is>
      </c>
      <c r="E50" s="82" t="n">
        <v>0.66</v>
      </c>
      <c r="F50" s="52" t="inlineStr">
        <is>
          <t>Positive</t>
        </is>
      </c>
      <c r="G50" s="83" t="inlineStr">
        <is>
          <t>open ↗</t>
        </is>
      </c>
    </row>
    <row r="51">
      <c r="A51" s="52" t="inlineStr">
        <is>
          <t>MARKET</t>
        </is>
      </c>
      <c r="B51" s="52" t="inlineStr">
        <is>
          <t>2026-10-15 10:50</t>
        </is>
      </c>
      <c r="C51" s="52" t="inlineStr">
        <is>
          <t>Sensex Jumps 1,534 Pts, Nifty Surges on Banks, IT, Reliance</t>
        </is>
      </c>
      <c r="D51" s="52" t="inlineStr">
        <is>
          <t>Rediff MoneyWiz</t>
        </is>
      </c>
      <c r="E51" s="82" t="n">
        <v>0.836</v>
      </c>
      <c r="F51" s="52" t="inlineStr">
        <is>
          <t>Positive</t>
        </is>
      </c>
      <c r="G51" s="83" t="inlineStr">
        <is>
          <t>open ↗</t>
        </is>
      </c>
    </row>
    <row r="52">
      <c r="A52" s="52" t="inlineStr">
        <is>
          <t>E2E</t>
        </is>
      </c>
      <c r="B52" s="52" t="inlineStr">
        <is>
          <t>2026-10-15 10:33</t>
        </is>
      </c>
      <c r="C52" s="52" t="inlineStr">
        <is>
          <t>E2E Rail Wins ₹3.39 Crore Arbitration Award Against IRCON, With 17.25% Interest Payable on Late Payment</t>
        </is>
      </c>
      <c r="D52" s="52" t="inlineStr">
        <is>
          <t>Trade Brains</t>
        </is>
      </c>
      <c r="E52" s="82" t="n">
        <v>0.852</v>
      </c>
      <c r="F52" s="52" t="inlineStr">
        <is>
          <t>Positive</t>
        </is>
      </c>
      <c r="G52" s="83" t="inlineStr">
        <is>
          <t>open ↗</t>
        </is>
      </c>
    </row>
    <row r="53">
      <c r="A53" s="52" t="inlineStr">
        <is>
          <t>MARKET</t>
        </is>
      </c>
      <c r="B53" s="52" t="inlineStr">
        <is>
          <t>2026-10-15 10:27</t>
        </is>
      </c>
      <c r="C53" s="52" t="inlineStr">
        <is>
          <t>Sensex Today Rallies 1,534 Points | Nifty Above 22,950 | 3 Reasons Why Indian Share Markets Are Rising</t>
        </is>
      </c>
      <c r="D53" s="52" t="inlineStr">
        <is>
          <t>Equitymaster</t>
        </is>
      </c>
      <c r="E53" s="82" t="n">
        <v>0.6909999999999999</v>
      </c>
      <c r="F53" s="52" t="inlineStr">
        <is>
          <t>Positive</t>
        </is>
      </c>
      <c r="G53" s="83" t="inlineStr">
        <is>
          <t>open ↗</t>
        </is>
      </c>
    </row>
    <row r="54">
      <c r="A54" s="52" t="inlineStr">
        <is>
          <t>MARKET</t>
        </is>
      </c>
      <c r="B54" s="52" t="inlineStr">
        <is>
          <t>2026-10-15 10:13</t>
        </is>
      </c>
      <c r="C54" s="52" t="inlineStr">
        <is>
          <t>Sensex jumps 1,534 points, Nifty surges to nearly 3-week high led by banks, Reliance, IT stocks</t>
        </is>
      </c>
      <c r="D54" s="52" t="inlineStr">
        <is>
          <t>Telegraph India</t>
        </is>
      </c>
      <c r="E54" s="82" t="n">
        <v>0.866</v>
      </c>
      <c r="F54" s="52" t="inlineStr">
        <is>
          <t>Positive</t>
        </is>
      </c>
      <c r="G54" s="83" t="inlineStr">
        <is>
          <t>open ↗</t>
        </is>
      </c>
    </row>
    <row r="55">
      <c r="A55" s="52" t="inlineStr">
        <is>
          <t>MARKET</t>
        </is>
      </c>
      <c r="B55" s="52" t="inlineStr">
        <is>
          <t>2026-10-15 10:09</t>
        </is>
      </c>
      <c r="C55" s="52" t="inlineStr">
        <is>
          <t>Sensex closes 1,500 points higher, Nifty nears 23,000; RIL up 4%</t>
        </is>
      </c>
      <c r="D55" s="52" t="inlineStr">
        <is>
          <t>India Today</t>
        </is>
      </c>
      <c r="E55" s="82" t="n">
        <v>0.402</v>
      </c>
      <c r="F55" s="52" t="inlineStr">
        <is>
          <t>Positive</t>
        </is>
      </c>
      <c r="G55" s="83" t="inlineStr">
        <is>
          <t>open ↗</t>
        </is>
      </c>
    </row>
    <row r="56">
      <c r="A56" s="52" t="inlineStr">
        <is>
          <t>AEROFLEX</t>
        </is>
      </c>
      <c r="B56" s="52" t="inlineStr">
        <is>
          <t>2026-10-15 09:46</t>
        </is>
      </c>
      <c r="C56" s="52" t="inlineStr">
        <is>
          <t>In freefall! Yes Bank crashes 20% after SC ruling on AT-1 bond write-off</t>
        </is>
      </c>
      <c r="D56" s="52" t="inlineStr">
        <is>
          <t>Business Standard</t>
        </is>
      </c>
      <c r="E56" s="82" t="n">
        <v>0.457</v>
      </c>
      <c r="F56" s="52" t="inlineStr">
        <is>
          <t>Positive</t>
        </is>
      </c>
      <c r="G56" s="83" t="inlineStr">
        <is>
          <t>open ↗</t>
        </is>
      </c>
    </row>
    <row r="57">
      <c r="A57" s="52" t="inlineStr">
        <is>
          <t>AEROFLEX</t>
        </is>
      </c>
      <c r="B57" s="52" t="inlineStr">
        <is>
          <t>2026-10-15 09:30</t>
        </is>
      </c>
      <c r="C57" s="52" t="inlineStr">
        <is>
          <t>Aeroflex Industries tanks 11% on huge volume; down 17% in 2 days</t>
        </is>
      </c>
      <c r="D57" s="52" t="inlineStr">
        <is>
          <t>Business Standard</t>
        </is>
      </c>
      <c r="E57" s="82" t="n">
        <v>-0.226</v>
      </c>
      <c r="F57" s="52" t="inlineStr">
        <is>
          <t>Negative</t>
        </is>
      </c>
      <c r="G57" s="83" t="inlineStr">
        <is>
          <t>open ↗</t>
        </is>
      </c>
    </row>
    <row r="58">
      <c r="A58" s="52" t="inlineStr">
        <is>
          <t>MARKET</t>
        </is>
      </c>
      <c r="B58" s="52" t="inlineStr">
        <is>
          <t>2026-10-15 09:10</t>
        </is>
      </c>
      <c r="C58" s="52" t="inlineStr">
        <is>
          <t>Big surge! Early Diwali for Sensex, Nifty as stock market skyrockets on Reliance Jio IPO, IT shares jump - More to come?</t>
        </is>
      </c>
      <c r="D58" s="52" t="inlineStr">
        <is>
          <t>Livemint</t>
        </is>
      </c>
      <c r="E58" s="82" t="n">
        <v>0.84</v>
      </c>
      <c r="F58" s="52" t="inlineStr">
        <is>
          <t>Positive</t>
        </is>
      </c>
      <c r="G58" s="83" t="inlineStr">
        <is>
          <t>open ↗</t>
        </is>
      </c>
    </row>
    <row r="59">
      <c r="A59" s="52" t="inlineStr">
        <is>
          <t>MARKET</t>
        </is>
      </c>
      <c r="B59" s="52" t="inlineStr">
        <is>
          <t>2026-10-15 08:57</t>
        </is>
      </c>
      <c r="C59" s="52" t="inlineStr">
        <is>
          <t>Sensex jumps over 1,500 points: 5 reasons why the stock market is rising today</t>
        </is>
      </c>
      <c r="D59" s="52" t="inlineStr">
        <is>
          <t>Firstpost</t>
        </is>
      </c>
      <c r="E59" s="82" t="n">
        <v>0.459</v>
      </c>
      <c r="F59" s="52" t="inlineStr">
        <is>
          <t>Positive</t>
        </is>
      </c>
      <c r="G59" s="83" t="inlineStr">
        <is>
          <t>open ↗</t>
        </is>
      </c>
    </row>
    <row r="60">
      <c r="A60" s="52" t="inlineStr">
        <is>
          <t>MARKET</t>
        </is>
      </c>
      <c r="B60" s="52" t="inlineStr">
        <is>
          <t>2026-10-15 08:27</t>
        </is>
      </c>
      <c r="C60" s="52" t="inlineStr">
        <is>
          <t>Stock Market Outlook Today 15 Oct: Sensex, Nifty Levels</t>
        </is>
      </c>
      <c r="D60" s="52" t="inlineStr">
        <is>
          <t>Univest</t>
        </is>
      </c>
      <c r="E60" s="82" t="n">
        <v>0.402</v>
      </c>
      <c r="F60" s="52" t="inlineStr">
        <is>
          <t>Positive</t>
        </is>
      </c>
      <c r="G60" s="83" t="inlineStr">
        <is>
          <t>open ↗</t>
        </is>
      </c>
    </row>
    <row r="61">
      <c r="A61" s="52" t="inlineStr">
        <is>
          <t>MARKET</t>
        </is>
      </c>
      <c r="B61" s="52" t="inlineStr">
        <is>
          <t>2026-10-15 08:24</t>
        </is>
      </c>
      <c r="C61" s="52" t="inlineStr">
        <is>
          <t>Sensex surges 1,500 points, Nifty reclaims 23,000 after 12 sessions as IT, banks lead rally</t>
        </is>
      </c>
      <c r="D61" s="52" t="inlineStr">
        <is>
          <t>Fortune India</t>
        </is>
      </c>
      <c r="E61" s="82" t="n">
        <v>0.836</v>
      </c>
      <c r="F61" s="52" t="inlineStr">
        <is>
          <t>Positive</t>
        </is>
      </c>
      <c r="G61" s="83" t="inlineStr">
        <is>
          <t>open ↗</t>
        </is>
      </c>
    </row>
    <row r="62">
      <c r="A62" s="52" t="inlineStr">
        <is>
          <t>MARKET</t>
        </is>
      </c>
      <c r="B62" s="52" t="inlineStr">
        <is>
          <t>2026-10-15 07:39</t>
        </is>
      </c>
      <c r="C62" s="52" t="inlineStr">
        <is>
          <t>Stock Market Rally: Sensex Jumps 1400 Points, Nifty Reclaims 23000 - Key Reasons Behind Surge</t>
        </is>
      </c>
      <c r="D62" s="52" t="inlineStr">
        <is>
          <t>Outlook Money</t>
        </is>
      </c>
      <c r="E62" s="82" t="n">
        <v>0.898</v>
      </c>
      <c r="F62" s="52" t="inlineStr">
        <is>
          <t>Positive</t>
        </is>
      </c>
      <c r="G62" s="83" t="inlineStr">
        <is>
          <t>open ↗</t>
        </is>
      </c>
    </row>
    <row r="63">
      <c r="A63" s="52" t="inlineStr">
        <is>
          <t>AEROFLEX</t>
        </is>
      </c>
      <c r="B63" s="52" t="inlineStr">
        <is>
          <t>2026-10-15 07:12</t>
        </is>
      </c>
      <c r="C63" s="52" t="inlineStr">
        <is>
          <t>Aeroflex Industries Share Price Falls Sharply</t>
        </is>
      </c>
      <c r="D63" s="52" t="inlineStr">
        <is>
          <t>Kalkine India</t>
        </is>
      </c>
      <c r="E63" s="82" t="n">
        <v>-0.382</v>
      </c>
      <c r="F63" s="52" t="inlineStr">
        <is>
          <t>Negative</t>
        </is>
      </c>
      <c r="G63" s="83" t="inlineStr">
        <is>
          <t>open ↗</t>
        </is>
      </c>
    </row>
    <row r="64">
      <c r="A64" s="52" t="inlineStr">
        <is>
          <t>MARKET</t>
        </is>
      </c>
      <c r="B64" s="52" t="inlineStr">
        <is>
          <t>2026-10-15 06:28</t>
        </is>
      </c>
      <c r="C64" s="52" t="inlineStr">
        <is>
          <t>Stock markets rebound sharply in early trade led by IT firms</t>
        </is>
      </c>
      <c r="D64" s="52" t="inlineStr">
        <is>
          <t>The Hindu</t>
        </is>
      </c>
      <c r="E64" s="82" t="n">
        <v>0</v>
      </c>
      <c r="F64" s="52" t="inlineStr">
        <is>
          <t>Neutral</t>
        </is>
      </c>
      <c r="G64" s="83" t="inlineStr">
        <is>
          <t>open ↗</t>
        </is>
      </c>
    </row>
    <row r="65">
      <c r="A65" s="52" t="inlineStr">
        <is>
          <t>MARKET</t>
        </is>
      </c>
      <c r="B65" s="52" t="inlineStr">
        <is>
          <t>2026-10-15 06:15</t>
        </is>
      </c>
      <c r="C65" s="52" t="inlineStr">
        <is>
          <t>SENSEX zooms over 1,246 points, NIFTY50 tops 22,983 amid global market rout; here is why</t>
        </is>
      </c>
      <c r="D65" s="52" t="inlineStr">
        <is>
          <t>Upstox</t>
        </is>
      </c>
      <c r="E65" s="82" t="n">
        <v>0.511</v>
      </c>
      <c r="F65" s="52" t="inlineStr">
        <is>
          <t>Positive</t>
        </is>
      </c>
      <c r="G65" s="83" t="inlineStr">
        <is>
          <t>open ↗</t>
        </is>
      </c>
    </row>
    <row r="66">
      <c r="A66" s="52" t="inlineStr">
        <is>
          <t>MARKET</t>
        </is>
      </c>
      <c r="B66" s="52" t="inlineStr">
        <is>
          <t>2026-10-15 05:42</t>
        </is>
      </c>
      <c r="C66" s="52" t="inlineStr">
        <is>
          <t>Bulls strike! Sensex zooms 1,500 pts intraday, Nifty tops 23k; key reasons</t>
        </is>
      </c>
      <c r="D66" s="52" t="inlineStr">
        <is>
          <t>Business Standard</t>
        </is>
      </c>
      <c r="E66" s="82" t="n">
        <v>0.7</v>
      </c>
      <c r="F66" s="52" t="inlineStr">
        <is>
          <t>Positive</t>
        </is>
      </c>
      <c r="G66" s="83" t="inlineStr">
        <is>
          <t>open ↗</t>
        </is>
      </c>
    </row>
    <row r="67">
      <c r="A67" s="52" t="inlineStr">
        <is>
          <t>RRKABEL</t>
        </is>
      </c>
      <c r="B67" s="52" t="inlineStr">
        <is>
          <t>2026-10-15 05:40</t>
        </is>
      </c>
      <c r="C67" s="52" t="inlineStr">
        <is>
          <t>What Comes Next For R R Kabel After A 82% Gain</t>
        </is>
      </c>
      <c r="D67" s="52" t="inlineStr">
        <is>
          <t>Simply Wall Street</t>
        </is>
      </c>
      <c r="E67" s="82" t="n">
        <v>0.34</v>
      </c>
      <c r="F67" s="52" t="inlineStr">
        <is>
          <t>Positive</t>
        </is>
      </c>
      <c r="G67" s="83" t="inlineStr">
        <is>
          <t>open ↗</t>
        </is>
      </c>
    </row>
    <row r="68">
      <c r="A68" s="52" t="inlineStr">
        <is>
          <t>MARKET</t>
        </is>
      </c>
      <c r="B68" s="52" t="inlineStr">
        <is>
          <t>2026-10-15 05:38</t>
        </is>
      </c>
      <c r="C68" s="52" t="inlineStr">
        <is>
          <t>Three Reasons Why Markets Are Rising Today: Sensex Spikes 1,300 Points, Nifty Eyes 23,000</t>
        </is>
      </c>
      <c r="D68" s="52" t="inlineStr">
        <is>
          <t>NDTV Profit</t>
        </is>
      </c>
      <c r="E68" s="82" t="n">
        <v>0.402</v>
      </c>
      <c r="F68" s="52" t="inlineStr">
        <is>
          <t>Positive</t>
        </is>
      </c>
      <c r="G68" s="83" t="inlineStr">
        <is>
          <t>open ↗</t>
        </is>
      </c>
    </row>
    <row r="69">
      <c r="A69" s="52" t="inlineStr">
        <is>
          <t>MARKET</t>
        </is>
      </c>
      <c r="B69" s="52" t="inlineStr">
        <is>
          <t>2026-10-15 05:33</t>
        </is>
      </c>
      <c r="C69" s="52" t="inlineStr">
        <is>
          <t>Sensex, Nifty Jump at Open; Oil Eases, Jio IPO Lifts Mood</t>
        </is>
      </c>
      <c r="D69" s="52" t="inlineStr">
        <is>
          <t>HDFC Sky</t>
        </is>
      </c>
      <c r="E69" s="82" t="n">
        <v>0.778</v>
      </c>
      <c r="F69" s="52" t="inlineStr">
        <is>
          <t>Positive</t>
        </is>
      </c>
      <c r="G69" s="83" t="inlineStr">
        <is>
          <t>open ↗</t>
        </is>
      </c>
    </row>
    <row r="70">
      <c r="A70" s="52" t="inlineStr">
        <is>
          <t>MARKET</t>
        </is>
      </c>
      <c r="B70" s="52" t="inlineStr">
        <is>
          <t>2026-10-15 05:04</t>
        </is>
      </c>
      <c r="C70" s="52" t="inlineStr">
        <is>
          <t>Stock Markets Today: Sensex Surges Over 900 points, Nifty above 22,850</t>
        </is>
      </c>
      <c r="D70" s="52" t="inlineStr">
        <is>
          <t>Rediff</t>
        </is>
      </c>
      <c r="E70" s="82" t="n">
        <v>0.71</v>
      </c>
      <c r="F70" s="52" t="inlineStr">
        <is>
          <t>Positive</t>
        </is>
      </c>
      <c r="G70" s="83" t="inlineStr">
        <is>
          <t>open ↗</t>
        </is>
      </c>
    </row>
    <row r="71">
      <c r="A71" s="52" t="inlineStr">
        <is>
          <t>MARKET</t>
        </is>
      </c>
      <c r="B71" s="52" t="inlineStr">
        <is>
          <t>2026-10-15 05:02</t>
        </is>
      </c>
      <c r="C71" s="52" t="inlineStr">
        <is>
          <t>Sensex jumped 1,500 points despite global sell-off: Why markets rose today?</t>
        </is>
      </c>
      <c r="D71" s="52" t="inlineStr">
        <is>
          <t>India Today</t>
        </is>
      </c>
      <c r="E71" s="82" t="n">
        <v>0</v>
      </c>
      <c r="F71" s="52" t="inlineStr">
        <is>
          <t>Neutral</t>
        </is>
      </c>
      <c r="G71" s="83" t="inlineStr">
        <is>
          <t>open ↗</t>
        </is>
      </c>
    </row>
    <row r="72">
      <c r="A72" s="52" t="inlineStr">
        <is>
          <t>MARKET</t>
        </is>
      </c>
      <c r="B72" s="52" t="inlineStr">
        <is>
          <t>2026-10-15 04:59</t>
        </is>
      </c>
      <c r="C72" s="52" t="inlineStr">
        <is>
          <t>Bulls Return To Dalal Street! Stock Markets Rise as Sensex, Nifty Skyrocket; IT Stocks Rally</t>
        </is>
      </c>
      <c r="D72" s="52" t="inlineStr">
        <is>
          <t>ETV Bharat</t>
        </is>
      </c>
      <c r="E72" s="82" t="n">
        <v>0.718</v>
      </c>
      <c r="F72" s="52" t="inlineStr">
        <is>
          <t>Positive</t>
        </is>
      </c>
      <c r="G72" s="83" t="inlineStr">
        <is>
          <t>open ↗</t>
        </is>
      </c>
    </row>
    <row r="73">
      <c r="A73" s="52" t="inlineStr">
        <is>
          <t>MARKET</t>
        </is>
      </c>
      <c r="B73" s="52" t="inlineStr">
        <is>
          <t>2026-10-15 04:44</t>
        </is>
      </c>
      <c r="C73" s="52" t="inlineStr">
        <is>
          <t>Stock Markets Rebound: IT Firms Lead, Crude Prices Ease</t>
        </is>
      </c>
      <c r="D73" s="52" t="inlineStr">
        <is>
          <t>Rediff MoneyWiz</t>
        </is>
      </c>
      <c r="E73" s="82" t="n">
        <v>-0.296</v>
      </c>
      <c r="F73" s="52" t="inlineStr">
        <is>
          <t>Negative</t>
        </is>
      </c>
      <c r="G73" s="83" t="inlineStr">
        <is>
          <t>open ↗</t>
        </is>
      </c>
    </row>
    <row r="74">
      <c r="A74" s="52" t="inlineStr">
        <is>
          <t>MARKET</t>
        </is>
      </c>
      <c r="B74" s="52" t="inlineStr">
        <is>
          <t>2026-10-15 04:37</t>
        </is>
      </c>
      <c r="C74" s="52" t="inlineStr">
        <is>
          <t>Sensex Today Trades Higher | Nifty Above 22,650 | Tata Tech Rallies 7%</t>
        </is>
      </c>
      <c r="D74" s="52" t="inlineStr">
        <is>
          <t>Equitymaster</t>
        </is>
      </c>
      <c r="E74" s="82" t="n">
        <v>0.6909999999999999</v>
      </c>
      <c r="F74" s="52" t="inlineStr">
        <is>
          <t>Positive</t>
        </is>
      </c>
      <c r="G74" s="83" t="inlineStr">
        <is>
          <t>open ↗</t>
        </is>
      </c>
    </row>
    <row r="75">
      <c r="A75" s="52" t="inlineStr">
        <is>
          <t>MARKET</t>
        </is>
      </c>
      <c r="B75" s="52" t="inlineStr">
        <is>
          <t>2026-10-15 04:33</t>
        </is>
      </c>
      <c r="C75" s="52" t="inlineStr">
        <is>
          <t>Why is stock market up today? Sensex jumps 1,534 points, Nifty ends at 22,997 - Top 3 reasons explained</t>
        </is>
      </c>
      <c r="D75" s="52" t="inlineStr">
        <is>
          <t>Livemint</t>
        </is>
      </c>
      <c r="E75" s="82" t="n">
        <v>0.758</v>
      </c>
      <c r="F75" s="52" t="inlineStr">
        <is>
          <t>Positive</t>
        </is>
      </c>
      <c r="G75" s="83" t="inlineStr">
        <is>
          <t>open ↗</t>
        </is>
      </c>
    </row>
    <row r="76">
      <c r="A76" s="52" t="inlineStr">
        <is>
          <t>MARKET</t>
        </is>
      </c>
      <c r="B76" s="52" t="inlineStr">
        <is>
          <t>2026-10-15 04:29</t>
        </is>
      </c>
      <c r="C76" s="52" t="inlineStr">
        <is>
          <t>Sensex on fire! 1,500-point rally puts bulls back in the driver’s seat. What just happened?</t>
        </is>
      </c>
      <c r="D76" s="52" t="inlineStr">
        <is>
          <t>The Economic Times</t>
        </is>
      </c>
      <c r="E76" s="82" t="n">
        <v>0.224</v>
      </c>
      <c r="F76" s="52" t="inlineStr">
        <is>
          <t>Positive</t>
        </is>
      </c>
      <c r="G76" s="83" t="inlineStr">
        <is>
          <t>open ↗</t>
        </is>
      </c>
    </row>
    <row r="77">
      <c r="A77" s="52" t="inlineStr">
        <is>
          <t>MARKET</t>
        </is>
      </c>
      <c r="B77" s="52" t="inlineStr">
        <is>
          <t>2026-10-15 04:29</t>
        </is>
      </c>
      <c r="C77" s="52" t="inlineStr">
        <is>
          <t>Stock markets rebound in early trade on IT rally, fall in crude oil prices; Sensex jumps 354 points, Nifty reclaims 22,700</t>
        </is>
      </c>
      <c r="D77" s="52" t="inlineStr">
        <is>
          <t>Telegraph India</t>
        </is>
      </c>
      <c r="E77" s="82" t="n">
        <v>0.382</v>
      </c>
      <c r="F77" s="52" t="inlineStr">
        <is>
          <t>Positive</t>
        </is>
      </c>
      <c r="G77" s="83" t="inlineStr">
        <is>
          <t>open ↗</t>
        </is>
      </c>
    </row>
    <row r="78">
      <c r="A78" s="52" t="inlineStr">
        <is>
          <t>MARKET</t>
        </is>
      </c>
      <c r="B78" s="52" t="inlineStr">
        <is>
          <t>2026-10-15 03:56</t>
        </is>
      </c>
      <c r="C78" s="52" t="inlineStr">
        <is>
          <t>SENSEX surges over 900 points, NIFTY50 above 22,900; Here are key things to know</t>
        </is>
      </c>
      <c r="D78" s="52" t="inlineStr">
        <is>
          <t>Upstox</t>
        </is>
      </c>
      <c r="E78" s="82" t="n">
        <v>0.494</v>
      </c>
      <c r="F78" s="52" t="inlineStr">
        <is>
          <t>Positive</t>
        </is>
      </c>
      <c r="G78" s="83" t="inlineStr">
        <is>
          <t>open ↗</t>
        </is>
      </c>
    </row>
    <row r="79">
      <c r="A79" s="52" t="inlineStr">
        <is>
          <t>MARKET</t>
        </is>
      </c>
      <c r="B79" s="52" t="inlineStr">
        <is>
          <t>2026-10-15 03:49</t>
        </is>
      </c>
      <c r="C79" s="52" t="inlineStr">
        <is>
          <t>Sensex, Nifty open higher as IT stocks rally, US inflation concerns cap gains</t>
        </is>
      </c>
      <c r="D79" s="52" t="inlineStr">
        <is>
          <t>India Today</t>
        </is>
      </c>
      <c r="E79" s="82" t="n">
        <v>0.8070000000000001</v>
      </c>
      <c r="F79" s="52" t="inlineStr">
        <is>
          <t>Positive</t>
        </is>
      </c>
      <c r="G79" s="83" t="inlineStr">
        <is>
          <t>open ↗</t>
        </is>
      </c>
    </row>
    <row r="80">
      <c r="A80" s="52" t="inlineStr">
        <is>
          <t>MARKET</t>
        </is>
      </c>
      <c r="B80" s="52" t="inlineStr">
        <is>
          <t>2026-10-15 03:47</t>
        </is>
      </c>
      <c r="C80" s="52" t="inlineStr">
        <is>
          <t>Stock market opening: Sensex over 400 points up, Nifty also in green | Business News</t>
        </is>
      </c>
      <c r="D80" s="52" t="inlineStr">
        <is>
          <t>Hindustan Times</t>
        </is>
      </c>
      <c r="E80" s="82" t="n">
        <v>0.402</v>
      </c>
      <c r="F80" s="52" t="inlineStr">
        <is>
          <t>Positive</t>
        </is>
      </c>
      <c r="G80" s="83" t="inlineStr">
        <is>
          <t>open ↗</t>
        </is>
      </c>
    </row>
    <row r="81">
      <c r="A81" s="52" t="inlineStr">
        <is>
          <t>MARKET</t>
        </is>
      </c>
      <c r="B81" s="52" t="inlineStr">
        <is>
          <t>2026-10-15 03:39</t>
        </is>
      </c>
      <c r="C81" s="52" t="inlineStr">
        <is>
          <t>Indian Stock Market Today: Sensex, Nifty, Global Cues</t>
        </is>
      </c>
      <c r="D81" s="52" t="inlineStr">
        <is>
          <t>HDFC Sky</t>
        </is>
      </c>
      <c r="E81" s="82" t="n">
        <v>0.402</v>
      </c>
      <c r="F81" s="52" t="inlineStr">
        <is>
          <t>Positive</t>
        </is>
      </c>
      <c r="G81" s="83" t="inlineStr">
        <is>
          <t>open ↗</t>
        </is>
      </c>
    </row>
    <row r="82">
      <c r="A82" s="52" t="inlineStr">
        <is>
          <t>MARKET</t>
        </is>
      </c>
      <c r="B82" s="52" t="inlineStr">
        <is>
          <t>2026-10-15 03:38</t>
        </is>
      </c>
      <c r="C82" s="52" t="inlineStr">
        <is>
          <t>Markets To Crash Before Diwali? Key Nifty, Sensex Levels, Trends Investors Must Watch</t>
        </is>
      </c>
      <c r="D82" s="52" t="inlineStr">
        <is>
          <t>NDTV</t>
        </is>
      </c>
      <c r="E82" s="82" t="n">
        <v>-0.273</v>
      </c>
      <c r="F82" s="52" t="inlineStr">
        <is>
          <t>Negative</t>
        </is>
      </c>
      <c r="G82" s="83" t="inlineStr">
        <is>
          <t>open ↗</t>
        </is>
      </c>
    </row>
    <row r="83">
      <c r="A83" s="52" t="inlineStr">
        <is>
          <t>MARKET</t>
        </is>
      </c>
      <c r="B83" s="52" t="inlineStr">
        <is>
          <t>2026-10-15 02:26</t>
        </is>
      </c>
      <c r="C83" s="52" t="inlineStr">
        <is>
          <t>Indian share benchmarks log best day in four months on global AI slump</t>
        </is>
      </c>
      <c r="D83" s="52" t="inlineStr">
        <is>
          <t>Reuters</t>
        </is>
      </c>
      <c r="E83" s="82" t="n">
        <v>0.25</v>
      </c>
      <c r="F83" s="52" t="inlineStr">
        <is>
          <t>Positive</t>
        </is>
      </c>
      <c r="G83" s="83" t="inlineStr">
        <is>
          <t>open ↗</t>
        </is>
      </c>
    </row>
    <row r="84">
      <c r="A84" s="52" t="inlineStr">
        <is>
          <t>E2E</t>
        </is>
      </c>
      <c r="B84" s="52" t="inlineStr">
        <is>
          <t>2026-10-15 02:23</t>
        </is>
      </c>
      <c r="C84" s="52" t="inlineStr">
        <is>
          <t>1:10 Stock Split Alert! L&amp;T Backed Small Cap Stock Fixes Stock Split Record Date | How To Get Eligible?</t>
        </is>
      </c>
      <c r="D84" s="52" t="inlineStr">
        <is>
          <t>Goodreturns</t>
        </is>
      </c>
      <c r="E84" s="82" t="n">
        <v>0.624</v>
      </c>
      <c r="F84" s="52" t="inlineStr">
        <is>
          <t>Positive</t>
        </is>
      </c>
      <c r="G84" s="83" t="inlineStr">
        <is>
          <t>open ↗</t>
        </is>
      </c>
    </row>
    <row r="85">
      <c r="A85" s="52" t="inlineStr">
        <is>
          <t>MARKET</t>
        </is>
      </c>
      <c r="B85" s="52" t="inlineStr">
        <is>
          <t>2026-10-15 01:22</t>
        </is>
      </c>
      <c r="C85" s="52" t="inlineStr">
        <is>
          <t>Stock Market Today: Gift Nifty, US Inflation To Gold Rate; Five Key Factors For Sensex, Nifty 50 On Oct 15</t>
        </is>
      </c>
      <c r="D85" s="52" t="inlineStr">
        <is>
          <t>NDTV Profit</t>
        </is>
      </c>
      <c r="E85" s="82" t="n">
        <v>0.8070000000000001</v>
      </c>
      <c r="F85" s="52" t="inlineStr">
        <is>
          <t>Positive</t>
        </is>
      </c>
      <c r="G85" s="83" t="inlineStr">
        <is>
          <t>open ↗</t>
        </is>
      </c>
    </row>
    <row r="86">
      <c r="A86" s="52" t="inlineStr">
        <is>
          <t>MARKET</t>
        </is>
      </c>
      <c r="B86" s="52" t="inlineStr">
        <is>
          <t>2026-10-15 01:19</t>
        </is>
      </c>
      <c r="C86" s="52" t="inlineStr">
        <is>
          <t>Stock market outlook today, 15 Oct: Sensex, Nifty prediction - DJIA, S&amp;P, NASDAQ, GIFT Nifty, Kospi, Nikkei, Taiwan cues</t>
        </is>
      </c>
      <c r="D86" s="52" t="inlineStr">
        <is>
          <t>Livemint</t>
        </is>
      </c>
      <c r="E86" s="82" t="n">
        <v>0.842</v>
      </c>
      <c r="F86" s="52" t="inlineStr">
        <is>
          <t>Positive</t>
        </is>
      </c>
      <c r="G86" s="83" t="inlineStr">
        <is>
          <t>open ↗</t>
        </is>
      </c>
    </row>
    <row r="87">
      <c r="A87" s="52" t="inlineStr">
        <is>
          <t>MARKET</t>
        </is>
      </c>
      <c r="B87" s="52" t="inlineStr">
        <is>
          <t>2026-10-14 19:52</t>
        </is>
      </c>
      <c r="C87" s="52" t="inlineStr">
        <is>
          <t>Oct 14: Sensex, Nifty Fall as Crude Oil, Inflation and FII Selling Weigh on Sentiment</t>
        </is>
      </c>
      <c r="D87" s="52" t="inlineStr">
        <is>
          <t>The Indian Awaaz</t>
        </is>
      </c>
      <c r="E87" s="82" t="n">
        <v>-0.527</v>
      </c>
      <c r="F87" s="52" t="inlineStr">
        <is>
          <t>Negative</t>
        </is>
      </c>
      <c r="G87" s="83" t="inlineStr">
        <is>
          <t>open ↗</t>
        </is>
      </c>
    </row>
    <row r="88">
      <c r="A88" s="52" t="inlineStr">
        <is>
          <t>LAURUSLABS</t>
        </is>
      </c>
      <c r="B88" s="52" t="inlineStr">
        <is>
          <t>2026-10-14 17:42</t>
        </is>
      </c>
      <c r="C88" s="52" t="inlineStr">
        <is>
          <t>Laurus Labs invests $11.3 million in KRKA Pharma JV</t>
        </is>
      </c>
      <c r="D88" s="52" t="inlineStr">
        <is>
          <t>The Times of India</t>
        </is>
      </c>
      <c r="E88" s="82" t="n">
        <v>0</v>
      </c>
      <c r="F88" s="52" t="inlineStr">
        <is>
          <t>Neutral</t>
        </is>
      </c>
      <c r="G88" s="83" t="inlineStr">
        <is>
          <t>open ↗</t>
        </is>
      </c>
    </row>
    <row r="89">
      <c r="A89" s="52" t="inlineStr">
        <is>
          <t>MARKET</t>
        </is>
      </c>
      <c r="B89" s="52" t="inlineStr">
        <is>
          <t>2026-10-14 15:51</t>
        </is>
      </c>
      <c r="C89" s="52" t="inlineStr">
        <is>
          <t>Ahead of Market: 10 things that will decide stock market action on Thursday</t>
        </is>
      </c>
      <c r="D89" s="52" t="inlineStr">
        <is>
          <t>The Economic Times</t>
        </is>
      </c>
      <c r="E89" s="82" t="n">
        <v>0</v>
      </c>
      <c r="F89" s="52" t="inlineStr">
        <is>
          <t>Neutral</t>
        </is>
      </c>
      <c r="G89" s="83" t="inlineStr">
        <is>
          <t>open ↗</t>
        </is>
      </c>
    </row>
    <row r="90">
      <c r="A90" s="52" t="inlineStr">
        <is>
          <t>LAURUSLABS</t>
        </is>
      </c>
      <c r="B90" s="52" t="inlineStr">
        <is>
          <t>2026-10-14 15:23</t>
        </is>
      </c>
      <c r="C90" s="52" t="inlineStr">
        <is>
          <t>Laurus Labs receives ESG rating of 82.6 from CARE ESG Ratings</t>
        </is>
      </c>
      <c r="D90" s="52" t="inlineStr">
        <is>
          <t>Business Upturn</t>
        </is>
      </c>
      <c r="E90" s="82" t="n">
        <v>0.604</v>
      </c>
      <c r="F90" s="52" t="inlineStr">
        <is>
          <t>Positive</t>
        </is>
      </c>
      <c r="G90" s="83" t="inlineStr">
        <is>
          <t>open ↗</t>
        </is>
      </c>
    </row>
    <row r="91">
      <c r="A91" s="52" t="inlineStr">
        <is>
          <t>MARKET</t>
        </is>
      </c>
      <c r="B91" s="52" t="inlineStr">
        <is>
          <t>2026-10-14 15:05</t>
        </is>
      </c>
      <c r="C91" s="52" t="inlineStr">
        <is>
          <t>Sensex, Nifty resume fall after one day pause; what next for markets? -</t>
        </is>
      </c>
      <c r="D91" s="52" t="inlineStr">
        <is>
          <t>IndiaIPO</t>
        </is>
      </c>
      <c r="E91" s="82" t="n">
        <v>0.077</v>
      </c>
      <c r="F91" s="52" t="inlineStr">
        <is>
          <t>Neutral</t>
        </is>
      </c>
      <c r="G91" s="83" t="inlineStr">
        <is>
          <t>open ↗</t>
        </is>
      </c>
    </row>
    <row r="92">
      <c r="A92" s="52" t="inlineStr">
        <is>
          <t>LAURUSLABS</t>
        </is>
      </c>
      <c r="B92" s="52" t="inlineStr">
        <is>
          <t>2026-10-14 14:57</t>
        </is>
      </c>
      <c r="C92" s="52" t="inlineStr">
        <is>
          <t>Laurus Labs invests ₹1,078 crore in Krka Pharma, retains 49% stake</t>
        </is>
      </c>
      <c r="D92" s="52" t="inlineStr">
        <is>
          <t>scanx.trade</t>
        </is>
      </c>
      <c r="E92" s="82" t="n">
        <v>0</v>
      </c>
      <c r="F92" s="52" t="inlineStr">
        <is>
          <t>Neutral</t>
        </is>
      </c>
      <c r="G92" s="83" t="inlineStr">
        <is>
          <t>open ↗</t>
        </is>
      </c>
    </row>
    <row r="93">
      <c r="A93" s="52" t="inlineStr">
        <is>
          <t>LAURUSLABS</t>
        </is>
      </c>
      <c r="B93" s="52" t="inlineStr">
        <is>
          <t>2026-10-14 14:37</t>
        </is>
      </c>
      <c r="C93" s="52" t="inlineStr">
        <is>
          <t>Laurus Labs KRKA Pharma Investment: Rs 107.8 Crore Rights Issue</t>
        </is>
      </c>
      <c r="D93" s="52" t="inlineStr">
        <is>
          <t>Kalkine India</t>
        </is>
      </c>
      <c r="E93" s="82" t="n">
        <v>0</v>
      </c>
      <c r="F93" s="52" t="inlineStr">
        <is>
          <t>Neutral</t>
        </is>
      </c>
      <c r="G93" s="83" t="inlineStr">
        <is>
          <t>open ↗</t>
        </is>
      </c>
    </row>
    <row r="94">
      <c r="A94" s="52" t="inlineStr">
        <is>
          <t>KIRLOSENG</t>
        </is>
      </c>
      <c r="B94" s="52" t="inlineStr">
        <is>
          <t>2026-10-14 13:22</t>
        </is>
      </c>
      <c r="C94" s="52" t="inlineStr">
        <is>
          <t>Kirloskar Oil Engines NSE:KIRLOSENG Reg 74(5) Certificate Q2 FY27</t>
        </is>
      </c>
      <c r="D94" s="52" t="inlineStr">
        <is>
          <t>Kalkine India</t>
        </is>
      </c>
      <c r="E94" s="82" t="n">
        <v>0</v>
      </c>
      <c r="F94" s="52" t="inlineStr">
        <is>
          <t>Neutral</t>
        </is>
      </c>
      <c r="G94" s="83" t="inlineStr">
        <is>
          <t>open ↗</t>
        </is>
      </c>
    </row>
    <row r="95">
      <c r="A95" s="52" t="inlineStr">
        <is>
          <t>MARKET</t>
        </is>
      </c>
      <c r="B95" s="52" t="inlineStr">
        <is>
          <t>2026-10-14 11:38</t>
        </is>
      </c>
      <c r="C95" s="52" t="inlineStr">
        <is>
          <t>Stock markets close lower amid elevated crude oil, rising inflation</t>
        </is>
      </c>
      <c r="D95" s="52" t="inlineStr">
        <is>
          <t>Deccan Herald</t>
        </is>
      </c>
      <c r="E95" s="82" t="n">
        <v>-0.67</v>
      </c>
      <c r="F95" s="52" t="inlineStr">
        <is>
          <t>Negative</t>
        </is>
      </c>
      <c r="G95" s="83" t="inlineStr">
        <is>
          <t>open ↗</t>
        </is>
      </c>
    </row>
    <row r="96">
      <c r="A96" s="52" t="inlineStr">
        <is>
          <t>MARKET</t>
        </is>
      </c>
      <c r="B96" s="52" t="inlineStr">
        <is>
          <t>2026-10-14 10:27</t>
        </is>
      </c>
      <c r="C96" s="52" t="inlineStr">
        <is>
          <t>Sensex falls 252 points, Nifty slips to 22,622, as rising crude, FII selling weigh on markets</t>
        </is>
      </c>
      <c r="D96" s="52" t="inlineStr">
        <is>
          <t>ChiniMandi</t>
        </is>
      </c>
      <c r="E96" s="82" t="n">
        <v>-0.718</v>
      </c>
      <c r="F96" s="52" t="inlineStr">
        <is>
          <t>Negative</t>
        </is>
      </c>
      <c r="G96" s="83" t="inlineStr">
        <is>
          <t>open ↗</t>
        </is>
      </c>
    </row>
    <row r="97">
      <c r="A97" s="52" t="inlineStr">
        <is>
          <t>MARKET</t>
        </is>
      </c>
      <c r="B97" s="52" t="inlineStr">
        <is>
          <t>2026-10-14 10:25</t>
        </is>
      </c>
      <c r="C97" s="52" t="inlineStr">
        <is>
          <t>Sensex Today Ends 252 Points Lower | Nifty Below 22,650 | LIC Housing Finance Down 5%</t>
        </is>
      </c>
      <c r="D97" s="52" t="inlineStr">
        <is>
          <t>Equitymaster</t>
        </is>
      </c>
      <c r="E97" s="82" t="n">
        <v>0.226</v>
      </c>
      <c r="F97" s="52" t="inlineStr">
        <is>
          <t>Positive</t>
        </is>
      </c>
      <c r="G97" s="83" t="inlineStr">
        <is>
          <t>open ↗</t>
        </is>
      </c>
    </row>
    <row r="98">
      <c r="A98" s="52" t="inlineStr">
        <is>
          <t>MARKET</t>
        </is>
      </c>
      <c r="B98" s="52" t="inlineStr">
        <is>
          <t>2026-10-14 10:10</t>
        </is>
      </c>
      <c r="C98" s="52" t="inlineStr">
        <is>
          <t>Sensex falls 252 points, Nifty settles at 22,623 on inflation, crude oil worries</t>
        </is>
      </c>
      <c r="D98" s="52" t="inlineStr">
        <is>
          <t>Telegraph India</t>
        </is>
      </c>
      <c r="E98" s="82" t="n">
        <v>-0.751</v>
      </c>
      <c r="F98" s="52" t="inlineStr">
        <is>
          <t>Negative</t>
        </is>
      </c>
      <c r="G98" s="83" t="inlineStr">
        <is>
          <t>open ↗</t>
        </is>
      </c>
    </row>
    <row r="99">
      <c r="A99" s="52" t="inlineStr">
        <is>
          <t>MARKET</t>
        </is>
      </c>
      <c r="B99" s="52" t="inlineStr">
        <is>
          <t>2026-10-14 10:05</t>
        </is>
      </c>
      <c r="C99" s="52" t="inlineStr">
        <is>
          <t>Sensex, Nifty snap winning streak, end lower as crude oil tops $106</t>
        </is>
      </c>
      <c r="D99" s="52" t="inlineStr">
        <is>
          <t>India Today</t>
        </is>
      </c>
      <c r="E99" s="82" t="n">
        <v>0.599</v>
      </c>
      <c r="F99" s="52" t="inlineStr">
        <is>
          <t>Positive</t>
        </is>
      </c>
      <c r="G99" s="83" t="inlineStr">
        <is>
          <t>open ↗</t>
        </is>
      </c>
    </row>
    <row r="100">
      <c r="A100" s="52" t="inlineStr">
        <is>
          <t>AEROFLEX</t>
        </is>
      </c>
      <c r="B100" s="52" t="inlineStr">
        <is>
          <t>2026-10-14 09:28</t>
        </is>
      </c>
      <c r="C100" s="52" t="inlineStr">
        <is>
          <t>Aeroflex Industries shares rally 10% to 52-week high as board approves capacity expansion plan; check details</t>
        </is>
      </c>
      <c r="D100" s="52" t="inlineStr">
        <is>
          <t>Upstox</t>
        </is>
      </c>
      <c r="E100" s="82" t="n">
        <v>0.836</v>
      </c>
      <c r="F100" s="52" t="inlineStr">
        <is>
          <t>Positive</t>
        </is>
      </c>
      <c r="G100" s="83" t="inlineStr">
        <is>
          <t>open ↗</t>
        </is>
      </c>
    </row>
    <row r="101">
      <c r="A101" s="52" t="inlineStr">
        <is>
          <t>AEROFLEX</t>
        </is>
      </c>
      <c r="B101" s="52" t="inlineStr">
        <is>
          <t>2026-10-14 09:14</t>
        </is>
      </c>
      <c r="C101" s="52" t="inlineStr">
        <is>
          <t>Aeroflex Industries Share Price news and valuation view</t>
        </is>
      </c>
      <c r="D101" s="52" t="inlineStr">
        <is>
          <t>Univest</t>
        </is>
      </c>
      <c r="E101" s="82" t="n">
        <v>0</v>
      </c>
      <c r="F101" s="52" t="inlineStr">
        <is>
          <t>Neutral</t>
        </is>
      </c>
      <c r="G101" s="83" t="inlineStr">
        <is>
          <t>open ↗</t>
        </is>
      </c>
    </row>
    <row r="102">
      <c r="A102" s="52" t="inlineStr">
        <is>
          <t>LAURUSLABS</t>
        </is>
      </c>
      <c r="B102" s="52" t="inlineStr">
        <is>
          <t>2026-10-14 08:02</t>
        </is>
      </c>
      <c r="C102" s="52" t="inlineStr">
        <is>
          <t>Laurus Labs Ltd. (LAURUSLABS) 52 Week High Streak: Sixth Session Near Peak</t>
        </is>
      </c>
      <c r="D102" s="52" t="inlineStr">
        <is>
          <t>Univest</t>
        </is>
      </c>
      <c r="E102" s="82" t="n">
        <v>0.202</v>
      </c>
      <c r="F102" s="52" t="inlineStr">
        <is>
          <t>Positive</t>
        </is>
      </c>
      <c r="G102" s="83" t="inlineStr">
        <is>
          <t>open ↗</t>
        </is>
      </c>
    </row>
    <row r="103">
      <c r="A103" s="52" t="inlineStr">
        <is>
          <t>LAURUSLABS</t>
        </is>
      </c>
      <c r="B103" s="52" t="inlineStr">
        <is>
          <t>2026-10-14 07:00</t>
        </is>
      </c>
      <c r="C103" s="52" t="inlineStr">
        <is>
          <t>LAURUSLABS: Rich P/E Still Leaves Little Room For Margin Misses</t>
        </is>
      </c>
      <c r="D103" s="52" t="inlineStr">
        <is>
          <t>Simply Wall Street</t>
        </is>
      </c>
      <c r="E103" s="82" t="n">
        <v>0.202</v>
      </c>
      <c r="F103" s="52" t="inlineStr">
        <is>
          <t>Positive</t>
        </is>
      </c>
      <c r="G103" s="83" t="inlineStr">
        <is>
          <t>open ↗</t>
        </is>
      </c>
    </row>
    <row r="104">
      <c r="A104" s="52" t="inlineStr">
        <is>
          <t>MARKET</t>
        </is>
      </c>
      <c r="B104" s="52" t="inlineStr">
        <is>
          <t>2026-10-14 07:00</t>
        </is>
      </c>
      <c r="C104" s="52" t="inlineStr">
        <is>
          <t>Sensex falls 252 points, Nifty settles below 22,650; Bajaj Finance, M&amp;M see big cut</t>
        </is>
      </c>
      <c r="D104" s="52" t="inlineStr">
        <is>
          <t>IndiaIPO</t>
        </is>
      </c>
      <c r="E104" s="82" t="n">
        <v>-0.25</v>
      </c>
      <c r="F104" s="52" t="inlineStr">
        <is>
          <t>Negative</t>
        </is>
      </c>
      <c r="G104" s="83" t="inlineStr">
        <is>
          <t>open ↗</t>
        </is>
      </c>
    </row>
    <row r="105">
      <c r="A105" s="52" t="inlineStr">
        <is>
          <t>RRKABEL</t>
        </is>
      </c>
      <c r="B105" s="52" t="inlineStr">
        <is>
          <t>2026-10-14 05:59</t>
        </is>
      </c>
      <c r="C105" s="52" t="inlineStr">
        <is>
          <t>RRKABEL Share Price Today - RR Kabel on NSE/BSE</t>
        </is>
      </c>
      <c r="D105" s="52" t="inlineStr">
        <is>
          <t>scanx.trade</t>
        </is>
      </c>
      <c r="E105" s="82" t="n">
        <v>0</v>
      </c>
      <c r="F105" s="52" t="inlineStr">
        <is>
          <t>Neutral</t>
        </is>
      </c>
      <c r="G105" s="83" t="inlineStr">
        <is>
          <t>open ↗</t>
        </is>
      </c>
    </row>
    <row r="106">
      <c r="A106" s="52" t="inlineStr">
        <is>
          <t>MARKET</t>
        </is>
      </c>
      <c r="B106" s="52" t="inlineStr">
        <is>
          <t>2026-10-14 05:36</t>
        </is>
      </c>
      <c r="C106" s="52" t="inlineStr">
        <is>
          <t>Sensex falls over 250 points, Nifty closes below 22,650 even as IT stocks shine. What lies ahead for Dalal</t>
        </is>
      </c>
      <c r="D106" s="52" t="inlineStr">
        <is>
          <t>The Economic Times</t>
        </is>
      </c>
      <c r="E106" s="82" t="n">
        <v>-0.402</v>
      </c>
      <c r="F106" s="52" t="inlineStr">
        <is>
          <t>Negative</t>
        </is>
      </c>
      <c r="G106" s="83" t="inlineStr">
        <is>
          <t>open ↗</t>
        </is>
      </c>
    </row>
    <row r="107">
      <c r="A107" s="52" t="inlineStr">
        <is>
          <t>MARKET</t>
        </is>
      </c>
      <c r="B107" s="52" t="inlineStr">
        <is>
          <t>2026-10-14 05:23</t>
        </is>
      </c>
      <c r="C107" s="52" t="inlineStr">
        <is>
          <t>Markets recover early losses amid buying in IT stocks, HDFC Bank</t>
        </is>
      </c>
      <c r="D107" s="52" t="inlineStr">
        <is>
          <t>The Hindu</t>
        </is>
      </c>
      <c r="E107" s="82" t="n">
        <v>-0.421</v>
      </c>
      <c r="F107" s="52" t="inlineStr">
        <is>
          <t>Negative</t>
        </is>
      </c>
      <c r="G107" s="83" t="inlineStr">
        <is>
          <t>open ↗</t>
        </is>
      </c>
    </row>
    <row r="108">
      <c r="A108" s="52" t="inlineStr">
        <is>
          <t>MARKET</t>
        </is>
      </c>
      <c r="B108" s="52" t="inlineStr">
        <is>
          <t>2026-10-14 05:23</t>
        </is>
      </c>
      <c r="C108" s="52" t="inlineStr">
        <is>
          <t>Stock Markets Today: Sensex, Nifty Pared Early Losses in Volatile Trade</t>
        </is>
      </c>
      <c r="D108" s="52" t="inlineStr">
        <is>
          <t>Rediff</t>
        </is>
      </c>
      <c r="E108" s="82" t="n">
        <v>-0.026</v>
      </c>
      <c r="F108" s="52" t="inlineStr">
        <is>
          <t>Neutral</t>
        </is>
      </c>
      <c r="G108" s="83" t="inlineStr">
        <is>
          <t>open ↗</t>
        </is>
      </c>
    </row>
    <row r="109">
      <c r="A109" s="52" t="inlineStr">
        <is>
          <t>MARKET</t>
        </is>
      </c>
      <c r="B109" s="52" t="inlineStr">
        <is>
          <t>2026-10-14 05:18</t>
        </is>
      </c>
      <c r="C109" s="52" t="inlineStr">
        <is>
          <t>Stock Market Today: Sensex, Nifty Settle Lower As WPI inflation Rises</t>
        </is>
      </c>
      <c r="D109" s="52" t="inlineStr">
        <is>
          <t>ETV Bharat</t>
        </is>
      </c>
      <c r="E109" s="82" t="n">
        <v>0.226</v>
      </c>
      <c r="F109" s="52" t="inlineStr">
        <is>
          <t>Positive</t>
        </is>
      </c>
      <c r="G109" s="83" t="inlineStr">
        <is>
          <t>open ↗</t>
        </is>
      </c>
    </row>
    <row r="110">
      <c r="A110" s="52" t="inlineStr">
        <is>
          <t>MARKET</t>
        </is>
      </c>
      <c r="B110" s="52" t="inlineStr">
        <is>
          <t>2026-10-14 04:44</t>
        </is>
      </c>
      <c r="C110" s="52" t="inlineStr">
        <is>
          <t>Markets Flat at Open as Asia Rises, Oil &amp; Hormuz Risk Weigh</t>
        </is>
      </c>
      <c r="D110" s="52" t="inlineStr">
        <is>
          <t>HDFC Sky</t>
        </is>
      </c>
      <c r="E110" s="82" t="n">
        <v>-0.273</v>
      </c>
      <c r="F110" s="52" t="inlineStr">
        <is>
          <t>Negative</t>
        </is>
      </c>
      <c r="G110" s="83" t="inlineStr">
        <is>
          <t>open ↗</t>
        </is>
      </c>
    </row>
    <row r="111">
      <c r="A111" s="52" t="inlineStr">
        <is>
          <t>MARKET</t>
        </is>
      </c>
      <c r="B111" s="52" t="inlineStr">
        <is>
          <t>2026-10-14 04:43</t>
        </is>
      </c>
      <c r="C111" s="52" t="inlineStr">
        <is>
          <t>Sensex, Nifty recover after weak opening amid hopes of LTCG tax relief</t>
        </is>
      </c>
      <c r="D111" s="52" t="inlineStr">
        <is>
          <t>ChiniMandi</t>
        </is>
      </c>
      <c r="E111" s="82" t="n">
        <v>0.718</v>
      </c>
      <c r="F111" s="52" t="inlineStr">
        <is>
          <t>Positive</t>
        </is>
      </c>
      <c r="G111" s="83" t="inlineStr">
        <is>
          <t>open ↗</t>
        </is>
      </c>
    </row>
    <row r="112">
      <c r="A112" s="52" t="inlineStr">
        <is>
          <t>MARKET</t>
        </is>
      </c>
      <c r="B112" s="52" t="inlineStr">
        <is>
          <t>2026-10-14 04:38</t>
        </is>
      </c>
      <c r="C112" s="52" t="inlineStr">
        <is>
          <t>Sensex Today Trades Lower | Nifty Below 22,700 | Shriram Finance &amp; Polycab India Top Losers</t>
        </is>
      </c>
      <c r="D112" s="52" t="inlineStr">
        <is>
          <t>Equitymaster</t>
        </is>
      </c>
      <c r="E112" s="82" t="n">
        <v>-0.178</v>
      </c>
      <c r="F112" s="52" t="inlineStr">
        <is>
          <t>Neutral</t>
        </is>
      </c>
      <c r="G112" s="83" t="inlineStr">
        <is>
          <t>open ↗</t>
        </is>
      </c>
    </row>
    <row r="113">
      <c r="A113" s="52" t="inlineStr">
        <is>
          <t>MARKET</t>
        </is>
      </c>
      <c r="B113" s="52" t="inlineStr">
        <is>
          <t>2026-10-14 04:09</t>
        </is>
      </c>
      <c r="C113" s="52" t="inlineStr">
        <is>
          <t>Sensex, Nifty open flat as global headwinds weigh on investor sentiment</t>
        </is>
      </c>
      <c r="D113" s="52" t="inlineStr">
        <is>
          <t>Telangana Today</t>
        </is>
      </c>
      <c r="E113" s="82" t="n">
        <v>0.402</v>
      </c>
      <c r="F113" s="52" t="inlineStr">
        <is>
          <t>Positive</t>
        </is>
      </c>
      <c r="G113" s="83" t="inlineStr">
        <is>
          <t>open ↗</t>
        </is>
      </c>
    </row>
    <row r="114">
      <c r="A114" s="52" t="inlineStr">
        <is>
          <t>MARKET</t>
        </is>
      </c>
      <c r="B114" s="52" t="inlineStr">
        <is>
          <t>2026-10-14 04:07</t>
        </is>
      </c>
      <c r="C114" s="52" t="inlineStr">
        <is>
          <t>Sensex, Nifty open flat as crude oil and FII outflows weigh</t>
        </is>
      </c>
      <c r="D114" s="52" t="inlineStr">
        <is>
          <t>India Today</t>
        </is>
      </c>
      <c r="E114" s="82" t="n">
        <v>-0.25</v>
      </c>
      <c r="F114" s="52" t="inlineStr">
        <is>
          <t>Negative</t>
        </is>
      </c>
      <c r="G114" s="83" t="inlineStr">
        <is>
          <t>open ↗</t>
        </is>
      </c>
    </row>
    <row r="115">
      <c r="A115" s="52" t="inlineStr">
        <is>
          <t>MARKET</t>
        </is>
      </c>
      <c r="B115" s="52" t="inlineStr">
        <is>
          <t>2026-10-14 03:50</t>
        </is>
      </c>
      <c r="C115" s="52" t="inlineStr">
        <is>
          <t>Stock Market Today: Sensex holds 73,000; Nifty below 22,700; Nifty IT up 1.5%</t>
        </is>
      </c>
      <c r="D115" s="52" t="inlineStr">
        <is>
          <t>Zee Business</t>
        </is>
      </c>
      <c r="E115" s="82" t="n">
        <v>0.66</v>
      </c>
      <c r="F115" s="52" t="inlineStr">
        <is>
          <t>Positive</t>
        </is>
      </c>
      <c r="G115" s="83" t="inlineStr">
        <is>
          <t>open ↗</t>
        </is>
      </c>
    </row>
    <row r="116">
      <c r="A116" s="52" t="inlineStr">
        <is>
          <t>LAURUSLABS</t>
        </is>
      </c>
      <c r="B116" s="52" t="inlineStr">
        <is>
          <t>2026-10-14 03:21</t>
        </is>
      </c>
      <c r="C116" s="52" t="inlineStr">
        <is>
          <t>Biocon secures earliest licensed launch dates for Pebrilzo® following global patent settlement with Genentech</t>
        </is>
      </c>
      <c r="D116" s="52" t="inlineStr">
        <is>
          <t>Business Upturn</t>
        </is>
      </c>
      <c r="E116" s="82" t="n">
        <v>0.421</v>
      </c>
      <c r="F116" s="52" t="inlineStr">
        <is>
          <t>Positive</t>
        </is>
      </c>
      <c r="G116" s="83" t="inlineStr">
        <is>
          <t>open ↗</t>
        </is>
      </c>
    </row>
    <row r="117">
      <c r="A117" s="52" t="inlineStr">
        <is>
          <t>LAURUSLABS</t>
        </is>
      </c>
      <c r="B117" s="52" t="inlineStr">
        <is>
          <t>2026-10-14 02:46</t>
        </is>
      </c>
      <c r="C117" s="52" t="inlineStr">
        <is>
          <t>Zydus Lifesciences share price target ₹1,457: Bernstein maintains Buy</t>
        </is>
      </c>
      <c r="D117" s="52" t="inlineStr">
        <is>
          <t>Business Upturn</t>
        </is>
      </c>
      <c r="E117" s="82" t="n">
        <v>0.421</v>
      </c>
      <c r="F117" s="52" t="inlineStr">
        <is>
          <t>Positive</t>
        </is>
      </c>
      <c r="G117" s="83" t="inlineStr">
        <is>
          <t>open ↗</t>
        </is>
      </c>
    </row>
    <row r="118">
      <c r="A118" s="52" t="inlineStr">
        <is>
          <t>LAURUSLABS</t>
        </is>
      </c>
      <c r="B118" s="52" t="inlineStr">
        <is>
          <t>2026-10-14 02:46</t>
        </is>
      </c>
      <c r="C118" s="52" t="inlineStr">
        <is>
          <t>GMR Airports establishes GMR Aero Realty with INR 1 Crore capital</t>
        </is>
      </c>
      <c r="D118" s="52" t="inlineStr">
        <is>
          <t>Business Upturn</t>
        </is>
      </c>
      <c r="E118" s="82" t="n">
        <v>0</v>
      </c>
      <c r="F118" s="52" t="inlineStr">
        <is>
          <t>Neutral</t>
        </is>
      </c>
      <c r="G118" s="83" t="inlineStr">
        <is>
          <t>open ↗</t>
        </is>
      </c>
    </row>
    <row r="119">
      <c r="A119" s="52" t="inlineStr">
        <is>
          <t>MARKET</t>
        </is>
      </c>
      <c r="B119" s="52" t="inlineStr">
        <is>
          <t>2026-10-14 01:35</t>
        </is>
      </c>
      <c r="C119" s="52" t="inlineStr">
        <is>
          <t>Stock Market Today: Gift Nifty, Oil Prices To Gold Rate; Five Key Factors That May Drive Sensex, Nifty 50 On October 14</t>
        </is>
      </c>
      <c r="D119" s="52" t="inlineStr">
        <is>
          <t>NDTV Profit</t>
        </is>
      </c>
      <c r="E119" s="82" t="n">
        <v>0.8070000000000001</v>
      </c>
      <c r="F119" s="52" t="inlineStr">
        <is>
          <t>Positive</t>
        </is>
      </c>
      <c r="G119" s="83" t="inlineStr">
        <is>
          <t>open ↗</t>
        </is>
      </c>
    </row>
    <row r="120">
      <c r="A120" s="52" t="inlineStr">
        <is>
          <t>MARKET</t>
        </is>
      </c>
      <c r="B120" s="52" t="inlineStr">
        <is>
          <t>2026-10-14 01:18</t>
        </is>
      </c>
      <c r="C120" s="52" t="inlineStr">
        <is>
          <t>Stock market outlook today, 14 Oct: Sensex, Nifty prediction - DJIA, S&amp;P, NASDAQ, GIFT Nifty, Kospi, Nikkei, Taiwan cues</t>
        </is>
      </c>
      <c r="D120" s="52" t="inlineStr">
        <is>
          <t>Livemint</t>
        </is>
      </c>
      <c r="E120" s="82" t="n">
        <v>0.842</v>
      </c>
      <c r="F120" s="52" t="inlineStr">
        <is>
          <t>Positive</t>
        </is>
      </c>
      <c r="G120" s="83" t="inlineStr">
        <is>
          <t>open ↗</t>
        </is>
      </c>
    </row>
    <row r="121">
      <c r="A121" s="52" t="inlineStr">
        <is>
          <t>MARKET</t>
        </is>
      </c>
      <c r="B121" s="52" t="inlineStr">
        <is>
          <t>2026-10-13 23:28</t>
        </is>
      </c>
      <c r="C121" s="52" t="inlineStr">
        <is>
          <t>Sensex Today | Stock Market Live: Sensex up 450 pts, Nifty at 22,500; IT surges over 3%, HCL Tech, T</t>
        </is>
      </c>
      <c r="D121" s="52" t="inlineStr">
        <is>
          <t>IndiaIPO</t>
        </is>
      </c>
      <c r="E121" s="82" t="n">
        <v>0.71</v>
      </c>
      <c r="F121" s="52" t="inlineStr">
        <is>
          <t>Positive</t>
        </is>
      </c>
      <c r="G121" s="83" t="inlineStr">
        <is>
          <t>open ↗</t>
        </is>
      </c>
    </row>
    <row r="122">
      <c r="A122" s="52" t="inlineStr">
        <is>
          <t>LAURUSLABS</t>
        </is>
      </c>
      <c r="B122" s="52" t="inlineStr">
        <is>
          <t>2026-10-13 12:46</t>
        </is>
      </c>
      <c r="C122" s="52" t="inlineStr">
        <is>
          <t>Laurus Labs schedules Q2 FY27 earnings call for October 29</t>
        </is>
      </c>
      <c r="D122" s="52" t="inlineStr">
        <is>
          <t>scanx.trade</t>
        </is>
      </c>
      <c r="E122" s="82" t="n">
        <v>0</v>
      </c>
      <c r="F122" s="52" t="inlineStr">
        <is>
          <t>Neutral</t>
        </is>
      </c>
      <c r="G122" s="83" t="inlineStr">
        <is>
          <t>open ↗</t>
        </is>
      </c>
    </row>
    <row r="123">
      <c r="A123" s="52" t="inlineStr">
        <is>
          <t>MARKET</t>
        </is>
      </c>
      <c r="B123" s="52" t="inlineStr">
        <is>
          <t>2026-10-13 12:19</t>
        </is>
      </c>
      <c r="C123" s="52" t="inlineStr">
        <is>
          <t>Late rally: Sensex jumps 1,110 points, Nifty over 22,700: 5 factors behind market rise; these stocks rebound after UPI</t>
        </is>
      </c>
      <c r="D123" s="52" t="inlineStr">
        <is>
          <t>Livemint</t>
        </is>
      </c>
      <c r="E123" s="82" t="n">
        <v>0.827</v>
      </c>
      <c r="F123" s="52" t="inlineStr">
        <is>
          <t>Positive</t>
        </is>
      </c>
      <c r="G123" s="83" t="inlineStr">
        <is>
          <t>open ↗</t>
        </is>
      </c>
    </row>
    <row r="124">
      <c r="A124" s="52" t="inlineStr">
        <is>
          <t>MARKET</t>
        </is>
      </c>
      <c r="B124" s="52" t="inlineStr">
        <is>
          <t>2026-10-13 11:55</t>
        </is>
      </c>
      <c r="C124" s="52" t="inlineStr">
        <is>
          <t>Sensex Jumps Over 1,100 Points, Rupee Rallies. Why Markets Went Up Today</t>
        </is>
      </c>
      <c r="D124" s="52" t="inlineStr">
        <is>
          <t>NDTV</t>
        </is>
      </c>
      <c r="E124" s="82" t="n">
        <v>0.718</v>
      </c>
      <c r="F124" s="52" t="inlineStr">
        <is>
          <t>Positive</t>
        </is>
      </c>
      <c r="G124" s="83" t="inlineStr">
        <is>
          <t>open ↗</t>
        </is>
      </c>
    </row>
    <row r="125">
      <c r="A125" s="52" t="inlineStr">
        <is>
          <t>LAURUSLABS</t>
        </is>
      </c>
      <c r="B125" s="52" t="inlineStr">
        <is>
          <t>2026-10-13 11:20</t>
        </is>
      </c>
      <c r="C125" s="52" t="inlineStr">
        <is>
          <t>Laurus Labs Q2 H1 FY27 Earnings Conference Call Date</t>
        </is>
      </c>
      <c r="D125" s="52" t="inlineStr">
        <is>
          <t>Kalkine India</t>
        </is>
      </c>
      <c r="E125" s="82" t="n">
        <v>0</v>
      </c>
      <c r="F125" s="52" t="inlineStr">
        <is>
          <t>Neutral</t>
        </is>
      </c>
      <c r="G125" s="83" t="inlineStr">
        <is>
          <t>open ↗</t>
        </is>
      </c>
    </row>
    <row r="126">
      <c r="A126" s="52" t="inlineStr">
        <is>
          <t>MARKET</t>
        </is>
      </c>
      <c r="B126" s="52" t="inlineStr">
        <is>
          <t>2026-10-13 11:19</t>
        </is>
      </c>
      <c r="C126" s="52" t="inlineStr">
        <is>
          <t>Indian markets rally as IT stocks surge; Sensex jumps over 1,100 points</t>
        </is>
      </c>
      <c r="D126" s="52" t="inlineStr">
        <is>
          <t>The New Indian Express</t>
        </is>
      </c>
      <c r="E126" s="82" t="n">
        <v>0.848</v>
      </c>
      <c r="F126" s="52" t="inlineStr">
        <is>
          <t>Positive</t>
        </is>
      </c>
      <c r="G126" s="83" t="inlineStr">
        <is>
          <t>open ↗</t>
        </is>
      </c>
    </row>
    <row r="127">
      <c r="A127" s="52" t="inlineStr">
        <is>
          <t>E2E</t>
        </is>
      </c>
      <c r="B127" s="52" t="inlineStr">
        <is>
          <t>2026-10-13 09:19</t>
        </is>
      </c>
      <c r="C127" s="52" t="inlineStr">
        <is>
          <t>Hitachi Energy, E2E Networks, Anant Raj, other AI-linked stocks slide up to 5% as global AI rout hits Indi</t>
        </is>
      </c>
      <c r="D127" s="52" t="inlineStr">
        <is>
          <t>The Economic Times</t>
        </is>
      </c>
      <c r="E127" s="82" t="n">
        <v>0.128</v>
      </c>
      <c r="F127" s="52" t="inlineStr">
        <is>
          <t>Neutral</t>
        </is>
      </c>
      <c r="G127" s="83" t="inlineStr">
        <is>
          <t>open ↗</t>
        </is>
      </c>
    </row>
    <row r="128">
      <c r="A128" s="52" t="inlineStr">
        <is>
          <t>RRKABEL</t>
        </is>
      </c>
      <c r="B128" s="52" t="inlineStr">
        <is>
          <t>2026-10-13 08:33</t>
        </is>
      </c>
      <c r="C128" s="52" t="inlineStr">
        <is>
          <t>Cable &amp; Wire stocks: Polycab, KEI, R R Kabel, Quadrant Future slip up to 5%</t>
        </is>
      </c>
      <c r="D128" s="52" t="inlineStr">
        <is>
          <t>Business Standard</t>
        </is>
      </c>
      <c r="E128" s="82" t="n">
        <v>-0.34</v>
      </c>
      <c r="F128" s="52" t="inlineStr">
        <is>
          <t>Negative</t>
        </is>
      </c>
      <c r="G128" s="83" t="inlineStr">
        <is>
          <t>open ↗</t>
        </is>
      </c>
    </row>
    <row r="129">
      <c r="A129" s="52" t="inlineStr">
        <is>
          <t>E2E</t>
        </is>
      </c>
      <c r="B129" s="52" t="inlineStr">
        <is>
          <t>2026-10-13 07:46</t>
        </is>
      </c>
      <c r="C129" s="52" t="inlineStr">
        <is>
          <t>E2E Networks, Hitachi Energy India, other AI-related stocks fall up to 5% amid global AI jitters</t>
        </is>
      </c>
      <c r="D129" s="52" t="inlineStr">
        <is>
          <t>Moneycontrol.com</t>
        </is>
      </c>
      <c r="E129" s="82" t="n">
        <v>-0.077</v>
      </c>
      <c r="F129" s="52" t="inlineStr">
        <is>
          <t>Neutral</t>
        </is>
      </c>
      <c r="G129" s="83" t="inlineStr">
        <is>
          <t>open ↗</t>
        </is>
      </c>
    </row>
    <row r="130">
      <c r="A130" s="52" t="inlineStr">
        <is>
          <t>ATHERENERG</t>
        </is>
      </c>
      <c r="B130" s="52" t="inlineStr">
        <is>
          <t>2026-10-13 07:00</t>
        </is>
      </c>
      <c r="C130" s="52" t="inlineStr">
        <is>
          <t>Ather Energy Share Price News: Valuation and Sector View</t>
        </is>
      </c>
      <c r="D130" s="52" t="inlineStr">
        <is>
          <t>Univest</t>
        </is>
      </c>
      <c r="E130" s="82" t="n">
        <v>0.273</v>
      </c>
      <c r="F130" s="52" t="inlineStr">
        <is>
          <t>Positive</t>
        </is>
      </c>
      <c r="G130" s="83" t="inlineStr">
        <is>
          <t>open ↗</t>
        </is>
      </c>
    </row>
    <row r="131">
      <c r="A131" s="52" t="inlineStr">
        <is>
          <t>RRKABEL</t>
        </is>
      </c>
      <c r="B131" s="52" t="inlineStr">
        <is>
          <t>2026-10-13 07:00</t>
        </is>
      </c>
      <c r="C131" s="52" t="inlineStr">
        <is>
          <t>RR Kabel Share Price Drops: Price Action and Fundamentals</t>
        </is>
      </c>
      <c r="D131" s="52" t="inlineStr">
        <is>
          <t>Univest</t>
        </is>
      </c>
      <c r="E131" s="82" t="n">
        <v>0</v>
      </c>
      <c r="F131" s="52" t="inlineStr">
        <is>
          <t>Neutral</t>
        </is>
      </c>
      <c r="G131" s="83" t="inlineStr">
        <is>
          <t>open ↗</t>
        </is>
      </c>
    </row>
    <row r="132">
      <c r="A132" s="52" t="inlineStr">
        <is>
          <t>AEROFLEX</t>
        </is>
      </c>
      <c r="B132" s="52" t="inlineStr">
        <is>
          <t>2026-10-13 06:55</t>
        </is>
      </c>
      <c r="C132" s="52" t="inlineStr">
        <is>
          <t>Aeroflex Enterprises AEROENTER NSE Price Movement Clarification</t>
        </is>
      </c>
      <c r="D132" s="52" t="inlineStr">
        <is>
          <t>Kalkine India</t>
        </is>
      </c>
      <c r="E132" s="82" t="n">
        <v>0</v>
      </c>
      <c r="F132" s="52" t="inlineStr">
        <is>
          <t>Neutral</t>
        </is>
      </c>
      <c r="G132" s="83" t="inlineStr">
        <is>
          <t>open ↗</t>
        </is>
      </c>
    </row>
    <row r="133">
      <c r="A133" s="52" t="inlineStr">
        <is>
          <t>MARKET</t>
        </is>
      </c>
      <c r="B133" s="52" t="inlineStr">
        <is>
          <t>2026-10-13 05:46</t>
        </is>
      </c>
      <c r="C133" s="52" t="inlineStr">
        <is>
          <t>Indian markets turn positive after weak opening; crude oil prices, global cues weigh on sentiment</t>
        </is>
      </c>
      <c r="D133" s="52" t="inlineStr">
        <is>
          <t>cfo.economictimes.indiatimes.com</t>
        </is>
      </c>
      <c r="E133" s="82" t="n">
        <v>-0.402</v>
      </c>
      <c r="F133" s="52" t="inlineStr">
        <is>
          <t>Negative</t>
        </is>
      </c>
      <c r="G133" s="83" t="inlineStr">
        <is>
          <t>open ↗</t>
        </is>
      </c>
    </row>
    <row r="134">
      <c r="A134" s="52" t="inlineStr">
        <is>
          <t>MARKET</t>
        </is>
      </c>
      <c r="B134" s="52" t="inlineStr">
        <is>
          <t>2026-10-13 04:26</t>
        </is>
      </c>
      <c r="C134" s="52" t="inlineStr">
        <is>
          <t>Why did market rally today? Sensex surges 1,100 points, Nifty closes above 22,700. 5 key factors behind D-</t>
        </is>
      </c>
      <c r="D134" s="52" t="inlineStr">
        <is>
          <t>The Economic Times</t>
        </is>
      </c>
      <c r="E134" s="82" t="n">
        <v>0.836</v>
      </c>
      <c r="F134" s="52" t="inlineStr">
        <is>
          <t>Positive</t>
        </is>
      </c>
      <c r="G134" s="83" t="inlineStr">
        <is>
          <t>open ↗</t>
        </is>
      </c>
    </row>
    <row r="135">
      <c r="A135" s="52" t="inlineStr">
        <is>
          <t>ATHERENERG</t>
        </is>
      </c>
      <c r="B135" s="52" t="inlineStr">
        <is>
          <t>2026-10-13 03:06</t>
        </is>
      </c>
      <c r="C135" s="52" t="inlineStr">
        <is>
          <t>Nomura on autos: EV penetration to decide stock returns, picks Ather, M&amp;M</t>
        </is>
      </c>
      <c r="D135" s="52" t="inlineStr">
        <is>
          <t>Business Upturn</t>
        </is>
      </c>
      <c r="E135" s="82" t="n">
        <v>0</v>
      </c>
      <c r="F135" s="52" t="inlineStr">
        <is>
          <t>Neutral</t>
        </is>
      </c>
      <c r="G135" s="83" t="inlineStr">
        <is>
          <t>open ↗</t>
        </is>
      </c>
    </row>
    <row r="136">
      <c r="A136" s="52" t="inlineStr">
        <is>
          <t>MARKET</t>
        </is>
      </c>
      <c r="B136" s="52" t="inlineStr">
        <is>
          <t>2026-10-13 02:39</t>
        </is>
      </c>
      <c r="C136" s="52" t="inlineStr">
        <is>
          <t>US Dollar holds near 18-month high amid rising geopolitical risks | What does it mean for Sensex, Nifty 50?</t>
        </is>
      </c>
      <c r="D136" s="52" t="inlineStr">
        <is>
          <t>Livemint</t>
        </is>
      </c>
      <c r="E136" s="82" t="n">
        <v>0.34</v>
      </c>
      <c r="F136" s="52" t="inlineStr">
        <is>
          <t>Positive</t>
        </is>
      </c>
      <c r="G136" s="83" t="inlineStr">
        <is>
          <t>open ↗</t>
        </is>
      </c>
    </row>
    <row r="137">
      <c r="A137" s="52" t="inlineStr">
        <is>
          <t>RRKABEL</t>
        </is>
      </c>
      <c r="B137" s="52" t="inlineStr">
        <is>
          <t>2026-10-13 02:13</t>
        </is>
      </c>
      <c r="C137" s="52" t="inlineStr">
        <is>
          <t>A high-conviction Indian materials pick is up 19.79% since our models flagged it</t>
        </is>
      </c>
      <c r="D137" s="52" t="inlineStr">
        <is>
          <t>Investing.com India</t>
        </is>
      </c>
      <c r="E137" s="82" t="n">
        <v>0</v>
      </c>
      <c r="F137" s="52" t="inlineStr">
        <is>
          <t>Neutral</t>
        </is>
      </c>
      <c r="G137" s="83" t="inlineStr">
        <is>
          <t>open ↗</t>
        </is>
      </c>
    </row>
    <row r="138">
      <c r="A138" s="52" t="inlineStr">
        <is>
          <t>MARKET</t>
        </is>
      </c>
      <c r="B138" s="52" t="inlineStr">
        <is>
          <t>2026-10-13 01:15</t>
        </is>
      </c>
      <c r="C138" s="52" t="inlineStr">
        <is>
          <t>Stock market outlook today, 13 Oct: Sensex, Nifty prediction - DJIA, S&amp;P, NASDAQ, GIFT Nifty, Kospi, Nikkei, Taiwan cues</t>
        </is>
      </c>
      <c r="D138" s="52" t="inlineStr">
        <is>
          <t>Livemint</t>
        </is>
      </c>
      <c r="E138" s="82" t="n">
        <v>0.842</v>
      </c>
      <c r="F138" s="52" t="inlineStr">
        <is>
          <t>Positive</t>
        </is>
      </c>
      <c r="G138" s="83" t="inlineStr">
        <is>
          <t>open ↗</t>
        </is>
      </c>
    </row>
    <row r="139">
      <c r="A139" s="52" t="inlineStr">
        <is>
          <t>LAURUSLABS</t>
        </is>
      </c>
      <c r="B139" s="52" t="inlineStr">
        <is>
          <t>2026-10-12 16:06</t>
        </is>
      </c>
      <c r="C139" s="52" t="inlineStr">
        <is>
          <t>Market Trading Guide: Astra Microwave, Manappuram among 5 stock recommendations for Tuesday</t>
        </is>
      </c>
      <c r="D139" s="52" t="inlineStr">
        <is>
          <t>The Economic Times</t>
        </is>
      </c>
      <c r="E139" s="82" t="n">
        <v>0</v>
      </c>
      <c r="F139" s="52" t="inlineStr">
        <is>
          <t>Neutral</t>
        </is>
      </c>
      <c r="G139" s="83" t="inlineStr">
        <is>
          <t>open ↗</t>
        </is>
      </c>
    </row>
    <row r="140">
      <c r="A140" s="52" t="inlineStr">
        <is>
          <t>DIACABS</t>
        </is>
      </c>
      <c r="B140" s="52" t="inlineStr">
        <is>
          <t>2026-10-12 14:08</t>
        </is>
      </c>
      <c r="C140" s="52" t="inlineStr">
        <is>
          <t>Diamond Power Infrastructure Share Price rises 2.08% today</t>
        </is>
      </c>
      <c r="D140" s="52" t="inlineStr">
        <is>
          <t>Univest</t>
        </is>
      </c>
      <c r="E140" s="82" t="n">
        <v>0.34</v>
      </c>
      <c r="F140" s="52" t="inlineStr">
        <is>
          <t>Positive</t>
        </is>
      </c>
      <c r="G140" s="83" t="inlineStr">
        <is>
          <t>open ↗</t>
        </is>
      </c>
    </row>
    <row r="141">
      <c r="A141" s="52" t="inlineStr">
        <is>
          <t>LAURUSLABS</t>
        </is>
      </c>
      <c r="B141" s="52" t="inlineStr">
        <is>
          <t>2026-10-12 12:52</t>
        </is>
      </c>
      <c r="C141" s="52" t="inlineStr">
        <is>
          <t>Laurus Labs - PVR Inox among 4 stocks hitting 52-week highs; rallied up to 13% in a month</t>
        </is>
      </c>
      <c r="D141" s="52" t="inlineStr">
        <is>
          <t>The Economic Times</t>
        </is>
      </c>
      <c r="E141" s="82" t="n">
        <v>0</v>
      </c>
      <c r="F141" s="52" t="inlineStr">
        <is>
          <t>Neutral</t>
        </is>
      </c>
      <c r="G141" s="83" t="inlineStr">
        <is>
          <t>open ↗</t>
        </is>
      </c>
    </row>
    <row r="142">
      <c r="A142" s="52" t="inlineStr">
        <is>
          <t>THANGAMAYL</t>
        </is>
      </c>
      <c r="B142" s="52" t="inlineStr">
        <is>
          <t>2026-10-12 11:50</t>
        </is>
      </c>
      <c r="C142" s="52" t="inlineStr">
        <is>
          <t>Thangamayil Jewellery vs Nifty 50: 1Y Return +141.84% vs -10.93%</t>
        </is>
      </c>
      <c r="D142" s="52" t="inlineStr">
        <is>
          <t>Univest</t>
        </is>
      </c>
      <c r="E142" s="82" t="n">
        <v>0.402</v>
      </c>
      <c r="F142" s="52" t="inlineStr">
        <is>
          <t>Positive</t>
        </is>
      </c>
      <c r="G142" s="83" t="inlineStr">
        <is>
          <t>open ↗</t>
        </is>
      </c>
    </row>
    <row r="143">
      <c r="A143" s="52" t="inlineStr">
        <is>
          <t>TDPOWERSYS</t>
        </is>
      </c>
      <c r="B143" s="52" t="inlineStr">
        <is>
          <t>2026-10-12 11:48</t>
        </is>
      </c>
      <c r="C143" s="52" t="inlineStr">
        <is>
          <t>TD Power Systems vs Nifty 50: 1Y Return +164.41% vs -10.93%</t>
        </is>
      </c>
      <c r="D143" s="52" t="inlineStr">
        <is>
          <t>Univest</t>
        </is>
      </c>
      <c r="E143" s="82" t="n">
        <v>0.402</v>
      </c>
      <c r="F143" s="52" t="inlineStr">
        <is>
          <t>Positive</t>
        </is>
      </c>
      <c r="G143" s="83" t="inlineStr">
        <is>
          <t>open ↗</t>
        </is>
      </c>
    </row>
    <row r="144">
      <c r="A144" s="52" t="inlineStr">
        <is>
          <t>MARKET</t>
        </is>
      </c>
      <c r="B144" s="52" t="inlineStr">
        <is>
          <t>2026-10-12 11:27</t>
        </is>
      </c>
      <c r="C144" s="52" t="inlineStr">
        <is>
          <t>Stock market prediction for today: Sensex, Nifty outlook for Tuesday | Kospi, Taiwan cues to watch | 13 Oct 2026</t>
        </is>
      </c>
      <c r="D144" s="52" t="inlineStr">
        <is>
          <t>Livemint</t>
        </is>
      </c>
      <c r="E144" s="82" t="n">
        <v>0.402</v>
      </c>
      <c r="F144" s="52" t="inlineStr">
        <is>
          <t>Positive</t>
        </is>
      </c>
      <c r="G144" s="83" t="inlineStr">
        <is>
          <t>open ↗</t>
        </is>
      </c>
    </row>
    <row r="145">
      <c r="A145" s="52" t="inlineStr">
        <is>
          <t>MARKET</t>
        </is>
      </c>
      <c r="B145" s="52" t="inlineStr">
        <is>
          <t>2026-10-12 08:25</t>
        </is>
      </c>
      <c r="C145" s="52" t="inlineStr">
        <is>
          <t>Why is stock market down today? Sensex, Nifty 50 crash - Top 3 factors behind stock market decline explained</t>
        </is>
      </c>
      <c r="D145" s="52" t="inlineStr">
        <is>
          <t>Livemint</t>
        </is>
      </c>
      <c r="E145" s="82" t="n">
        <v>-0.44</v>
      </c>
      <c r="F145" s="52" t="inlineStr">
        <is>
          <t>Negative</t>
        </is>
      </c>
      <c r="G145" s="83" t="inlineStr">
        <is>
          <t>open ↗</t>
        </is>
      </c>
    </row>
    <row r="146">
      <c r="A146" s="52" t="inlineStr">
        <is>
          <t>MARKET</t>
        </is>
      </c>
      <c r="B146" s="52" t="inlineStr">
        <is>
          <t>2026-10-12 08:23</t>
        </is>
      </c>
      <c r="C146" s="52" t="inlineStr">
        <is>
          <t>Three Reasons Why Market Is Falling Today: Sensex Down 1,000 Points From Day's High, Nifty Below 22,400</t>
        </is>
      </c>
      <c r="D146" s="52" t="inlineStr">
        <is>
          <t>NDTV Profit</t>
        </is>
      </c>
      <c r="E146" s="82" t="n">
        <v>0.44</v>
      </c>
      <c r="F146" s="52" t="inlineStr">
        <is>
          <t>Positive</t>
        </is>
      </c>
      <c r="G146" s="83" t="inlineStr">
        <is>
          <t>open ↗</t>
        </is>
      </c>
    </row>
    <row r="147">
      <c r="A147" s="52" t="inlineStr">
        <is>
          <t>TDPOWERSYS</t>
        </is>
      </c>
      <c r="B147" s="52" t="inlineStr">
        <is>
          <t>2026-10-12 08:19</t>
        </is>
      </c>
      <c r="C147" s="52" t="inlineStr">
        <is>
          <t>TD Power Systems Ltd. Share Price Rise Streak and Analysis</t>
        </is>
      </c>
      <c r="D147" s="52" t="inlineStr">
        <is>
          <t>Univest</t>
        </is>
      </c>
      <c r="E147" s="82" t="n">
        <v>0</v>
      </c>
      <c r="F147" s="52" t="inlineStr">
        <is>
          <t>Neutral</t>
        </is>
      </c>
      <c r="G147" s="83" t="inlineStr">
        <is>
          <t>open ↗</t>
        </is>
      </c>
    </row>
    <row r="148">
      <c r="A148" s="52" t="inlineStr">
        <is>
          <t>AEROFLEX</t>
        </is>
      </c>
      <c r="B148" s="52" t="inlineStr">
        <is>
          <t>2026-10-12 07:07</t>
        </is>
      </c>
      <c r="C148" s="52" t="inlineStr">
        <is>
          <t>Ashish Kacholia portfolio stock Aeroflex zooms 15%; hits record high</t>
        </is>
      </c>
      <c r="D148" s="52" t="inlineStr">
        <is>
          <t>Business Standard</t>
        </is>
      </c>
      <c r="E148" s="82" t="n">
        <v>0.402</v>
      </c>
      <c r="F148" s="52" t="inlineStr">
        <is>
          <t>Positive</t>
        </is>
      </c>
      <c r="G148" s="83" t="inlineStr">
        <is>
          <t>open ↗</t>
        </is>
      </c>
    </row>
    <row r="149">
      <c r="A149" s="52" t="inlineStr">
        <is>
          <t>RRKABEL</t>
        </is>
      </c>
      <c r="B149" s="52" t="inlineStr">
        <is>
          <t>2026-10-12 07:00</t>
        </is>
      </c>
      <c r="C149" s="52" t="inlineStr">
        <is>
          <t>R R Kabel (NSEI:RRKABEL) Stock Forecast &amp; Analyst Predictions</t>
        </is>
      </c>
      <c r="D149" s="52" t="inlineStr">
        <is>
          <t>Simply Wall Street</t>
        </is>
      </c>
      <c r="E149" s="82" t="n">
        <v>0</v>
      </c>
      <c r="F149" s="52" t="inlineStr">
        <is>
          <t>Neutral</t>
        </is>
      </c>
      <c r="G149" s="83" t="inlineStr">
        <is>
          <t>open ↗</t>
        </is>
      </c>
    </row>
    <row r="150">
      <c r="A150" s="52" t="inlineStr">
        <is>
          <t>MARKET</t>
        </is>
      </c>
      <c r="B150" s="52" t="inlineStr">
        <is>
          <t>2026-10-12 07:00</t>
        </is>
      </c>
      <c r="C150" s="52" t="inlineStr">
        <is>
          <t>Closing Bell: Sensex sinks 548 pts, Nifty below 22,400; IT, FMCG and financial stocks drag</t>
        </is>
      </c>
      <c r="D150" s="52" t="inlineStr">
        <is>
          <t>IndiaIPO</t>
        </is>
      </c>
      <c r="E150" s="82" t="n">
        <v>-0.296</v>
      </c>
      <c r="F150" s="52" t="inlineStr">
        <is>
          <t>Negative</t>
        </is>
      </c>
      <c r="G150" s="83" t="inlineStr">
        <is>
          <t>open ↗</t>
        </is>
      </c>
    </row>
    <row r="151">
      <c r="A151" s="52" t="inlineStr">
        <is>
          <t>MARKET</t>
        </is>
      </c>
      <c r="B151" s="52" t="inlineStr">
        <is>
          <t>2026-10-12 06:12</t>
        </is>
      </c>
      <c r="C151" s="52" t="inlineStr">
        <is>
          <t>Sensex falls 500 points: 4 reasons why stock market is down today</t>
        </is>
      </c>
      <c r="D151" s="52" t="inlineStr">
        <is>
          <t>India Today</t>
        </is>
      </c>
      <c r="E151" s="82" t="n">
        <v>-0.382</v>
      </c>
      <c r="F151" s="52" t="inlineStr">
        <is>
          <t>Negative</t>
        </is>
      </c>
      <c r="G151" s="83" t="inlineStr">
        <is>
          <t>open ↗</t>
        </is>
      </c>
    </row>
    <row r="152">
      <c r="A152" s="52" t="inlineStr">
        <is>
          <t>MARKET</t>
        </is>
      </c>
      <c r="B152" s="52" t="inlineStr">
        <is>
          <t>2026-10-12 06:00</t>
        </is>
      </c>
      <c r="C152" s="52" t="inlineStr">
        <is>
          <t>Why did market fall today? Sensex ends 548 pts lower, Nifty below 22,400. 5 triggers behind today's sellof</t>
        </is>
      </c>
      <c r="D152" s="52" t="inlineStr">
        <is>
          <t>The Economic Times</t>
        </is>
      </c>
      <c r="E152" s="82" t="n">
        <v>-0.128</v>
      </c>
      <c r="F152" s="52" t="inlineStr">
        <is>
          <t>Neutral</t>
        </is>
      </c>
      <c r="G152" s="83" t="inlineStr">
        <is>
          <t>open ↗</t>
        </is>
      </c>
    </row>
    <row r="153">
      <c r="A153" s="52" t="inlineStr">
        <is>
          <t>ATHERENERG</t>
        </is>
      </c>
      <c r="B153" s="52" t="inlineStr">
        <is>
          <t>2026-10-12 05:16</t>
        </is>
      </c>
      <c r="C153" s="52" t="inlineStr">
        <is>
          <t>Ather Energy Share Price Rise Streak: peer comparison today</t>
        </is>
      </c>
      <c r="D153" s="52" t="inlineStr">
        <is>
          <t>Univest</t>
        </is>
      </c>
      <c r="E153" s="82" t="n">
        <v>0.273</v>
      </c>
      <c r="F153" s="52" t="inlineStr">
        <is>
          <t>Positive</t>
        </is>
      </c>
      <c r="G153" s="83" t="inlineStr">
        <is>
          <t>open ↗</t>
        </is>
      </c>
    </row>
    <row r="154">
      <c r="A154" s="52" t="inlineStr">
        <is>
          <t>MARKET</t>
        </is>
      </c>
      <c r="B154" s="52" t="inlineStr">
        <is>
          <t>2026-10-12 01:37</t>
        </is>
      </c>
      <c r="C154" s="52" t="inlineStr">
        <is>
          <t>Stock Market Today: Gift Nifty, US-Russia Diesel Deal To Oil Prices; Five Key Factors For Sensex, Nifty 50 On Oct 12</t>
        </is>
      </c>
      <c r="D154" s="52" t="inlineStr">
        <is>
          <t>NDTV Profit</t>
        </is>
      </c>
      <c r="E154" s="82" t="n">
        <v>0.8070000000000001</v>
      </c>
      <c r="F154" s="52" t="inlineStr">
        <is>
          <t>Positive</t>
        </is>
      </c>
      <c r="G154" s="83" t="inlineStr">
        <is>
          <t>open ↗</t>
        </is>
      </c>
    </row>
    <row r="155">
      <c r="A155" s="52" t="inlineStr">
        <is>
          <t>MARKET</t>
        </is>
      </c>
      <c r="B155" s="52" t="inlineStr">
        <is>
          <t>2026-10-12 01:27</t>
        </is>
      </c>
      <c r="C155" s="52" t="inlineStr">
        <is>
          <t>Stock market outlook today, 12 Oct: Sensex, Nifty prediction - DJIA, S&amp;P, NASDAQ, GIFT Nifty, Kospi, Taiwan cues</t>
        </is>
      </c>
      <c r="D155" s="52" t="inlineStr">
        <is>
          <t>Livemint</t>
        </is>
      </c>
      <c r="E155" s="82" t="n">
        <v>0.842</v>
      </c>
      <c r="F155" s="52" t="inlineStr">
        <is>
          <t>Positive</t>
        </is>
      </c>
      <c r="G155" s="83" t="inlineStr">
        <is>
          <t>open ↗</t>
        </is>
      </c>
    </row>
    <row r="156">
      <c r="A156" s="52" t="inlineStr">
        <is>
          <t>MARKET</t>
        </is>
      </c>
      <c r="B156" s="52" t="inlineStr">
        <is>
          <t>2026-10-11 11:10</t>
        </is>
      </c>
      <c r="C156" s="52" t="inlineStr">
        <is>
          <t>Market strategy: Where are Nifty 50, Sensex, Bank Nifty headed this week? Top things investors should watch?</t>
        </is>
      </c>
      <c r="D156" s="52" t="inlineStr">
        <is>
          <t>Livemint</t>
        </is>
      </c>
      <c r="E156" s="82" t="n">
        <v>0.762</v>
      </c>
      <c r="F156" s="52" t="inlineStr">
        <is>
          <t>Positive</t>
        </is>
      </c>
      <c r="G156" s="83" t="inlineStr">
        <is>
          <t>open ↗</t>
        </is>
      </c>
    </row>
    <row r="157">
      <c r="A157" s="52" t="inlineStr">
        <is>
          <t>LAURUSLABS</t>
        </is>
      </c>
      <c r="B157" s="52" t="inlineStr">
        <is>
          <t>2026-10-11 08:21</t>
        </is>
      </c>
      <c r="C157" s="52" t="inlineStr">
        <is>
          <t>Cipla (NSEI:CIPLA) - Stock Analysis</t>
        </is>
      </c>
      <c r="D157" s="52" t="inlineStr">
        <is>
          <t>Simply Wall Street</t>
        </is>
      </c>
      <c r="E157" s="82" t="n">
        <v>0</v>
      </c>
      <c r="F157" s="52" t="inlineStr">
        <is>
          <t>Neutral</t>
        </is>
      </c>
      <c r="G157" s="83" t="inlineStr">
        <is>
          <t>open ↗</t>
        </is>
      </c>
    </row>
    <row r="158">
      <c r="A158" s="52" t="inlineStr">
        <is>
          <t>MARKET</t>
        </is>
      </c>
      <c r="B158" s="52" t="inlineStr">
        <is>
          <t>2026-10-10 11:56</t>
        </is>
      </c>
      <c r="C158" s="52" t="inlineStr">
        <is>
          <t>Indian stock markets snap 8-week losing streak - What’s next for Sensex, Nifty? Triggers, strategy ​for investors</t>
        </is>
      </c>
      <c r="D158" s="52" t="inlineStr">
        <is>
          <t>Livemint</t>
        </is>
      </c>
      <c r="E158" s="82" t="n">
        <v>0.026</v>
      </c>
      <c r="F158" s="52" t="inlineStr">
        <is>
          <t>Neutral</t>
        </is>
      </c>
      <c r="G158" s="83" t="inlineStr">
        <is>
          <t>open ↗</t>
        </is>
      </c>
    </row>
    <row r="159">
      <c r="A159" s="52" t="inlineStr">
        <is>
          <t>LAURUSLABS</t>
        </is>
      </c>
      <c r="B159" s="52" t="inlineStr">
        <is>
          <t>2026-10-10 08:23</t>
        </is>
      </c>
      <c r="C159" s="52" t="inlineStr">
        <is>
          <t>Laurus Labs - 8 midcap stocks rally up to 135% in a year; 2 turn multibaggers</t>
        </is>
      </c>
      <c r="D159" s="52" t="inlineStr">
        <is>
          <t>The Economic Times</t>
        </is>
      </c>
      <c r="E159" s="82" t="n">
        <v>0.459</v>
      </c>
      <c r="F159" s="52" t="inlineStr">
        <is>
          <t>Positive</t>
        </is>
      </c>
      <c r="G159" s="83" t="inlineStr">
        <is>
          <t>open ↗</t>
        </is>
      </c>
    </row>
    <row r="160">
      <c r="A160" s="52" t="inlineStr">
        <is>
          <t>E2E</t>
        </is>
      </c>
      <c r="B160" s="52" t="inlineStr">
        <is>
          <t>2026-10-10 07:00</t>
        </is>
      </c>
      <c r="C160" s="52" t="inlineStr">
        <is>
          <t>Indian Listed New-Age Tech Company Tracker: Market Cap, Revenue &amp; More</t>
        </is>
      </c>
      <c r="D160" s="52" t="inlineStr">
        <is>
          <t>Inc42</t>
        </is>
      </c>
      <c r="E160" s="82" t="n">
        <v>0</v>
      </c>
      <c r="F160" s="52" t="inlineStr">
        <is>
          <t>Neutral</t>
        </is>
      </c>
      <c r="G160" s="83" t="inlineStr">
        <is>
          <t>open ↗</t>
        </is>
      </c>
    </row>
    <row r="161">
      <c r="A161" s="52" t="inlineStr">
        <is>
          <t>MARKET</t>
        </is>
      </c>
      <c r="B161" s="52" t="inlineStr">
        <is>
          <t>2026-10-09 19:48</t>
        </is>
      </c>
      <c r="C161" s="52" t="inlineStr">
        <is>
          <t>Indian shares rise, end longest weekly losing streak in 25 years</t>
        </is>
      </c>
      <c r="D161" s="52" t="inlineStr">
        <is>
          <t>Reuters</t>
        </is>
      </c>
      <c r="E161" s="82" t="n">
        <v>-0.382</v>
      </c>
      <c r="F161" s="52" t="inlineStr">
        <is>
          <t>Negative</t>
        </is>
      </c>
      <c r="G161" s="83" t="inlineStr">
        <is>
          <t>open ↗</t>
        </is>
      </c>
    </row>
  </sheetData>
  <mergeCells count="2">
    <mergeCell ref="A2:G2"/>
    <mergeCell ref="A1:G1"/>
  </mergeCells>
  <conditionalFormatting sqref="E5:E161">
    <cfRule type="colorScale" priority="1">
      <colorScale>
        <cfvo type="num" val="-1"/>
        <cfvo type="num" val="0"/>
        <cfvo type="num" val="1"/>
        <color rgb="00F8696B"/>
        <color rgb="00FFFFFF"/>
        <color rgb="0063BE7B"/>
      </colorScale>
    </cfRule>
  </conditionalFormatting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  <hyperlink xmlns:r="http://schemas.openxmlformats.org/officeDocument/2006/relationships" ref="G37" r:id="rId33"/>
    <hyperlink xmlns:r="http://schemas.openxmlformats.org/officeDocument/2006/relationships" ref="G38" r:id="rId34"/>
    <hyperlink xmlns:r="http://schemas.openxmlformats.org/officeDocument/2006/relationships" ref="G39" r:id="rId35"/>
    <hyperlink xmlns:r="http://schemas.openxmlformats.org/officeDocument/2006/relationships" ref="G40" r:id="rId36"/>
    <hyperlink xmlns:r="http://schemas.openxmlformats.org/officeDocument/2006/relationships" ref="G41" r:id="rId37"/>
    <hyperlink xmlns:r="http://schemas.openxmlformats.org/officeDocument/2006/relationships" ref="G42" r:id="rId38"/>
    <hyperlink xmlns:r="http://schemas.openxmlformats.org/officeDocument/2006/relationships" ref="G43" r:id="rId39"/>
    <hyperlink xmlns:r="http://schemas.openxmlformats.org/officeDocument/2006/relationships" ref="G44" r:id="rId40"/>
    <hyperlink xmlns:r="http://schemas.openxmlformats.org/officeDocument/2006/relationships" ref="G45" r:id="rId41"/>
    <hyperlink xmlns:r="http://schemas.openxmlformats.org/officeDocument/2006/relationships" ref="G46" r:id="rId42"/>
    <hyperlink xmlns:r="http://schemas.openxmlformats.org/officeDocument/2006/relationships" ref="G47" r:id="rId43"/>
    <hyperlink xmlns:r="http://schemas.openxmlformats.org/officeDocument/2006/relationships" ref="G48" r:id="rId44"/>
    <hyperlink xmlns:r="http://schemas.openxmlformats.org/officeDocument/2006/relationships" ref="G49" r:id="rId45"/>
    <hyperlink xmlns:r="http://schemas.openxmlformats.org/officeDocument/2006/relationships" ref="G50" r:id="rId46"/>
    <hyperlink xmlns:r="http://schemas.openxmlformats.org/officeDocument/2006/relationships" ref="G51" r:id="rId47"/>
    <hyperlink xmlns:r="http://schemas.openxmlformats.org/officeDocument/2006/relationships" ref="G52" r:id="rId48"/>
    <hyperlink xmlns:r="http://schemas.openxmlformats.org/officeDocument/2006/relationships" ref="G53" r:id="rId49"/>
    <hyperlink xmlns:r="http://schemas.openxmlformats.org/officeDocument/2006/relationships" ref="G54" r:id="rId50"/>
    <hyperlink xmlns:r="http://schemas.openxmlformats.org/officeDocument/2006/relationships" ref="G55" r:id="rId51"/>
    <hyperlink xmlns:r="http://schemas.openxmlformats.org/officeDocument/2006/relationships" ref="G56" r:id="rId52"/>
    <hyperlink xmlns:r="http://schemas.openxmlformats.org/officeDocument/2006/relationships" ref="G57" r:id="rId53"/>
    <hyperlink xmlns:r="http://schemas.openxmlformats.org/officeDocument/2006/relationships" ref="G58" r:id="rId54"/>
    <hyperlink xmlns:r="http://schemas.openxmlformats.org/officeDocument/2006/relationships" ref="G59" r:id="rId55"/>
    <hyperlink xmlns:r="http://schemas.openxmlformats.org/officeDocument/2006/relationships" ref="G60" r:id="rId56"/>
    <hyperlink xmlns:r="http://schemas.openxmlformats.org/officeDocument/2006/relationships" ref="G61" r:id="rId57"/>
    <hyperlink xmlns:r="http://schemas.openxmlformats.org/officeDocument/2006/relationships" ref="G62" r:id="rId58"/>
    <hyperlink xmlns:r="http://schemas.openxmlformats.org/officeDocument/2006/relationships" ref="G63" r:id="rId59"/>
    <hyperlink xmlns:r="http://schemas.openxmlformats.org/officeDocument/2006/relationships" ref="G64" r:id="rId60"/>
    <hyperlink xmlns:r="http://schemas.openxmlformats.org/officeDocument/2006/relationships" ref="G65" r:id="rId61"/>
    <hyperlink xmlns:r="http://schemas.openxmlformats.org/officeDocument/2006/relationships" ref="G66" r:id="rId62"/>
    <hyperlink xmlns:r="http://schemas.openxmlformats.org/officeDocument/2006/relationships" ref="G67" r:id="rId63"/>
    <hyperlink xmlns:r="http://schemas.openxmlformats.org/officeDocument/2006/relationships" ref="G68" r:id="rId64"/>
    <hyperlink xmlns:r="http://schemas.openxmlformats.org/officeDocument/2006/relationships" ref="G69" r:id="rId65"/>
    <hyperlink xmlns:r="http://schemas.openxmlformats.org/officeDocument/2006/relationships" ref="G70" r:id="rId66"/>
    <hyperlink xmlns:r="http://schemas.openxmlformats.org/officeDocument/2006/relationships" ref="G71" r:id="rId67"/>
    <hyperlink xmlns:r="http://schemas.openxmlformats.org/officeDocument/2006/relationships" ref="G72" r:id="rId68"/>
    <hyperlink xmlns:r="http://schemas.openxmlformats.org/officeDocument/2006/relationships" ref="G73" r:id="rId69"/>
    <hyperlink xmlns:r="http://schemas.openxmlformats.org/officeDocument/2006/relationships" ref="G74" r:id="rId70"/>
    <hyperlink xmlns:r="http://schemas.openxmlformats.org/officeDocument/2006/relationships" ref="G75" r:id="rId71"/>
    <hyperlink xmlns:r="http://schemas.openxmlformats.org/officeDocument/2006/relationships" ref="G76" r:id="rId72"/>
    <hyperlink xmlns:r="http://schemas.openxmlformats.org/officeDocument/2006/relationships" ref="G77" r:id="rId73"/>
    <hyperlink xmlns:r="http://schemas.openxmlformats.org/officeDocument/2006/relationships" ref="G78" r:id="rId74"/>
    <hyperlink xmlns:r="http://schemas.openxmlformats.org/officeDocument/2006/relationships" ref="G79" r:id="rId75"/>
    <hyperlink xmlns:r="http://schemas.openxmlformats.org/officeDocument/2006/relationships" ref="G80" r:id="rId76"/>
    <hyperlink xmlns:r="http://schemas.openxmlformats.org/officeDocument/2006/relationships" ref="G81" r:id="rId77"/>
    <hyperlink xmlns:r="http://schemas.openxmlformats.org/officeDocument/2006/relationships" ref="G82" r:id="rId78"/>
    <hyperlink xmlns:r="http://schemas.openxmlformats.org/officeDocument/2006/relationships" ref="G83" r:id="rId79"/>
    <hyperlink xmlns:r="http://schemas.openxmlformats.org/officeDocument/2006/relationships" ref="G84" r:id="rId80"/>
    <hyperlink xmlns:r="http://schemas.openxmlformats.org/officeDocument/2006/relationships" ref="G85" r:id="rId81"/>
    <hyperlink xmlns:r="http://schemas.openxmlformats.org/officeDocument/2006/relationships" ref="G86" r:id="rId82"/>
    <hyperlink xmlns:r="http://schemas.openxmlformats.org/officeDocument/2006/relationships" ref="G87" r:id="rId83"/>
    <hyperlink xmlns:r="http://schemas.openxmlformats.org/officeDocument/2006/relationships" ref="G88" r:id="rId84"/>
    <hyperlink xmlns:r="http://schemas.openxmlformats.org/officeDocument/2006/relationships" ref="G89" r:id="rId85"/>
    <hyperlink xmlns:r="http://schemas.openxmlformats.org/officeDocument/2006/relationships" ref="G90" r:id="rId86"/>
    <hyperlink xmlns:r="http://schemas.openxmlformats.org/officeDocument/2006/relationships" ref="G91" r:id="rId87"/>
    <hyperlink xmlns:r="http://schemas.openxmlformats.org/officeDocument/2006/relationships" ref="G92" r:id="rId88"/>
    <hyperlink xmlns:r="http://schemas.openxmlformats.org/officeDocument/2006/relationships" ref="G93" r:id="rId89"/>
    <hyperlink xmlns:r="http://schemas.openxmlformats.org/officeDocument/2006/relationships" ref="G94" r:id="rId90"/>
    <hyperlink xmlns:r="http://schemas.openxmlformats.org/officeDocument/2006/relationships" ref="G95" r:id="rId91"/>
    <hyperlink xmlns:r="http://schemas.openxmlformats.org/officeDocument/2006/relationships" ref="G96" r:id="rId92"/>
    <hyperlink xmlns:r="http://schemas.openxmlformats.org/officeDocument/2006/relationships" ref="G97" r:id="rId93"/>
    <hyperlink xmlns:r="http://schemas.openxmlformats.org/officeDocument/2006/relationships" ref="G98" r:id="rId94"/>
    <hyperlink xmlns:r="http://schemas.openxmlformats.org/officeDocument/2006/relationships" ref="G99" r:id="rId95"/>
    <hyperlink xmlns:r="http://schemas.openxmlformats.org/officeDocument/2006/relationships" ref="G100" r:id="rId96"/>
    <hyperlink xmlns:r="http://schemas.openxmlformats.org/officeDocument/2006/relationships" ref="G101" r:id="rId97"/>
    <hyperlink xmlns:r="http://schemas.openxmlformats.org/officeDocument/2006/relationships" ref="G102" r:id="rId98"/>
    <hyperlink xmlns:r="http://schemas.openxmlformats.org/officeDocument/2006/relationships" ref="G103" r:id="rId99"/>
    <hyperlink xmlns:r="http://schemas.openxmlformats.org/officeDocument/2006/relationships" ref="G104" r:id="rId100"/>
    <hyperlink xmlns:r="http://schemas.openxmlformats.org/officeDocument/2006/relationships" ref="G105" r:id="rId101"/>
    <hyperlink xmlns:r="http://schemas.openxmlformats.org/officeDocument/2006/relationships" ref="G106" r:id="rId102"/>
    <hyperlink xmlns:r="http://schemas.openxmlformats.org/officeDocument/2006/relationships" ref="G107" r:id="rId103"/>
    <hyperlink xmlns:r="http://schemas.openxmlformats.org/officeDocument/2006/relationships" ref="G108" r:id="rId104"/>
    <hyperlink xmlns:r="http://schemas.openxmlformats.org/officeDocument/2006/relationships" ref="G109" r:id="rId105"/>
    <hyperlink xmlns:r="http://schemas.openxmlformats.org/officeDocument/2006/relationships" ref="G110" r:id="rId106"/>
    <hyperlink xmlns:r="http://schemas.openxmlformats.org/officeDocument/2006/relationships" ref="G111" r:id="rId107"/>
    <hyperlink xmlns:r="http://schemas.openxmlformats.org/officeDocument/2006/relationships" ref="G112" r:id="rId108"/>
    <hyperlink xmlns:r="http://schemas.openxmlformats.org/officeDocument/2006/relationships" ref="G113" r:id="rId109"/>
    <hyperlink xmlns:r="http://schemas.openxmlformats.org/officeDocument/2006/relationships" ref="G114" r:id="rId110"/>
    <hyperlink xmlns:r="http://schemas.openxmlformats.org/officeDocument/2006/relationships" ref="G115" r:id="rId111"/>
    <hyperlink xmlns:r="http://schemas.openxmlformats.org/officeDocument/2006/relationships" ref="G116" r:id="rId112"/>
    <hyperlink xmlns:r="http://schemas.openxmlformats.org/officeDocument/2006/relationships" ref="G117" r:id="rId113"/>
    <hyperlink xmlns:r="http://schemas.openxmlformats.org/officeDocument/2006/relationships" ref="G118" r:id="rId114"/>
    <hyperlink xmlns:r="http://schemas.openxmlformats.org/officeDocument/2006/relationships" ref="G119" r:id="rId115"/>
    <hyperlink xmlns:r="http://schemas.openxmlformats.org/officeDocument/2006/relationships" ref="G120" r:id="rId116"/>
    <hyperlink xmlns:r="http://schemas.openxmlformats.org/officeDocument/2006/relationships" ref="G121" r:id="rId117"/>
    <hyperlink xmlns:r="http://schemas.openxmlformats.org/officeDocument/2006/relationships" ref="G122" r:id="rId118"/>
    <hyperlink xmlns:r="http://schemas.openxmlformats.org/officeDocument/2006/relationships" ref="G123" r:id="rId119"/>
    <hyperlink xmlns:r="http://schemas.openxmlformats.org/officeDocument/2006/relationships" ref="G124" r:id="rId120"/>
    <hyperlink xmlns:r="http://schemas.openxmlformats.org/officeDocument/2006/relationships" ref="G125" r:id="rId121"/>
    <hyperlink xmlns:r="http://schemas.openxmlformats.org/officeDocument/2006/relationships" ref="G126" r:id="rId122"/>
    <hyperlink xmlns:r="http://schemas.openxmlformats.org/officeDocument/2006/relationships" ref="G127" r:id="rId123"/>
    <hyperlink xmlns:r="http://schemas.openxmlformats.org/officeDocument/2006/relationships" ref="G128" r:id="rId124"/>
    <hyperlink xmlns:r="http://schemas.openxmlformats.org/officeDocument/2006/relationships" ref="G129" r:id="rId125"/>
    <hyperlink xmlns:r="http://schemas.openxmlformats.org/officeDocument/2006/relationships" ref="G130" r:id="rId126"/>
    <hyperlink xmlns:r="http://schemas.openxmlformats.org/officeDocument/2006/relationships" ref="G131" r:id="rId127"/>
    <hyperlink xmlns:r="http://schemas.openxmlformats.org/officeDocument/2006/relationships" ref="G132" r:id="rId128"/>
    <hyperlink xmlns:r="http://schemas.openxmlformats.org/officeDocument/2006/relationships" ref="G133" r:id="rId129"/>
    <hyperlink xmlns:r="http://schemas.openxmlformats.org/officeDocument/2006/relationships" ref="G134" r:id="rId130"/>
    <hyperlink xmlns:r="http://schemas.openxmlformats.org/officeDocument/2006/relationships" ref="G135" r:id="rId131"/>
    <hyperlink xmlns:r="http://schemas.openxmlformats.org/officeDocument/2006/relationships" ref="G136" r:id="rId132"/>
    <hyperlink xmlns:r="http://schemas.openxmlformats.org/officeDocument/2006/relationships" ref="G137" r:id="rId133"/>
    <hyperlink xmlns:r="http://schemas.openxmlformats.org/officeDocument/2006/relationships" ref="G138" r:id="rId134"/>
    <hyperlink xmlns:r="http://schemas.openxmlformats.org/officeDocument/2006/relationships" ref="G139" r:id="rId135"/>
    <hyperlink xmlns:r="http://schemas.openxmlformats.org/officeDocument/2006/relationships" ref="G140" r:id="rId136"/>
    <hyperlink xmlns:r="http://schemas.openxmlformats.org/officeDocument/2006/relationships" ref="G141" r:id="rId137"/>
    <hyperlink xmlns:r="http://schemas.openxmlformats.org/officeDocument/2006/relationships" ref="G142" r:id="rId138"/>
    <hyperlink xmlns:r="http://schemas.openxmlformats.org/officeDocument/2006/relationships" ref="G143" r:id="rId139"/>
    <hyperlink xmlns:r="http://schemas.openxmlformats.org/officeDocument/2006/relationships" ref="G144" r:id="rId140"/>
    <hyperlink xmlns:r="http://schemas.openxmlformats.org/officeDocument/2006/relationships" ref="G145" r:id="rId141"/>
    <hyperlink xmlns:r="http://schemas.openxmlformats.org/officeDocument/2006/relationships" ref="G146" r:id="rId142"/>
    <hyperlink xmlns:r="http://schemas.openxmlformats.org/officeDocument/2006/relationships" ref="G147" r:id="rId143"/>
    <hyperlink xmlns:r="http://schemas.openxmlformats.org/officeDocument/2006/relationships" ref="G148" r:id="rId144"/>
    <hyperlink xmlns:r="http://schemas.openxmlformats.org/officeDocument/2006/relationships" ref="G149" r:id="rId145"/>
    <hyperlink xmlns:r="http://schemas.openxmlformats.org/officeDocument/2006/relationships" ref="G150" r:id="rId146"/>
    <hyperlink xmlns:r="http://schemas.openxmlformats.org/officeDocument/2006/relationships" ref="G151" r:id="rId147"/>
    <hyperlink xmlns:r="http://schemas.openxmlformats.org/officeDocument/2006/relationships" ref="G152" r:id="rId148"/>
    <hyperlink xmlns:r="http://schemas.openxmlformats.org/officeDocument/2006/relationships" ref="G153" r:id="rId149"/>
    <hyperlink xmlns:r="http://schemas.openxmlformats.org/officeDocument/2006/relationships" ref="G154" r:id="rId150"/>
    <hyperlink xmlns:r="http://schemas.openxmlformats.org/officeDocument/2006/relationships" ref="G155" r:id="rId151"/>
    <hyperlink xmlns:r="http://schemas.openxmlformats.org/officeDocument/2006/relationships" ref="G156" r:id="rId152"/>
    <hyperlink xmlns:r="http://schemas.openxmlformats.org/officeDocument/2006/relationships" ref="G157" r:id="rId153"/>
    <hyperlink xmlns:r="http://schemas.openxmlformats.org/officeDocument/2006/relationships" ref="G158" r:id="rId154"/>
    <hyperlink xmlns:r="http://schemas.openxmlformats.org/officeDocument/2006/relationships" ref="G159" r:id="rId155"/>
    <hyperlink xmlns:r="http://schemas.openxmlformats.org/officeDocument/2006/relationships" ref="G160" r:id="rId156"/>
    <hyperlink xmlns:r="http://schemas.openxmlformats.org/officeDocument/2006/relationships" ref="G161" r:id="rId157"/>
  </hyperlink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{"batch": {"batch_id": "2026-09-28", "title": "SwingScope batch 2026-09-28", "signal_date": "2026-09-28", "exit_date_est": "2026-10-27", "hold_sessions": 21, "universe": "liquidity top 400 of all NSE stocks", "capital": 139903.0, "est_costs": 859.0, "cost_pct": 0.6, "regime": "Down", "regime_note": "the signal's weakest regime historically", "warnings": "0 of 10", "evidence": ["Backtest, 2017\u20132026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dates", "Live record | No results yet | The first live result arrives when this system finishes its first batch. Live results are kept apart from the backtest and never mixed in."], "stocks": [{"rank": 1, "symbol": "TDPOWERSYS", "isin": "INE419M01035", "qty": 20, "last_close": 722.0, "amount": 14440.0, "spark_12m": "2.0,31.7 2.4,32.0 2.9,31.7 3.3,31.1 3.7,31.1 4.2,31.1 4.6,31.0 5.0,30.6 5.4,30.4 5.9,29.2 6.3,29.3 6.7,29.5 7.2,29.8 7.6,30.1 8.0,30.4 8.5,30.5 8.9,30.3 9.3,29.4 9.7,29.3 10.2,28.8 10.6,29.1 11.0,28.9 11.5,29.1 11.9,29.2 12.3,29.1 12.8,29.0 13.2,28.4 13.6,28.0 14.0,25.5 14.5,24.3 14.9,24.2 15.3,24.8 15.8,25.3 16.2,25.2 16.6,25.4 17.1,24.2 17.5,25.4 17.9,25.2 18.4,25.2 18.8,25.7 19.2,25.8 19.6,25.9 20.1,26.9 20.5,25.8 20.9,25.9 21.4,24.9 21.8,24.9 22.2,25.4 22.7,25.0 23.1,25.0 23.5,25.8 23.9,26.8 24.4,27.7 24.8,28.3 25.2,27.7 25.7,28.1 26.1,28.2 26.5,27.9 27.0,27.6 27.4,27.9 27.8,27.1 28.2,27.6 28.7,27.1 29.1,26.4 29.5,26.7 30.0,27.0 30.4,27.3 30.8,27.7 31.3,27.5 31.7,27.5 32.1,28.3 32.5,28.0 33.0,27.7 33.4,27.9 33.8,27.5 34.3,27.9 34.7,28.3 35.1,28.8 35.6,27.9 36.0,28.2 36.4,28.5 36.9,28.7 37.3,29.2 37.7,29.4 38.1,29.5 38.6,29.7 39.0,29.6 39.4,28.8 39.9,28.2 40.3,26.7 40.7,26.2 41.2,24.3 41.6,24.1 42.0,24.5 42.4,25.2 42.9,24.8 43.3,23.3 43.7,22.8 44.2,23.4 44.6,23.8 45.0,23.1 45.5,22.8 45.9,22.8 46.3,22.4 46.7,22.4 47.2,21.8 47.6,22.3 48.0,22.5 48.5,22.5 48.9,21.8 49.3,22.2 49.8,22.6 50.2,22.4 50.6,22.5 51.1,23.5 51.5,24.3 51.9,24.7 52.3,24.4 52.8,25.3 53.2,24.9 53.6,24.3 54.1,23.7 54.5,23.8 54.9,23.0 55.4,24.2 55.8,23.1 56.2,22.3 56.6,23.4 57.1,23.3 57.5,23.0 57.9,23.0 58.4,22.5 58.8,22.5 59.2,22.4 59.7,22.6 60.1,21.2 60.5,21.5 60.9,20.8 61.4,20.0 61.8,19.2 62.2,18.3 62.7,18.6 63.1,17.4 63.5,17.2 64.0,16.0 64.4,16.6 64.8,15.0 65.3,15.0 65.7,14.8 66.1,14.6 66.5,14.2 67.0,14.5 67.4,12.2 67.8,13.0 68.3,14.1 68.7,14.4 69.1,14.2 69.6,14.0 70.0,10.4 70.4,9.9 70.8,11.9 71.3,12.6 71.7,10.6 72.1,10.8 72.6,10.7 73.0,8.8 73.4,9.8 73.9,10.2 74.3,12.7 74.7,12.5 75.1,11.1 75.6,10.0 76.0,10.3 76.4,12.8 76.9,12.6 77.3,14.8 77.7,15.6 78.2,13.7 78.6,13.6 79.0,14.4 79.5,12.7 79.9,11.6 80.3,11.5 80.7,10.0 81.2,9.2 81.6,11.7 82.0,12.0 82.5,12.6 82.9,12.4 83.3,13.7 83.8,13.8 84.2,16.6 84.6,14.2 85.0,15.7 85.5,16.9 85.9,16.6 86.3,14.9 86.8,14.9 87.2,15.6 87.6,14.2 88.1,15.6 88.5,15.5 88.9,15.2 89.3,15.5 89.8,14.6 90.2,15.2 90.6,15.9 91.1,15.2 91.5,15.9 91.9,18.1 92.4,17.5 92.8,15.5 93.2,16.0 93.6,15.5 94.1,13.5 94.5,12.7 94.9,11.8 95.4,12.5 95.8,11.4 96.2,5.6 96.7,5.6 97.1,5.5 97.5,3.7 98.0,2.7 98.4,3.8 98.8,4.9 99.2,4.1 99.7,3.4 100.1,6.2 100.5,6.3 101.0,5.6 101.4,4.9 101.8,3.6 102.3,4.6 102.7,5.9 103.1,6.6 103.5,5.6 104.0,6.0 104.4,4.0 104.8,4.8 105.3,4.4 105.7,2.0 106.1,6.5 106.6,8.1 107.0,6.7 107.4,4.3 107.8,5.2 108.3,4.7 108.7,4.2 109.1,5.5 109.6,5.0 110.0,6.7", "ret_12_1": 177.0, "ret_6_1": 72.2, "ret_3_1": 19.6, "volatility": 60.1, "traded_daily_cr": 128.0, "watch": "Nothing flagged", "from_12m_high": -10.3, "signal_rank": 6, "data_quality": "Green"}, {"rank": 2, "symbol": "AEROFLEX", "isin": "INE024001021", "qty": 29, "last_close": 513.4, "amount": 14889.0, "spark_12m": "2.0,29.8 2.4,29.6 2.9,29.5 3.3,30.0 3.7,30.1 4.2,30.5 4.6,30.8 5.0,30.9 5.4,30.9 5.9,30.5 6.3,30.7 6.7,30.8 7.2,30.9 7.6,31.0 8.0,31.0 8.5,31.1 8.9,31.2 9.3,31.2 9.7,31.2 10.2,31.2 10.6,31.4 11.0,31.1 11.5,31.0 11.9,31.0 12.3,31.0 12.8,30.1 13.2,30.1 13.6,30.5 14.0,30.0 14.5,29.8 14.9,30.3 15.3,30.5 15.8,30.0 16.2,30.0 16.6,30.2 17.1,30.2 17.5,30.1 17.9,29.9 18.4,30.1 18.8,30.3 19.2,30.2 19.6,30.2 20.1,30.5 20.5,30.9 20.9,30.2 21.4,30.2 21.8,30.4 22.2,30.0 22.7,30.2 23.1,30.3 23.5,30.6 23.9,30.6 24.4,30.7 24.8,31.3 25.2,31.0 25.7,30.7 26.1,30.9 26.5,30.7 27.0,30.3 27.4,30.5 27.8,30.3 28.2,30.7 28.7,29.5 29.1,29.2 29.5,28.8 30.0,28.6 30.4,28.9 30.8,29.1 31.3,29.3 31.7,29.5 32.1,29.6 32.5,29.2 33.0,29.0 33.4,29.3 33.8,29.1 34.3,29.9 34.7,30.2 35.1,30.2 35.6,30.5 36.0,30.7 36.4,30.8 36.9,30.9 37.3,31.3 37.7,31.8 38.1,31.5 38.6,32.0 39.0,31.7 39.4,31.4 39.9,30.4 40.3,30.6 40.7,31.0 41.2,30.1 41.6,29.9 42.0,29.9 42.4,30.1 42.9,29.3 43.3,29.4 43.7,29.6 44.2,29.5 44.6,30.0 45.0,29.6 45.5,28.5 45.9,27.1 46.3,27.0 46.7,27.3 47.2,27.6 47.6,27.7 48.0,27.0 48.5,26.9 48.9,26.5 49.3,27.2 49.8,27.7 50.2,27.3 50.6,27.6 51.1,27.9 51.5,27.5 51.9,26.5 52.3,26.3 52.8,26.5 53.2,25.6 53.6,25.3 54.1,25.6 54.5,26.8 54.9,26.6 55.4,27.3 55.8,25.3 56.2,25.3 56.6,26.1 57.1,26.2 57.5,25.4 57.9,25.2 58.4,25.0 58.8,25.7 59.2,24.6 59.7,23.6 60.1,22.6 60.5,22.6 60.9,22.3 61.4,22.1 61.8,21.0 62.2,21.7 62.7,22.6 63.1,21.5 63.5,22.1 64.0,23.4 64.4,22.2 64.8,22.3 65.3,21.4 65.7,21.4 66.1,21.6 66.5,20.5 67.0,18.6 67.4,13.6 67.8,11.7 68.3,14.7 68.7,17.1 69.1,17.1 69.6,17.4 70.0,16.7 70.4,16.8 70.8,15.9 71.3,15.2 71.7,16.0 72.1,14.3 72.6,13.5 73.0,14.3 73.4,14.0 73.9,14.4 74.3,15.4 74.7,13.1 75.1,12.1 75.6,11.7 76.0,13.1 76.4,14.6 76.9,12.7 77.3,13.5 77.7,13.9 78.2,11.1 78.6,8.9 79.0,9.4 79.5,6.5 79.9,8.1 80.3,6.8 80.7,6.6 81.2,7.1 81.6,8.8 82.0,9.7 82.5,9.6 82.9,9.4 83.3,8.1 83.8,8.9 84.2,10.5 84.6,10.3 85.0,13.6 85.5,14.5 85.9,14.2 86.3,13.6 86.8,13.0 87.2,13.8 87.6,13.0 88.1,13.8 88.5,13.8 88.9,14.1 89.3,13.6 89.8,14.0 90.2,13.1 90.6,13.0 91.1,13.2 91.5,11.2 91.9,10.9 92.4,12.6 92.8,12.0 93.2,12.3 93.6,9.9 94.1,10.5 94.5,11.8 94.9,12.7 95.4,13.1 95.8,12.9 96.2,11.2 96.7,11.1 97.1,10.2 97.5,10.5 98.0,8.3 98.4,9.2 98.8,9.1 99.2,7.1 99.7,7.0 100.1,7.6 100.5,4.7 101.0,5.7 101.4,4.3 101.8,5.5 102.3,3.6 102.7,4.4 103.1,4.3 103.5,4.6 104.0,3.1 104.4,2.0 104.8,2.9 105.3,2.7 105.7,2.7 106.1,6.8 106.6,8.7 107.0,7.5 107.4,6.5 107.8,6.2 108.3,6.1 108.7,5.8 109.1,5.3 109.6,5.5 110.0,6.3", "ret_12_1": 175.0, "ret_6_1": 107.0, "ret_3_1": 10.7, "volatility": 67.3, "traded_daily_cr": 53.0, "watch": "Nothing flagged", "from_12m_high": -10.5, "signal_rank": 7, "data_quality": "Green"}, {"rank": 3, "symbol": "ATHERENERG", "isin": "INE0LEZ01016", "qty": 10, "last_close": 1454.9, "amount": 14549.0, "spark_12m": "2.0,30.9 2.4,30.7 2.9,31.2 3.3,30.9 3.7,31.6 4.2,32.0 4.6,31.0 5.0,31.4 5.4,30.8 5.9,30.7 6.3,30.0 6.7,29.7 7.2,29.5 7.6,29.9 8.0,30.6 8.5,30.2 8.9,30.1 9.3,29.6 9.7,28.2 10.2,28.1 10.6,27.4 11.0,26.3 11.5,27.1 11.9,27.8 12.3,27.1 12.8,27.0 13.2,27.8 13.6,27.8 14.0,28.2 14.5,28.2 14.9,28.8 15.3,29.6 15.8,29.1 16.2,29.8 16.6,29.0 17.1,29.8 17.5,29.5 17.9,29.2 18.4,29.3 18.8,28.7 19.2,28.3 19.6,28.0 20.1,28.1 20.5,28.6 20.9,28.3 21.4,28.1 21.8,27.7 22.2,27.5 22.7,27.7 23.1,28.3 23.5,28.4 23.9,28.7 24.4,28.6 24.8,28.5 25.2,29.2 25.7,29.3 26.1,29.3 26.5,29.3 27.0,28.3 27.4,28.6 27.8,28.9 28.2,28.9 28.7,27.9 29.1,28.0 29.5,27.8 30.0,27.4 30.4,27.7 30.8,27.5 31.3,27.1 31.7,26.6 32.1,27.0 32.5,26.9 33.0,28.3 33.4,28.1 33.8,28.1 34.3,28.6 34.7,29.6 35.1,29.5 35.6,29.1 36.0,29.3 36.4,30.0 36.9,29.8 37.3,30.3 37.7,30.1 38.1,29.7 38.6,29.9 39.0,30.0 39.4,30.3 39.9,30.4 40.3,29.9 40.7,30.3 41.2,28.6 41.6,28.0 42.0,27.6 42.4,27.8 42.9,27.3 43.3,27.3 43.7,27.5 44.2,27.3 44.6,27.7 45.0,27.7 45.5,27.3 45.9,27.2 46.3,27.1 46.7,27.7 47.2,27.5 47.6,28.0 48.0,27.8 48.5,27.9 48.9,27.7 49.3,27.8 49.8,27.9 50.2,28.3 50.6,28.6 51.1,28.4 51.5,28.1 51.9,27.9 52.3,27.7 52.8,27.8 53.2,27.6 53.6,27.3 54.1,26.7 54.5,26.6 54.9,25.9 55.4,26.7 55.8,26.5 56.2,26.0 56.6,25.5 57.1,26.6 57.5,26.2 57.9,26.4 58.4,25.8 58.8,26.4 59.2,26.2 59.7,24.9 60.1,23.8 60.5,22.7 60.9,23.6 61.4,23.7 61.8,24.1 62.2,23.2 62.7,23.0 63.1,22.7 63.5,22.9 64.0,23.3 64.4,21.8 64.8,22.1 65.3,21.9 65.7,22.0 66.1,22.0 66.5,21.9 67.0,23.0 67.4,22.7 67.8,22.5 68.3,21.1 68.7,22.3 69.1,21.6 69.6,21.9 70.0,21.9 70.4,22.6 70.8,22.6 71.3,22.7 71.7,23.2 72.1,23.3 72.6,22.3 73.0,21.6 73.4,21.5 73.9,21.3 74.3,21.9 74.7,21.4 75.1,19.8 75.6,20.7 76.0,19.5 76.4,20.3 76.9,19.5 77.3,19.3 77.7,19.7 78.2,19.6 78.6,19.7 79.0,20.4 79.5,20.6 79.9,21.1 80.3,21.1 80.7,21.4 81.2,20.2 81.6,20.6 82.0,20.4 82.5,18.2 82.9,16.8 83.3,17.1 83.8,16.7 84.2,17.1 84.6,17.2 85.0,16.8 85.5,15.3 85.9,14.8 86.3,14.6 86.8,15.7 87.2,15.3 87.6,12.9 88.1,13.6 88.5,13.2 88.9,12.9 89.3,13.1 89.8,13.6 90.2,14.5 90.6,15.1 91.1,14.9 91.5,15.2 91.9,14.1 92.4,14.3 92.8,13.8 93.2,13.5 93.6,9.0 94.1,8.4 94.5,8.9 94.9,8.2 95.4,8.6 95.8,7.1 96.2,6.0 96.7,7.0 97.1,7.4 97.5,8.1 98.0,8.6 98.4,9.3 98.8,9.0 99.2,8.7 99.7,8.9 100.1,9.2 100.5,7.8 101.0,7.8 101.4,4.8 101.8,2.2 102.3,2.0 102.7,3.0 103.1,4.2 103.5,5.6 104.0,5.2 104.4,5.7 104.8,5.7 105.3,3.7 105.7,3.8 106.1,6.0 106.6,6.0 107.0,6.4 107.4,4.2 107.8,5.4 108.3,6.6 108.7,7.7 109.1,7.7 109.6,7.8 110.0,8.8", "ret_12_1": 166.0, "ret_6_1": 97.5, "ret_3_1": 31.1, "volatility": 49.4, "traded_daily_cr": 493.0, "watch": "Nothing flagged", "from_12m_high": -15.7, "signal_rank": 9, "data_quality": "Green"}, {"rank": 4, "symbol": "THANGAMAYL", "isin": "INE085J01014", "qty": 2, "last_close": 5011.5, "amount": 10023.0, "spark_12m": "2.0,30.9 2.4,31.1 2.9,31.4 3.3,31.4 3.7,31.4 4.2,31.6 4.6,31.7 5.0,31.6 5.4,31.6 5.9,31.2 6.3,31.3 6.7,31.6 7.2,31.2 7.6,31.5 8.0,31.6 8.5,31.5 8.9,31.8 9.3,31.9 9.7,31.9 10.2,31.9 10.6,31.9 11.0,31.9 11.5,32.0 11.9,31.5 12.3,31.6 12.8,31.3 13.2,31.4 13.6,31.3 14.0,30.8 14.5,28.3 14.9,25.9 15.3,25.7 15.8,23.9 16.2,25.3 16.6,24.8 17.1,24.1 17.5,24.4 17.9,24.5 18.4,24.7 18.8,24.9 19.2,25.1 19.6,25.2 20.1,26.0 20.5,24.8 20.9,24.8 21.4,24.7 21.8,24.8 22.2,24.7 22.7,24.1 23.1,25.2 23.5,24.6 23.9,24.8 24.4,24.9 24.8,25.2 25.2,24.7 25.7,24.9 26.1,24.9 26.5,25.0 27.0,25.0 27.4,24.9 27.8,24.4 28.2,24.6 28.7,24.2 29.1,23.8 29.5,23.7 30.0,24.5 30.4,25.0 30.8,25.0 31.3,25.0 31.7,24.9 32.1,24.7 32.5,24.8 33.0,24.2 33.4,23.4 33.8,21.4 34.3,21.2 34.7,22.7 35.1,22.3 35.6,21.9 36.0,21.5 36.4,21.8 36.9,22.1 37.3,22.1 37.7,21.2 38.1,22.6 38.6,22.9 39.0,23.8 39.4,22.8 39.9,23.4 40.3,24.3 40.7,24.9 41.2,25.1 41.6,24.5 42.0,25.1 42.4,23.9 42.9,22.1 43.3,22.2 43.7,22.3 44.2,22.5 44.6,22.9 45.0,22.1 45.5,22.3 45.9,22.6 46.3,23.4 46.7,23.0 47.2,22.8 47.6,22.0 48.0,21.5 48.5,21.0 48.9,20.8 49.3,21.4 49.8,22.7 50.2,22.6 50.6,22.2 51.1,22.9 51.5,22.1 51.9,23.1 52.3,23.0 52.8,23.3 53.2,23.6 53.6,23.4 54.1,23.3 54.5,24.1 54.9,24.3 55.4,25.2 55.8,24.4 56.2,22.8 56.6,23.7 57.1,23.7 57.5,23.0 57.9,23.1 58.4,21.9 58.8,21.3 59.2,20.3 59.7,20.0 60.1,19.8 60.5,19.5 60.9,19.1 61.4,19.0 61.8,19.3 62.2,19.8 62.7,19.8 63.1,20.4 63.5,21.7 64.0,21.7 64.4,20.8 64.8,20.7 65.3,20.6 65.7,20.8 66.1,20.6 66.5,20.7 67.0,20.1 67.4,19.9 67.8,19.1 68.3,20.5 68.7,22.4 69.1,22.5 69.6,22.7 70.0,22.8 70.4,23.1 70.8,22.5 71.3,21.8 71.7,21.3 72.1,21.6 72.6,21.5 73.0,21.6 73.4,21.0 73.9,19.4 74.3,18.9 74.7,17.2 75.1,16.1 75.6,12.0 76.0,13.0 76.4,12.2 76.9,12.3 77.3,12.4 77.7,12.6 78.2,12.2 78.6,12.1 79.0,12.4 79.5,11.4 79.9,12.5 80.3,12.4 80.7,11.8 81.2,12.8 81.6,12.4 82.0,11.6 82.5,10.0 82.9,7.1 83.3,9.6 83.8,7.6 84.2,8.4 84.6,7.7 85.0,7.2 85.5,4.8 85.9,6.0 86.3,6.3 86.8,8.0 87.2,6.8 87.6,5.9 88.1,7.2 88.5,6.9 88.9,7.2 89.3,6.8 89.8,6.7 90.2,4.5 90.6,4.3 91.1,2.0 91.5,2.8 91.9,6.8 92.4,10.4 92.8,13.7 93.2,15.1 93.6,16.5 94.1,15.2 94.5,14.1 94.9,13.4 95.4,13.0 95.8,13.7 96.2,13.1 96.7,13.4 97.1,12.5 97.5,13.0 98.0,12.2 98.4,12.0 98.8,12.4 99.2,12.2 99.7,12.2 100.1,12.7 100.5,12.2 101.0,12.1 101.4,12.5 101.8,12.6 102.3,13.2 102.7,13.6 103.1,13.3 103.5,13.1 104.0,12.3 104.4,12.9 104.8,14.3 105.3,14.5 105.7,14.2 106.1,15.4 106.6,15.3 107.0,16.0 107.4,14.7 107.8,15.3 108.3,14.3 108.7,13.2 109.1,14.4 109.6,14.2 110.0,14.9", "ret_12_1": 154.0, "ret_6_1": 66.3, "ret_3_1": -14.0, "volatility": 59.8, "traded_daily_cr": 71.0, "watch": "Nothing flagged", "from_12m_high": -31.4, "signal_rank": 11, "data_quality": "Green"}, {"rank": 5, "symbol": "RRKABEL", "isin": "INE777K01022", "qty": 6, "last_close": 2459.8, "amount": 14759.0, "spark_12m": "2.0,31.3 2.4,31.1 2.9,30.7 3.3,31.2 3.7,31.2 4.2,32.0 4.6,31.8 5.0,31.2 5.4,31.1 5.9,31.4 6.3,31.1 6.7,31.1 7.2,31.3 7.6,31.4 8.0,31.0 8.5,31.2 8.9,31.3 9.3,31.3 9.7,31.0 10.2,31.2 10.6,31.4 11.0,31.2 11.5,31.4 11.9,31.5 12.3,30.1 12.8,28.7 13.2,28.4 13.6,28.6 14.0,28.6 14.5,29.0 14.9,28.4 15.3,28.8 15.8,29.2 16.2,29.8 16.6,29.6 17.1,28.8 17.5,29.3 17.9,29.3 18.4,29.1 18.8,29.7 19.2,29.5 19.6,29.4 20.1,29.7 20.5,29.7 20.9,29.5 21.4,29.0 21.8,29.1 22.2,28.8 22.7,28.8 23.1,28.8 23.5,29.0 23.9,28.9 24.4,29.4 24.8,29.5 25.2,29.1 25.7,28.6 26.1,28.7 26.5,28.4 27.0,27.8 27.4,28.1 27.8,28.3 28.2,28.3 28.7,27.3 29.1,26.5 29.5,26.6 30.0,27.1 30.4,27.5 30.8,28.1 31.3,28.2 31.7,27.9 32.1,27.6 32.5,26.9 33.0,26.4 33.4,26.3 33.8,26.4 34.3,26.7 34.7,26.9 35.1,27.3 35.6,27.0 36.0,27.1 36.4,27.5 36.9,28.0 37.3,28.6 37.7,28.6 38.1,28.4 38.6,29.7 39.0,30.0 39.4,29.7 39.9,30.3 40.3,29.3 40.7,29.6 41.2,28.4 41.6,27.8 42.0,27.5 42.4,27.7 42.9,27.6 43.3,28.5 43.7,28.2 44.2,28.3 44.6,28.7 45.0,28.7 45.5,28.4 45.9,28.5 46.3,28.4 46.7,28.1 47.2,27.9 47.6,27.0 48.0,26.9 48.5,26.7 48.9,26.0 49.3,26.5 49.8,27.3 50.2,27.1 50.6,26.6 51.1,27.2 51.5,27.8 51.9,28.4 52.3,28.2 52.8,29.8 53.2,29.3 53.6,28.9 54.1,28.1 54.5,28.9 54.9,29.0 55.4,30.3 55.8,29.7 56.2,29.7 56.6,30.3 57.1,30.7 57.5,30.0 57.9,30.0 58.4,30.0 58.8,30.2 59.2,28.8 59.7,29.1 60.1,28.9 60.5,29.3 60.9,29.0 61.4,27.8 61.8,27.5 62.2,27.6 62.7,27.8 63.1,27.7 63.5,28.3 64.0,28.1 64.4,26.9 64.8,25.1 65.3,24.8 65.7,25.8 66.1,22.2 66.5,22.1 67.0,21.8 67.4,19.6 67.8,19.3 68.3,19.7 68.7,19.4 69.1,19.0 69.6,17.6 70.0,19.1 70.4,19.2 70.8,19.7 71.3,18.9 71.7,19.2 72.1,19.2 72.6,18.5 73.0,18.7 73.4,19.1 73.9,17.3 74.3,17.8 74.7,17.9 75.1,15.6 75.6,14.4 76.0,14.4 76.4,15.6 76.9,15.2 77.3,15.3 77.7,16.0 78.2,15.3 78.6,15.0 79.0,14.8 79.5,14.6 79.9,13.1 80.3,12.7 80.7,12.1 81.2,11.8 81.6,10.6 82.0,9.7 82.5,9.5 82.9,11.4 83.3,11.6 83.8,11.4 84.2,12.3 84.6,13.1 85.0,14.9 85.5,15.0 85.9,14.7 86.3,14.3 86.8,11.7 87.2,12.2 87.6,13.2 88.1,11.2 88.5,13.1 88.9,12.4 89.3,12.2 89.8,10.7 90.2,11.7 90.6,9.6 91.1,9.1 91.5,8.2 91.9,8.5 92.4,8.4 92.8,7.7 93.2,7.2 93.6,7.0 94.1,4.4 94.5,4.9 94.9,5.0 95.4,5.0 95.8,4.0 96.2,4.4 96.7,3.7 97.1,4.5 97.5,5.2 98.0,4.5 98.4,2.5 98.8,2.6 99.2,2.2 99.7,3.0 100.1,4.2 100.5,4.1 101.0,3.7 101.4,2.4 101.8,2.0 102.3,3.0 102.7,7.2 103.1,7.5 103.5,10.3 104.0,11.5 104.4,10.4 104.8,10.9 105.3,10.6 105.7,10.8 106.1,11.6 106.6,11.3 107.0,11.4 107.4,10.4 107.8,11.1 108.3,10.0 108.7,9.9 109.1,9.0 109.6,9.0 110.0,10.2", "ret_12_1": 126.0, "ret_6_1": 110.0, "ret_3_1": 18.2, "volatility": 44.0, "traded_daily_cr": 93.0, "watch": "Nothing flagged", "from_12m_high": -16.0, "signal_rank": 15, "data_quality": "Green"}, {"rank": 6, "symbol": "ACUTAAS", "isin": "INE00FF01025", "qty": 4, "last_close": 3214.4, "amount": 12858.0, "spark_12m": "2.0,30.2 2.4,30.2 2.9,30.3 3.3,30.3 3.7,30.8 4.2,31.5 4.6,31.6 5.0,32.0 5.4,31.2 5.9,31.1 6.3,30.9 6.7,30.9 7.2,30.9 7.6,30.7 8.0,30.1 8.5,29.7 8.9,29.7 9.3,29.1 9.7,29.0 10.2,27.8 10.6,26.4 11.0,26.1 11.5,26.7 11.9,27.4 12.3,26.8 12.8,27.0 13.2,27.3 13.6,27.1 14.0,26.8 14.5,25.8 14.9,25.5 15.3,26.3 15.8,26.4 16.2,26.4 16.6,26.5 17.1,27.1 17.5,27.4 17.9,27.0 18.4,27.1 18.8,27.0 19.2,26.9 19.6,26.8 20.1,27.2 20.5,25.0 20.9,26.1 21.4,26.0 21.8,26.1 22.2,25.4 22.7,26.2 23.1,26.6 23.5,26.7 23.9,27.1 24.4,27.1 24.8,27.8 25.2,27.6 25.7,27.4 26.1,27.7 26.5,27.6 27.0,28.1 27.4,27.2 27.8,27.7 28.2,28.0 28.7,27.8 29.1,27.4 29.5,27.2 30.0,27.8 30.4,27.8 30.8,27.8 31.3,27.7 31.7,27.1 32.1,26.5 32.5,26.6 33.0,26.3 33.4,26.4 33.8,26.4 34.3,26.7 34.7,27.4 35.1,27.5 35.6,27.4 36.0,27.1 36.4,27.2 36.9,27.4 37.3,28.1 37.7,28.4 38.1,27.9 38.6,27.8 39.0,26.8 39.4,25.1 39.9,24.2 40.3,24.5 40.7,24.2 41.2,23.8 41.6,23.5 42.0,23.6 42.4,23.6 42.9,23.4 43.3,22.8 43.7,23.0 44.2,22.2 44.6,23.2 45.0,22.9 45.5,22.4 45.9,21.6 46.3,22.1 46.7,22.0 47.2,21.5 47.6,21.5 48.0,21.3 48.5,21.1 48.9,21.4 49.3,21.0 49.8,22.1 50.2,20.4 50.6,20.2 51.1,21.4 51.5,20.5 51.9,21.0 52.3,21.0 52.8,22.3 53.2,21.3 53.6,19.6 54.1,20.1 54.5,20.3 54.9,18.3 55.4,20.0 55.8,17.9 56.2,16.7 56.6,16.5 57.1,16.3 57.5,19.2 57.9,22.0 58.4,20.7 58.8,20.7 59.2,19.2 59.7,19.3 60.1,18.8 60.5,18.4 60.9,19.7 61.4,19.1 61.8,18.8 62.2,18.2 62.7,18.7 63.1,18.0 63.5,18.5 64.0,18.4 64.4,17.1 64.8,17.5 65.3,17.0 65.7,15.9 66.1,14.9 66.5,15.1 67.0,14.7 67.4,14.2 67.8,14.1 68.3,13.2 68.7,14.0 69.1,12.9 69.6,14.2 70.0,14.2 70.4,13.3 70.8,12.2 71.3,12.3 71.7,10.8 72.1,11.4 72.6,11.7 73.0,10.3 73.4,10.8 73.9,9.1 74.3,10.5 74.7,10.3 75.1,9.1 75.6,8.7 76.0,6.6 76.4,6.8 76.9,8.3 77.3,8.2 77.7,9.2 78.2,8.9 78.6,9.5 79.0,10.8 79.5,10.8 79.9,9.0 80.3,7.7 80.7,7.6 81.2,7.3 81.6,7.4 82.0,7.0 82.5,3.6 82.9,4.1 83.3,3.6 83.8,2.0 84.2,2.0 84.6,4.3 85.0,5.8 85.5,5.0 85.9,5.0 86.3,5.7 86.8,4.5 87.2,5.0 87.6,3.9 88.1,3.4 88.5,3.0 88.9,2.5 89.3,2.2 89.8,2.4 90.2,5.0 90.6,7.5 91.1,6.1 91.5,7.0 91.9,6.9 92.4,7.8 92.8,9.4 93.2,9.3 93.6,7.9 94.1,7.2 94.5,7.5 94.9,7.0 95.4,7.2 95.8,7.7 96.2,8.8 96.7,9.4 97.1,7.8 97.5,8.3 98.0,5.8 98.4,7.9 98.8,8.1 99.2,8.6 99.7,8.6 100.1,6.8 100.5,7.5 101.0,6.6 101.4,7.2 101.8,8.7 102.3,8.6 102.7,9.1 103.1,8.2 103.5,8.6 104.0,8.5 104.4,8.5 104.8,7.7 105.3,5.1 105.7,5.9 106.1,7.4 106.6,6.4 107.0,6.8 107.4,5.2 107.8,5.4 108.3,8.1 108.7,7.4 109.1,7.2 109.6,7.3 110.0,8.1", "ret_12_1": 126.0, "ret_6_1": 36.7, "ret_3_1": -5.6, "volatility": 46.7, "traded_daily_cr": 101.0, "watch": "Nothing flagged", "from_12m_high": -13.0, "signal_rank": 16, "data_quality": "Green"}, {"rank": 7, "symbol": "DIACABS", "isin": "INE989C01038", "qty": 44, "last_close": 339.25, "amount": 14927.0, "spark_12m": "2.0,27.2 2.4,27.3 2.9,27.2 3.3,27.4 3.7,28.0 4.2,28.4 4.6,28.2 5.0,28.6 5.4,28.5 5.9,28.3 6.3,28.7 6.7,29.2 7.2,29.3 7.6,29.4 8.0,29.4 8.5,29.6 8.9,29.5 9.3,29.2 9.7,29.3 10.2,29.4 10.6,29.2 11.0,29.1 11.5,29.1 11.9,29.3 12.3,28.1 12.8,28.5 13.2,28.1 13.6,28.2 14.0,28.2 14.5,28.1 14.9,27.9 15.3,28.6 15.8,28.3 16.2,28.8 16.6,28.9 17.1,28.8 17.5,28.4 17.9,28.4 18.4,28.4 18.8,28.7 19.2,28.3 19.6,28.7 20.1,29.1 20.5,29.5 20.9,29.6 21.4,29.4 21.8,29.4 22.2,28.5 22.7,28.6 23.1,28.9 23.5,29.2 23.9,29.3 24.4,29.1 24.8,29.4 25.2,29.4 25.7,29.7 26.1,29.7 26.5,29.5 27.0,29.4 27.4,29.6 27.8,29.6 28.2,29.5 28.7,29.5 29.1,29.2 29.5,29.3 30.0,29.5 30.4,29.6 30.8,29.8 31.3,29.8 31.7,29.8 32.1,29.8 32.5,29.9 33.0,29.3 33.4,29.3 33.8,29.1 34.3,29.7 34.7,30.2 35.1,30.1 35.6,30.5 36.0,30.7 36.4,30.6 36.9,30.4 37.3,31.0 37.7,30.9 38.1,30.8 38.6,31.4 39.0,31.4 39.4,31.1 39.9,31.4 40.3,31.5 40.7,31.7 41.2,31.2 41.6,30.8 42.0,31.3 42.4,31.3 42.9,30.9 43.3,30.4 43.7,30.2 44.2,30.3 44.6,30.5 45.0,29.5 45.5,29.8 45.9,29.8 46.3,30.2 46.7,30.1 47.2,30.2 47.6,30.4 48.0,30.0 48.5,29.6 48.9,29.9 49.3,29.9 49.8,30.4 50.2,29.9 50.6,30.1 51.1,30.2 51.5,29.7 51.9,29.9 52.3,30.0 52.8,30.8 53.2,31.0 53.6,31.2 54.1,30.7 54.5,31.4 54.9,31.0 55.4,32.0 55.8,31.7 56.2,30.9 56.6,31.5 57.1,31.9 57.5,31.2 57.9,31.2 58.4,30.8 58.8,30.9 59.2,30.3 59.7,30.4 60.1,29.9 60.5,29.8 60.9,29.5 61.4,28.7 61.8,28.6 62.2,27.4 62.7,27.2 63.1,27.5 63.5,27.5 64.0,27.3 64.4,26.8 64.8,27.1 65.3,27.3 65.7,27.7 66.1,26.8 66.5,26.6 67.0,25.6 67.4,26.4 67.8,26.0 68.3,25.8 68.7,26.4 69.1,25.9 69.6,24.0 70.0,23.5 70.4,24.0 70.8,24.2 71.3,23.6 71.7,23.8 72.1,23.8 72.6,23.5 73.0,22.4 73.4,23.3 73.9,23.7 74.3,25.0 74.7,23.7 75.1,24.3 75.6,23.9 76.0,22.7 76.4,23.3 76.9,22.8 77.3,23.4 77.7,23.8 78.2,22.9 78.6,21.4 79.0,22.4 79.5,22.6 79.9,22.9 80.3,22.1 80.7,22.3 81.2,22.9 81.6,22.6 82.0,22.4 82.5,22.2 82.9,22.1 83.3,22.2 83.8,22.0 84.2,23.2 84.6,21.1 85.0,20.4 85.5,19.7 85.9,18.9 86.3,20.0 86.8,20.1 87.2,20.4 87.6,20.2 88.1,20.4 88.5,20.7 88.9,18.3 89.3,15.6 89.8,15.6 90.2,15.1 90.6,12.8 91.1,11.5 91.5,10.0 91.9,8.2 92.4,9.2 92.8,9.7 93.2,9.8 93.6,10.5 94.1,8.8 94.5,7.0 94.9,5.3 95.4,5.7 95.8,5.5 96.2,4.9 96.7,5.0 97.1,4.8 97.5,5.8 98.0,4.9 98.4,5.8 98.8,6.4 99.2,6.2 99.7,6.5 100.1,8.0 100.5,8.1 101.0,8.1 101.4,6.9 101.8,7.1 102.3,7.9 102.7,8.9 103.1,9.8 103.5,8.8 104.0,8.7 104.4,8.3 104.8,8.5 105.3,6.7 105.7,4.8 106.1,2.8 106.6,2.0 107.0,4.0 107.4,5.0 107.8,4.0 108.3,4.6 108.7,3.8 109.1,5.7 109.6,6.4 110.0,8.0", "ret_12_1": 124.0, "ret_6_1": 180.0, "ret_3_1": 61.7, "volatility": 53.6, "traded_daily_cr": 51.0, "watch": "Nothing flagged", "from_12m_high": -14.1, "signal_rank": 17, "data_quality": "Green"}, {"rank": 8, "symbol": "KIRLOSENG", "isin": "INE146L01010", "qty": 7, "last_close": 2141.2, "amount": 14988.0, "spark_12m": "2.0,30.3 2.4,30.3 2.9,30.5 3.3,30.2 3.7,30.7 4.2,31.2 4.6,31.1 5.0,31.1 5.4,31.0 5.9,31.4 6.3,31.6 6.7,31.8 7.2,31.8 7.6,31.8 8.0,31.6 8.5,31.7 8.9,32.0 9.3,31.9 9.7,31.8 10.2,31.6 10.6,31.8 11.0,31.6 11.5,31.5 11.9,31.5 12.3,30.7 12.8,29.6 13.2,29.4 13.6,29.4 14.0,29.7 14.5,29.4 14.9,29.4 15.3,29.9 15.8,30.3 16.2,30.5 16.6,30.7 17.1,28.7 17.5,28.2 17.9,28.1 18.4,27.7 18.8,27.2 19.2,26.6 19.6,26.5 20.1,26.8 20.5,27.4 20.9,26.9 21.4,27.1 21.8,27.2 22.2,27.5 22.7,27.6 23.1,27.7 23.5,28.2 23.9,26.8 24.4,27.4 24.8,28.0 25.2,27.5 25.7,27.7 26.1,27.6 26.5,27.1 27.0,27.3 27.4,25.7 27.8,24.7 28.2,24.6 28.7,25.4 29.1,24.2 29.5,24.4 30.0,25.0 30.4,24.9 30.8,25.8 31.3,25.7 31.7,25.8 32.1,25.6 32.5,25.1 33.0,25.2 33.4,25.3 33.8,25.8 34.3,26.5 34.7,26.9 35.1,27.5 35.6,27.0 36.0,26.7 36.4,26.7 36.9,27.4 37.3,27.9 37.7,27.9 38.1,27.7 38.6,28.0 39.0,28.0 39.4,27.7 39.9,27.6 40.3,26.6 40.7,27.0 41.2,26.5 41.6,25.6 42.0,26.2 42.4,26.7 42.9,25.8 43.3,25.0 43.7,23.9 44.2,23.7 44.6,23.0 45.0,22.4 45.5,22.1 45.9,22.3 46.3,22.2 46.7,22.3 47.2,22.6 47.6,22.7 48.0,22.5 48.5,22.7 48.9,22.7 49.3,22.5 49.8,22.3 50.2,21.4 50.6,20.6 51.1,21.6 51.5,21.9 51.9,21.7 52.3,21.4 52.8,21.7 53.2,21.4 53.6,21.9 54.1,22.0 54.5,22.2 54.9,23.0 55.4,24.6 55.8,23.9 56.2,22.7 56.6,23.5 57.1,23.9 57.5,23.2 57.9,22.9 58.4,22.3 58.8,22.6 59.2,21.4 59.7,21.6 60.1,21.3 60.5,21.1 60.9,19.1 61.4,18.8 61.8,18.7 62.2,18.4 62.7,17.9 63.1,18.4 63.5,18.9 64.0,19.2 64.4,17.6 64.8,16.9 65.3,17.3 65.7,17.3 66.1,16.9 66.5,16.6 67.0,17.1 67.4,16.8 67.8,16.8 68.3,18.0 68.7,19.8 69.1,19.1 69.6,19.1 70.0,16.6 70.4,17.3 70.8,18.0 71.3,17.9 71.7,17.7 72.1,17.8 72.6,17.2 73.0,16.4 73.4,15.0 73.9,13.3 74.3,13.4 74.7,14.5 75.1,13.9 75.6,12.9 76.0,13.5 76.4,14.6 76.9,14.6 77.3,15.2 77.7,15.6 78.2,13.9 78.6,13.2 79.0,13.4 79.5,12.2 79.9,12.3 80.3,12.1 80.7,5.1 81.2,3.0 81.6,2.0 82.0,3.4 82.5,4.2 82.9,5.5 83.3,5.9 83.8,6.3 84.2,7.9 84.6,7.3 85.0,7.2 85.5,7.1 85.9,4.5 86.3,3.3 86.8,4.3 87.2,5.6 87.6,4.6 88.1,5.0 88.5,7.5 88.9,8.1 89.3,8.1 89.8,8.7 90.2,8.8 90.6,8.7 91.1,7.0 91.5,8.6 91.9,8.8 92.4,9.6 92.8,8.6 93.2,8.0 93.6,7.1 94.1,7.7 94.5,7.6 94.9,9.1 95.4,9.7 95.8,10.2 96.2,11.0 96.7,10.9 97.1,10.2 97.5,10.2 98.0,9.8 98.4,10.6 98.8,9.3 99.2,10.2 99.7,10.8 100.1,11.5 100.5,11.3 101.0,10.2 101.4,9.8 101.8,10.2 102.3,9.5 102.7,9.1 103.1,7.2 103.5,8.4 104.0,8.9 104.4,7.1 104.8,8.1 105.3,8.3 105.7,9.0 106.1,11.2 106.6,11.3 107.0,9.8 107.4,9.1 107.8,9.6 108.3,9.1 108.7,8.1 109.1,9.1 109.6,9.6 110.0,9.5", "ret_12_1": 123.0, "ret_6_1": 58.2, "ret_3_1": -11.2, "volatility": 49.9, "traded_daily_cr": 87.0, "watch": "Nothing flagged", "from_12m_high": -16.5, "signal_rank": 18, "data_quality": "Green"}, {"rank": 9, "symbol": "E2E", "isin": "INE255Z01027", "qty": 23, "last_close": 625.9, "amount": 14396.0, "spark_12m": "2.0,25.4 2.4,24.4 2.9,23.5 3.3,24.3 3.7,23.7 4.2,22.9 4.6,23.7 5.0,24.4 5.4,23.4 5.9,22.4 6.3,21.3 6.7,21.1 7.2,21.2 7.6,22.8 8.0,23.1 8.5,23.8 8.9,24.4 9.3,24.4 9.7,24.3 10.2,24.1 10.6,24.5 11.0,24.4 11.5,24.3 11.9,25.2 12.3,24.5 12.8,24.9 13.2,25.1 13.6,24.9 14.0,25.0 14.5,25.3 14.9,24.9 15.3,25.3 15.8,25.1 16.2,25.3 16.6,26.1 17.1,26.1 17.5,26.8 17.9,27.8 18.4,28.0 18.8,28.1 19.2,28.0 19.6,28.1 20.1,28.8 20.5,29.7 20.9,29.7 21.4,29.6 21.8,29.8 22.2,30.1 22.7,30.0 23.1,30.5 23.5,30.9 23.9,30.5 24.4,31.0 24.8,31.6 25.2,30.8 25.7,31.2 26.1,31.1 26.5,31.1 27.0,31.1 27.4,31.5 27.8,31.6 28.2,31.7 28.7,31.3 29.1,31.2 29.5,31.1 30.0,31.2 30.4,31.4 30.8,32.0 31.3,31.9 31.7,31.8 32.1,31.7 32.5,31.6 33.0,31.2 33.4,31.5 33.8,31.6 34.3,31.5 34.7,31.5 35.1,31.6 35.6,31.8 36.0,31.6 36.4,30.3 36.9,30.2 37.3,30.8 37.7,31.3 38.1,31.2 38.6,31.5 39.0,31.5 39.4,31.3 39.9,31.5 40.3,31.0 40.7,29.0 41.2,28.0 41.6,29.0 42.0,29.5 42.4,28.7 42.9,27.8 43.3,28.2 43.7,27.9 44.2,28.4 44.6,28.8 45.0,28.2 45.5,28.3 45.9,26.5 46.3,25.8 46.7,26.4 47.2,28.2 47.6,29.0 48.0,28.3 48.5,28.0 48.9,28.2 49.3,28.9 49.8,29.7 50.2,29.7 50.6,29.8 51.1,29.9 51.5,29.1 51.9,29.4 52.3,29.6 52.8,29.9 53.2,30.4 53.6,30.5 54.1,30.1 54.5,30.0 54.9,30.1 55.4,30.7 55.8,30.7 56.2,30.2 56.6,30.9 57.1,31.4 57.5,30.8 57.9,30.2 58.4,29.9 58.8,29.6 59.2,28.9 59.7,29.1 60.1,29.0 60.5,28.9 60.9,28.1 61.4,27.4 61.8,26.8 62.2,27.4 62.7,26.6 63.1,26.0 63.5,26.2 64.0,26.2 64.4,25.3 64.8,25.7 65.3,26.0 65.7,26.3 66.1,26.6 66.5,25.8 67.0,24.9 67.4,23.9 67.8,23.0 68.3,21.9 68.7,23.0 69.1,24.1 69.6,24.0 70.0,24.9 70.4,25.5 70.8,24.5 71.3,23.6 71.7,23.1 72.1,22.1 72.6,21.3 73.0,20.2 73.4,19.8 73.9,20.0 74.3,18.8 74.7,17.5 75.1,18.8 75.6,17.6 76.0,16.3 76.4,17.6 76.9,19.0 77.3,20.2 77.7,21.4 78.2,20.3 78.6,21.1 79.0,20.6 79.5,20.3 79.9,19.1 80.3,17.9 80.7,16.6 81.2,17.5 81.6,18.4 82.0,18.7 82.5,19.8 82.9,19.7 83.3,19.3 83.8,20.2 84.2,20.6 84.6,20.6 85.0,21.3 85.5,20.8 85.9,19.6 86.3,19.6 86.8,20.3 87.2,19.8 87.6,18.8 88.1,18.1 88.5,19.2 88.9,18.0 89.3,16.7 89.8,15.3 90.2,13.9 90.6,12.4 91.1,10.8 91.5,12.4 91.9,13.9 92.4,13.8 92.8,12.3 93.2,10.8 93.6,9.1 94.1,7.4 94.5,6.9 94.9,8.8 95.4,7.1 95.8,5.6 96.2,5.3 96.7,5.1 97.1,3.2 97.5,2.0 98.0,3.3 98.4,5.4 98.8,5.8 99.2,5.9 99.7,6.5 100.1,7.5 100.5,6.5 101.0,6.2 101.4,6.3 101.8,6.1 102.3,6.0 102.7,6.8 103.1,7.7 103.5,7.2 104.0,5.4 104.4,6.2 104.8,7.0 105.3,6.9 105.7,6.6 106.1,8.5 106.6,7.3 107.0,7.0 107.4,6.8 107.8,7.7 108.3,7.0 108.7,5.1 109.1,4.4 109.6,4.1 110.0,5.7", "ret_12_1": 109.0, "ret_6_1": 186.0, "ret_3_1": 56.0, "volatility": 56.2, "traded_daily_cr": 49.0, "watch": "Nothing flagged", "from_12m_high": -8.8, "signal_rank": 20, "data_quality": "Green"}, {"rank": 10, "symbol": "LAURUSLABS", "isin": "INE947Q01028", "qty": 7, "last_close": 2010.7, "amount": 14075.0, "spark_12m": "2.0,29.5 2.4,30.2 2.9,30.1 3.3,30.1 3.7,30.4 4.2,32.0 4.6,31.8 5.0,31.8 5.4,31.0 5.9,31.2 6.3,31.2 6.7,31.2 7.2,31.5 7.6,31.2 8.0,30.9 8.5,31.0 8.9,30.9 9.3,30.9 9.7,31.0 10.2,30.3 10.6,29.8 11.0,29.7 11.5,29.5 11.9,29.7 12.3,29.3 12.8,28.8 13.2,28.8 13.6,28.6 14.0,29.0 14.5,28.4 14.9,28.2 15.3,28.3 15.8,28.3 16.2,27.8 16.6,28.2 17.1,28.1 17.5,27.9 17.9,27.8 18.4,27.3 18.8,27.6 19.2,28.1 19.6,28.1 20.1,28.4 20.5,28.3 20.9,28.4 21.4,28.1 21.8,27.7 22.2,27.0 22.7,27.1 23.1,27.3 23.5,27.4 23.9,27.5 24.4,27.2 24.8,27.7 25.2,27.3 25.7,27.4 26.1,27.3 26.5,27.5 27.0,27.7 27.4,27.8 27.8,27.6 28.2,27.4 28.7,26.7 29.1,26.2 29.5,26.1 30.0,25.7 30.4,25.7 30.8,25.8 31.3,25.5 31.7,25.1 32.1,25.1 32.5,25.2 33.0,25.2 33.4,24.9 33.8,24.6 34.3,25.3 34.7,25.7 35.1,26.7 35.6,26.4 36.0,25.6 36.4,25.9 36.9,26.2 37.3,26.9 37.7,28.1 38.1,27.7 38.6,27.4 39.0,27.8 39.4,27.8 39.9,28.5 40.3,28.7 40.7,29.0 41.2,28.4 41.6,28.3 42.0,28.7 42.4,29.0 42.9,28.2 43.3,28.7 43.7,27.5 44.2,27.3 44.6,27.5 45.0,27.5 45.5,27.5 45.9,26.9 46.3,27.3 46.7,27.3 47.2,27.4 47.6,27.1 48.0,25.9 48.5,25.5 48.9,25.9 49.3,26.2 49.8,27.0 50.2,26.7 50.6,27.2 51.1,27.3 51.5,26.9 51.9,26.8 52.3,26.6 52.8,27.7 53.2,28.8 53.6,28.6 54.1,28.2 54.5,29.2 54.9,28.1 55.4,28.8 55.8,28.0 56.2,27.2 56.6,27.6 57.1,28.0 57.5,26.8 57.9,26.7 58.4,26.4 58.8,26.4 59.2,25.8 59.7,25.7 60.1,25.4 60.5,25.6 60.9,24.9 61.4,24.6 61.8,24.4 62.2,24.6 62.7,25.0 63.1,25.4 63.5,24.6 64.0,25.0 64.4,24.7 64.8,25.6 65.3,25.2 65.7,25.3 66.1,23.7 66.5,23.7 67.0,23.4 67.4,22.7 67.8,22.1 68.3,21.2 68.7,21.1 69.1,20.8 69.6,19.9 70.0,19.7 70.4,19.6 70.8,19.2 71.3,18.8 71.7,19.1 72.1,19.2 72.6,18.9 73.0,18.5 73.4,18.3 73.9,18.8 74.3,18.1 74.7,18.3 75.1,18.0 75.6,17.1 76.0,16.7 76.4,17.7 76.9,17.2 77.3,18.2 77.7,18.1 78.2,18.0 78.6,18.1 79.0,18.4 79.5,18.6 79.9,18.6 80.3,17.5 80.7,16.9 81.2,15.8 81.6,16.5 82.0,16.6 82.5,15.3 82.9,14.9 83.3,15.5 83.8,14.6 84.2,14.3 84.6,14.6 85.0,15.9 85.5,16.1 85.9,15.1 86.3,14.4 86.8,13.9 87.2,13.8 87.6,14.0 88.1,13.9 88.5,14.6 88.9,13.9 89.3,13.0 89.8,13.4 90.2,13.6 90.6,12.8 91.1,10.0 91.5,8.9 91.9,8.3 92.4,8.3 92.8,7.4 93.2,7.6 93.6,6.6 94.1,7.0 94.5,7.1 94.9,6.7 95.4,6.5 95.8,6.4 96.2,6.6 96.7,6.6 97.1,8.2 97.5,7.6 98.0,7.5 98.4,7.8 98.8,7.2 99.2,7.8 99.7,7.8 100.1,6.2 100.5,5.7 101.0,4.6 101.4,4.4 101.8,5.0 102.3,6.3 102.7,6.2 103.1,6.1 103.5,6.8 104.0,5.9 104.4,4.2 104.8,4.4 105.3,4.2 105.7,3.6 106.1,4.7 106.6,5.2 107.0,4.1 107.4,4.0 107.8,2.4 108.3,2.7 108.7,2.0 109.1,2.2 109.6,2.7 110.0,2.6", "ret_12_1": 109.0, "ret_6_1": 94.4, "ret_3_1": 27.2, "volatility": 28.1, "traded_daily_cr": 300.0, "watch": "Nothing flagged", "from_12m_high": -1.1, "signal_rank": 21, "data_quality": "Green"}]}, "prices": {"TDPOWERSYS": {"2026-09-28": {"open": 730.05, "close": 722.0, "src": "yahoo"}, "2026-09-29": {"open": 719.0, "close": 777.35, "src": "bhavcopy"}, "2026-09-30": {"open": 783.0, "close": 786.05, "src": "bhavcopy"}, "2026-10-01": {"open": 779.9, "close": 792.15, "src": "bhavcopy"}, "2026-10-05": {"open": 801.0, "close": 812.9, "src": "bhavcopy"}, "2026-10-02": {"open": 792.15, "close": 792.15, "src": "yahoo"}, "2026-10-06": {"open": 810.0, "close": 816.0, "src": "bhavcopy"}, "2026-10-07": {"open": 818.0, "close": 821.1, "src": "bhavcopy"}, "2026-10-08": {"open": 835.0, "close": 793.5, "src": "bhavcopy"}, "2026-10-09": {"open": 795.0, "close": 793.75, "src": "bhavcopy"}, "2026-10-12": {"open": 800.0, "close": 825.65, "src": "bhavcopy"}, "2026-10-13": {"open": 830.0, "close": 797.85, "src": "bhavcopy"}, "2026-10-</t>
        </is>
      </c>
    </row>
    <row r="2">
      <c r="A2" t="inlineStr">
        <is>
          <t>14": {"open": 796.0, "close": 783.7, "src": "bhavcopy"}, "2026-10-15": {"open": 769.7, "close": 734.75, "src": "bhavcopy"}, "2026-10-16": {"open": 737.8, "close": 735.15, "src": "bhavcopy"}}, "AEROFLEX": {"2026-09-28": {"open": 524.25, "close": 513.4, "src": "yahoo"}, "2026-09-29": {"open": 511.3, "close": 539.6, "src": "bhavcopy"}, "2026-09-30": {"open": 539.6, "close": 536.6, "src": "bhavcopy"}, "2026-10-01": {"open": 540.0, "close": 521.35, "src": "bhavcopy"}, "2026-10-05": {"open": 524.0, "close": 544.35, "src": "bhavcopy"}, "2026-10-02": {"open": 521.35, "close": 521.35, "src": "yahoo"}, "2026-10-06": {"open": 549.7, "close": 560.75, "src": "bhavcopy"}, "2026-10-07": {"open": 566.4, "close": 563.85, "src": "bhavcopy"}, "2026-10-08": {"open": 572.05, "close": 529.0, "src": "bhavcopy"}, "2026-10-09": {"open": 535.0, "close": 520.5, "src": "bhavcopy"}, "2026-10-12": {"open": 530.0, "close": 567.9, "src": "bhavcopy"}, "2026-10-13": {"open": 571.0, "close": 557.6, "src": "bhavcopy"}, "2026-10-14": {"open": 559.0, "close": 568.7, "src": "bhavcopy"}, "2026-10-15": {"open": 560.1, "close": 510.95, "src": "bhavcopy"}, "2026-10-16": {"open": 516.4, "close": 525.8, "src": "bhavcopy"}}, "E2E": {"2026-09-28": {"open": 650.0, "close": 625.9, "src": "yahoo"}, "2026-09-29": {"open": 619.55, "close": 651.8, "src": "bhavcopy"}, "2026-09-30": {"open": 655.05, "close": 650.5, "src": "bhavcopy"}, "2026-10-01": {"open": 647.0, "close": 648.0, "src": "bhavcopy"}, "2026-10-05": {"open": 659.9, "close": 656.1, "src": "bhavcopy"}, "2026-10-06": {"open": 665.0, "close": 688.9, "src": "bhavcopy"}, "2026-10-07": {"open": 678.9, "close": 723.3, "src": "bhavcopy"}, "2026-10-08": {"open": 744.0, "close": 714.15, "src": "bhavcopy"}, "2026-10-09": {"open": 705.0, "close": 704.6, "src": "bhavcopy"}, "2026-10-12": {"open": 700.0, "close": 735.55, "src": "bhavcopy"}, "2026-10-13": {"open": 735.0, "close": 735.75, "src": "bhavcopy"}, "2026-10-14": {"open": 732.0, "close": 748.3, "src": "bhavcopy"}, "2026-10-15": {"open": 710.9, "close": 710.9, "src": "bhavcopy"}, "2026-10-16": {"open": 699.95, "close": 694.85, "src": "bhavcopy"}}, "LAURUSLABS": {"2026-09-28": {"open": 2000.0, "close": 2010.7, "src": "yahoo"}, "2026-09-29": {"open": 2020.7, "close": 1979.0, "src": "bhavcopy"}, "2026-09-30": {"open": 1993.0, "close": 1980.0, "src": "bhavcopy"}, "2026-10-01": {"open": 1973.6, "close": 1984.0, "src": "bhavcopy"}, "2026-10-05": {"open": 1994.0, "close": 1971.4, "src": "bhavcopy"}, "2026-10-02": {"open": 1984.0, "close": 1984.0, "src": "yahoo"}, "2026-10-06": {"open": 1968.9, "close": 2050.0, "src": "bhavcopy"}, "2026-10-07": {"open": 2052.0, "close": 2052.8, "src": "bhavcopy"}, "2026-10-08": {"open": 2055.0, "close": 1997.9, "src": "bhavcopy"}, "2026-10-09": {"open": 1997.9, "close": 2036.6, "src": "bhavcopy"}, "2026-10-12": {"open": 2044.1, "close": 2069.2, "src": "bhavcopy"}, "2026-10-13": {"open": 2047.1, "close": 2059.4, "src": "bhavcopy"}, "2026-10-14": {"open": 2049.0, "close": 2036.9, "src": "bhavcopy"}, "2026-10-15": {"open": 2025.0, "close": 2018.5, "src": "bhavcopy"}, "2026-10-16": {"open": 2030.4, "close": 2060.1, "src": "bhavcopy"}}, "NIFTY50": {"2026-09-28": {"open": 23064.9, "close": 22780.25, "src": "yahoo"}, "2026-09-29": {"open": 22732.45, "close": 22716.2, "src": "bhavcopy"}, "2026-09-30": {"open": 22665.0, "close": 22620.45, "src": "bhavcopy"}, "2026-10-01": {"open": 22543.7, "close": 22421.95, "src": "bhavcopy"}, "2026-10-05": {"open": 22532.4, "close": 22555.75, "src": "bhavcopy"}, "2026-10-06": {"open": 22603.25, "close": 22776.1, "src": "bhavcopy"}, "2026-10-07": {"open": 22690.45, "close": 22603.05, "src": "bhavcopy"}, "2026-10-08": {"open": 22599.05, "close": 22231.8, "src": "bhavcopy"}, "2026-10-09": {"open": 22314.95, "close": 22520.45, "src": "bhavcopy"}, "2026-10-12": {"open": 22593.2, "close": 22363.35, "src": "yahoo"}, "2026-10-13": {"open": 22364.15, "close": 22721.95, "src": "bhavcopy"}, "2026-10-14": {"open": 22715.75, "close": 22622.7, "src": "yahoo"}, "2026-10-15": {"open": 22671.3, "close": 22997.35, "src": "bhavcopy"}, "2026-10-16": {"open": 23065.1, "close": 23146.15, "src": "bhavcopy"}}, "ATHERENERG": {"2026-09-28": {"open": 1495.0, "close": 1454.9, "src": "yahoo"}, "2026-09-29": {"open": 1460.2, "close": 1407.0, "src": "bhavcopy"}, "2026-09-30": {"open": 1416.5, "close": 1425.0, "src": "bhavcopy"}, "2026-10-01": {"open": 1422.0, "close": 1406.1, "src": "bhavcopy"}, "2026-10-05": {"open": 1411.1, "close": 1409.9, "src": "bhavcopy"}, "2026-10-02": {"open": 1406.1, "close": 1406.1, "src": "yahoo"}, "2026-10-06": {"open": 1408.7, "close": 1446.0, "src": "bhavcopy"}, "2026-10-07": {"open": 1436.0, "close": 1455.0, "src": "bhavcopy"}, "2026-10-08": {"open": 1454.5, "close": 1406.0, "src": "bhavcopy"}, "2026-10-09": {"open": 1406.0, "close": 1434.4, "src": "bhavcopy"}, "2026-10-12": {"open": 1435.0, "close": 1511.0, "src": "bhavcopy"}, "2026-10-13": {"open": 1480.0, "close": 1494.9, "src": "bhavcopy"}, "2026-10-14": {"open": 1491.0, "close": 1467.0, "src": "bhavcopy"}, "2026-10-15": {"open": 1470.7, "close": 1470.0, "src": "bhavcopy"}, "2026-10-16": {"open": 1474.4, "close": 1470.0, "src": "bhavcopy"}}, "THANGAMAYL": {"2026-09-28": {"open": 5100.0, "close": 5011.5, "src": "yahoo"}, "2026-09-29": {"open": 5010.0, "close": 5204.5, "src": "bhavcopy"}, "2026-09-30": {"open": 5210.5, "close": 5062.0, "src": "bhavcopy"}, "2026-10-01": {"open": 5087.5, "close": 4861.0, "src": "bhavcopy"}, "2026-10-05": {"open": 4870.0, "close": 4747.0, "src": "bhavcopy"}, "2026-10-06": {"open": 4794.0, "close": 4758.5, "src": "bhavcopy"}, "2026-10-07": {"open": 4758.5, "close": 4803.0, "src": "bhavcopy"}, "2026-10-08": {"open": 4840.0, "close": 4810.5, "src": "bhavcopy"}, "2026-10-09": {"open": 4800.5, "close": 4889.5, "src": "bhavcopy"}, "2026-10-12": {"open": 4949.5, "close": 4890.5, "src": "bhavcopy"}, "2026-10-13": {"open": 4860.0, "close": 4900.5, "src": "bhavcopy"}, "2026-10-14": {"open": 4940.0, "close": 4849.5, "src": "bhavcopy"}, "2026-10-15": {"open": 4849.5, "close": 4791.0, "src": "bhavcopy"}, "2026-10-16": {"open": 4775.0, "close": 5098.0, "src": "bhavcopy"}}, "RRKABEL": {"2026-09-28": {"open": 2530.4, "close": 2459.8, "src": "yahoo"}, "2026-09-29": {"open": 2459.8, "close": 2523.2, "src": "bhavcopy"}, "2026-09-30": {"open": 2530.0, "close": 2518.6, "src": "bhavcopy"}, "2026-10-01": {"open": 2524.0, "close": 2518.2, "src": "bhavcopy"}, "2026-10-05": {"open": 2541.5, "close": 2648.0, "src": "bhavcopy"}, "2026-10-06": {"open": 2667.0, "close": 2789.7, "src": "bhavcopy"}, "2026-10-02": {"open": 2518.2, "close": 2518.2, "src": "yahoo"}, "2026-10-07": {"open": 2785.0, "close": 2722.5, "src": "bhavcopy"}, "2026-10-08": {"open": 2701.0, "close": 2696.4, "src": "bhavcopy"}, "2026-10-09": {"open": 2700.0, "close": 2705.6, "src": "bhavcopy"}, "2026-10-12": {"open": 2731.8, "close": 2721.5, "src": "bhavcopy"}, "2026-10-13": {"open": 2720.0, "close": 2614.2, "src": "bhavcopy"}, "2026-10-14": {"open": 2634.0, "close": 2664.1, "src": "bhavcopy"}, "2026-10-15": {"open": 2640.0, "close": 2603.9, "src": "bhavcopy"}, "2026-10-16": {"open": 2607.0, "close": 2388.0, "src": "bhavcopy"}}, "ACUTAAS": {"2026-09-28": {"open": 3272.5, "close": 3214.4, "src": "yahoo"}, "2026-09-29": {"open": 3290.0, "close": 3304.1, "src": "bhavcopy"}, "2026-09-30": {"open": 3334.1, "close": 3279.4, "src": "bhavcopy"}, "2026-10-01": {"open": 3249.0, "close": 3196.5, "src": "bhavcopy"}, "2026-10-05": {"open": 3204.1, "close": 3122.2, "src": "bhavcopy"}, "2026-10-02": {"open": 3196.5, "close": 3196.5, "src": "yahoo"}, "2026-10-06": {"open": 3140.0, "close": 3156.7, "src": "bhavcopy"}, "2026-10-07": {"open": 3160.0, "close": 3174.2, "src": "bhavcopy"}, "2026-10-08": {"open": 3174.6, "close": 3056.7, "src": "bhavcopy"}, "2026-10-09": {"open": 3059.0, "close": 3160.6, "src": "bhavcopy"}, "2026-10-12": {"open": 3160.0, "close": 3144.1, "src": "bhavcopy"}, "2026-10-13": {"open": 3160.0, "close": 3176.7, "src": "bhavcopy"}, "2026-10-14": {"open": 3176.9, "close": 3160.5, "src": "bhavcopy"}, "2026-10-15": {"open": 3179.0, "close": 3132.5, "src": "bhavcopy"}, "2026-10-16": {"open": 3132.5, "close": 3206.0, "src": "bhavcopy"}}, "DIACABS": {"2026-09-28": {"open": 353.0, "close": 339.25, "src": "yahoo"}, "2026-09-29": {"open": 336.9, "close": 352.05, "src": "bhavcopy"}, "2026-09-30": {"open": 349.5, "close": 354.2, "src": "bhavcopy"}, "2026-10-01": {"open": 355.0, "close": 345.0, "src": "bhavcopy"}, "2026-10-05": {"open": 350.0, "close": 350.8, "src": "bhavcopy"}, "2026-10-06": {"open": 350.0, "close": 368.3, "src": "bhavcopy"}, "2026-10-02": {"open": 345.0, "close": 345.0, "src": "yahoo"}, "2026-10-07": {"open": 367.0, "close": 369.15, "src": "bhavcopy"}, "2026-10-08": {"open": 374.9, "close": 371.9, "src": "bhavcopy"}, "2026-10-09": {"open": 370.0, "close": 380.95, "src": "bhavcopy"}, "2026-10-12": {"open": 380.95, "close": 379.7, "src": "bhavcopy"}, "2026-10-13": {"open": 376.7, "close": 377.55, "src": "bhavcopy"}, "2026-10-14": {"open": 377.55, "close": 378.75, "src": "bhavcopy"}, "2026-10-15": {"open": 377.75, "close": 373.75, "src": "bhavcopy"}, "2026-10-16": {"open": 367.3, "close": 362.4, "src": "bhavcopy"}}, "KIRLOSENG": {"2026-09-28": {"open": 2138.1, "close": 2141.2, "src": "yahoo"}, "2026-09-29": {"open": 2141.2, "close": 2402.0, "src": "bhavcopy"}, "2026-09-30": {"open": 2358.0, "close": 2304.2, "src": "bhavcopy"}, "2026-10-01": {"open": 2310.7, "close": 2242.7, "src": "bhavcopy"}, "2026-10-05": {"open": 2265.0, "close": 2243.7, "src": "bhavcopy"}, "2026-10-06": {"open": 2258.8, "close": 2266.1, "src": "bhavcopy"}, "2026-10-02": {"open": 2242.7, "close": 2242.7, "src": "yahoo"}, "2026-10-07": {"open": 2270.0, "close": 2230.8, "src": "bhavcopy"}, "2026-10-08": {"open": 2230.0, "close": 2163.0, "src": "bhavcopy"}, "2026-10-09": {"open": 2171.4, "close": 2210.4, "src": "bhavcopy"}, "2026-10-12": {"open": 2235.0, "close": 2193.0, "src": "bhavcopy"}, "2026-10-13": {"open": 2195.0, "close": 2180.8, "src": "bhavcopy"}, "2026-10-14": {"open": 2214.5, "close": 2148.3, "src": "bhavcopy"}, "2026-10-15": {"open": 2158.0, "close": 2066.3, "src": "bhavcopy"}, "2026-10-16": {"open": 2075.0, "close": 2025.6, "src": "bhavcopy"}}}, "entry_override": {}, "news": {"fetched": "2026-10-16 16:52", "days": 7, "items": [{"symbol": "MARKET", "title": "Stock markets end higher for 2nd day, led by strong buying in IT firms", "link": "https://news.google.com/rss/articles/CBMiwAFBVV95cUxORHhWaW1EeFFCazIyVU1uR2NDUWM2NEtDOWFQSFdQVGlDWWNicHVsNi1HVml6MWlJblR1TDMxcW5fQV9HWG9jUzFrRTB2cFZjbFk3SnZKbk1NUVZUUGhDSEhkU0ZwZjRjV21mYkt6UlNjTUhLeWRlMHY5SS1TaE5PTVRqUzNUNzZnYzJGTjA4WTAwZ1NJenJmQTkwUUd3OFFnTE5YaXZFamtmaGNnSnNyaTRHa25RY3EwTi12Y2gxVHA?oc=5", "source": "Deccan Herald", "published": "2026-10-16 16:13", "score": 0.382, "label": "Positive"}, {"symbol": "E2E", "title": "This small-cap AI stock has surged 250% in 2026: What is behind its stellar market performance?", "link": "https://news.google.com/rss/articles/CBMi9AFBVV95cUxOTkpxQWpVbVo4WlB0bVdqaFpTVFZCMjZhREVlX1NYdU1CMHZXSFhzWVhKMW43b0F6WUhsRUllYVYyT1dzMEo2UEhpbzQ5NzROUGtZNV9BQ0t0a05MWEctVnJValFVS1l6N2VVTkdXUzZ3STJQTUY5NWpDSk1LUHRYOTRJTU82d0VsU182aGF1Q2h6Z1lTQ3ZzZWNhTVU2dTNTVlJyWUFxeTMyb2Fxb3hsZ2gxSy15X056SktFNHY5S2JrS0NGWk5pQ2tzTkFnZ1dvSkEzY29fcDB5TnlQRW5BVXZjUWNKWUxTVnVxaDQxNmptWThX0gH6AUFVX3lxTE45RThXNkNRSGkycEd2VkhKbFFJVGdzOWd5QUJ5aDlBcmU1R0hQSmRRQ2I5Tjg1ZVktSXo3Y0xoT1QzWG5lNVJMbS1sXzNadFlFVWNsUUQ5NWRRR0loQXJXUW5WTE9xYTZ2UE12M0Nucl8tSE0xMWtUV29QLVZpWU1Yb3AxY3JFMTlrMnFEaGFySF8zbk03N0FwTVJibVByVENSdEdXOXA4d1NmTExPRVAtMnIzenYtMndnTzFFUU9selpjLVJ3VFpqRHQ1NGxJaVRTWnhIYmYyX0NCdWpfQjhxOWk3WG5iY2E1c3hSSWNSQ1o1dFpSaFQzWGc?oc=5", "source": "Livemint", "published": "2026-10-16 15:01", "score": 0.0, "label": "Neutral"}, {"symbol": "LAURUSLABS", "title": "Laurus Labs - Kotak Mahindra Bank among 5 stocks that hit 52-week highs &amp; rallied up to 15% in a month", "link": "https://news.google.com/rss/articles/CBMigwJBVV95cUxQaDVRaG1VMlQ2TFdGaVhENGh0VHZIdGNnYi1rUmJJTGFhY2MxcGd5MzYwdkJxZ0NwNmF0emd0Sy1aUER5emI1azI2bWxKZkJaR2prYkl5ZXNzZzAyeG5hbE9TbU5QaXhfWjhMWTh2bERLOWx1V2hwanUtdXN4ZkJGVk9sZm5LS19JeVBIVEJMSEVLbWFlcUFVMlM1VVpFd2VJeVBGTzcydTF6ZnZma19vOUhvTXktWEdKZDVJcngxUXJVa2R0UnlUY2RkS01HNTJzWngwZ1pGdWJFUXNvcXVJQkNnVVpEYVduWWV0RUk3LTJiSFZZbG01RUM4aDhPUGRGRTZj?oc=5", "source": "The Economic Times", "published": "2026-10-16 13:14", "score": -0.153, "label": "Neutral"}, {"symbol": "E2E", "title": "E2E Networks Q2 FY27 slides: revenue surges 411% on GPU expansion", "link": "https://news.google.com/rss/articles/CBMiwgFBVV95cUxPbkszOTlkTE9MazlfWEZIb0hrTW4wTnZtYVhxazlvUmt1QjRuTVh2NzFQZTdnWURJU0hDRFl2cXJUSmt1X09jcC1sZFRLd1pTUXF3dUJsRUFORGplOHpTVGpaOWg3VnNVcmdYLXBrZTJKOTRBNjNta0xkR093V21VaEZLV0ZCaE5ZcGt3Y3ZVMkJieHNsTXQ3RUIzZTJIdjZZRjZiRmlacDRMRldjYnYtblZrTEJWei1WWHhGM3lqNnYtUQ?oc=5", "source": "Investing.com India", "published": "2026-10-16 11:53", "score": 0.691, "label": "Positive"}, {"symbol": "E2E", "title": "E2E Networks Q2 FY27 Concall: Bullish or Cautious? Key Takeaways", "link": "https://news.google.com/rss/articles/CBMipgFBVV95cUxOMzNpTkZ6SEtIZGFSQkFfVWM1UmRzcExpcjM5ZDd1eG1rd295LWpVc1VRdzFHN295WHpVS0dLVFgwTDVWSnNtU3QwSi05TmZ4QkJEZTRhX2x0UXNZN1g0SXZ5bkNxN2k1UC1oWEcxOVR3dzd4UG1JRFFjdl9YamNPZEN2TVlVTkZjZ3V2YVFwNVFRSDVtV0J6c1JfTkRNc0ZMRi05Mk9R?oc=5", "source": "Business Upturn", "published": "2026-10-16 11:51", "score": 0.459, "label": "Positive"}, {"symbol": "MARKET", "title": "Indian Equities Extend Gains, IT Sector Leads Rally on Strong Earnings", "link": "https://news.google.com/rss/articles/CBMivgFBVV95cUxPTnNoYTRac1RYX0ZlSW1YRnRxYkFYSGNkdHZZSjlBSGdaUnFkM0t3aVhYMW5YcVF6SXBFcGd4a052QmFSUk5mOHE4Nl9oWUx2UGI1VkszOWNvd1FWTkpvYWUyNnVfV0FBbU13QThtWnE2VEZWOFV0R1dDOE53X1FfUkhvMHBJTHY0S1IyTnR2QWxQdWR5VzQ2VWc1NG55VERZTVdtTXVIVHFRdVVzMU81MTNYd0RwZXpLWWdrRnR30gG-AUFVX3lxTE9Oc2hhNFpzVFhfRmVJbVhGdHFiQVhIY2R0dllKOUFIZ1pScWQzS3dpWFgxblhxUXpJcEVwZ3hrTnZCYVJSTmY4cTg2X2hZTHZQYjVWSzM5Y293UVZOSm9hZTI2dV9XQUFtTXdBOG1acTZURlY4VXRHV0M4TndfUV9SSG8wcElMdjRLUjJOdHZBbFB1ZHlXNDZVZzU0bnlURFlNV21NdUhUcVF1VXMxTzUxM1h3RHBlektZZ2tGdHc?oc=5", "source": "Rediff", "published": "2026-10-16 11:22", "score": 0.836, "label": "Positive"}, {"symbol": "MARKET", "title": "FSSAI flags \u2018cholesterol-lowering\u2019 claims on rice bran oil, issues notices to BigBasket, Flipkart", "link": "https://news.google.com/rss/articles/CBMiswFBVV95cUxNekFXb2hzckdSaDgzZ016a0N2cVNUUGJwdUdNd0F3VjBmZnBGbW9lUW52Rk9xM2g1VU5iVVF0QnB5ajB5WEVEVXBqbkRvUllVNXhkUldtMjJXeXBDWlljNHVmMzJsdm5LMEFLWnlLY19nSXJqZi1OeFJjS0VNV2xzWkVEZ25SaWNHa1ZIVmJVNlZaMlJ4UW1lYk1lT05MWTRRUnZCT3JISXE5WVhVeFpUUFJ5Y9IBwAFBVV95cUxNeWxHQ0ZkR3VZOWVoeHVwc0N5QVZHbXlUSHI3TTh6aXRzZnh2LWVOZ3FxeExjSXNneUprdVFSdE5zeExyWXJOeUI1azQxM2h3Zm1zQ05MXzlGSUozYk1kTklsdVZ5SUg4d3p5Y3ZQd3pCVk5WRTdvVUtuU0xXbDdMb0ZhYTNtZjlVX3JGUjFuWDdEUWp1dG52d284UHN5MHA2b2Jic05DSlpwOERDU0RMR094aFZOZ1VvWlYwRXJBM3U?oc=5", "source": "The New Indian Express", "published": "2026-10-16 11:17", "score": 0.0, "label": "Neutral"}, {"symbol": "E2E", "title": "E2E Networks (NSE:E2E) Earnings Recovery and AI Cloud Business", "link": "https://news.google.com/rss/articles/CBMizgFBVV95cUxQSEFrNWt3eGNNNFhaX0wzMzRBRFZ2d056YlJFVGdISkxDbnMtTW8xZVhOLThjM0huSnAwOXpCTF9UTzl5bFYtVHpoQXp0NXppQzh3OWs2S0ZKWnJfd0YwSjdhcnJBaW00ODhVUHBzU1hXOHFkaVdGbThMTm1HU09QSGw5TFE0ZWNtS1ZWQVNtSXBSZUYyZV9VdTBxa2psTEo4eU9RWm0waml2aVdORTBndk9PR2RoaGJGOG45eF9xb24xbWpaaThVWXFBTU01QQ?oc=5", "source": "Kalkine India", "published": "2026-10-16 11:06", "score": 0.0, "label": "Neutral"}, {"symbol": "MARKET", "title": "Sensex, Nifty Rise Again; IT Stocks Lead Rally", "link": "https://news.google.com/rss/articles/CBMixgFBVV95cUxQb0MyR2JybndJRkFyVzhpUGVpT2xnSW5XUjNYNmZveDVDZi1jOXpYbGZZbjU5OW1HRGhmd2xMRXo4cmdUeEN2M1BUMkVWSkk3RUhoTFdVUkJUVzBTVEZIdmFQcTFfazNOR0I4VDAzU2NtTDhwRDk5ZmdtcHR1RDBvTTRUTDhKbDFXVy00QV9ZMFl6c2lkbW9aQjdyWDdCUjRZME9YVVhoaFh6OF9Dd01NNWZwSFV3NllnbFFLSGFxV0hCeWVQOWc?oc=5", "source": "HDFC Sky", "published": "2026-10-16 10:56", "score": 0.691, "label": "Positive"}, {"symbol": "MARKET", "title": "Sensex Today Ends 417 Points Higher | Nifty Above 23,100 | Solara Active Pharma Sciences Up 9%", "link": "https://news.google.com/rss/articles/CBMi4wJBVV95cUxNS2tJcnBDcUhiZk12RXhkaVFpeW9ka3dKSlpJWnR0ODY4elU1UVU3MFVNSW83cGlCOTY4d2FDUnV6ZG1LbUpYYlUwamhNeUtrc0c2dzI0aVZ3aEo5S1BuRVlXNzBzbFQ5YldKM09qVnp6R05xV1RGbFdhYlYwRk93aWNjc3J1eVNwZXV0cnY1bmFkZktTMHBHNEl0bEhIVHV2SDBfZVJFZXNVOWdHcUxnX2R4VmJaQ0o4YlRKQ2xMNzlQQTlJUGZpbWVPZ0lxNndFTnQwUmlKQUdldi1xWjhfQXFqMUt4TlcwTTNaMTRCT1A1dWFSWjV2VUkyOVpWZDBCWC1QblZuYzFHT09XZGIzVnNVeENkZ3lUMjM3d21xZmtXaWtUa0dWOTNjbUNIVkF5QTJDclNvR3k1cF9mR2tMZWhKXzBfdENsOTlVdzczeUE5T3BoMUdPUHBXdU5Pd1Bscjhv?oc=5", "source": "Equitymaster", "published": "2026-10-16 10:51", "score": 0.66, "label": "Positive"}, {"symbol": "MARKET", "title": "Indian markets close higher on Friday as IT stocks lead gains", "link": "https://news.google.com/rss/articles/CBMitgFBVV95cUxObGpjc041Wm82bVlKdUI4SVhQQjRrNVlhRXozM0NSblRsTmoxU0labkhjeFVMYkQ3eE82N2FqOGEwbHN1OFZOd1RaM1Rkek5BLWszS09PTWFkWGVIaGV6UVpnUHhzT1AzLTFuUmxfaUVwY1hubnRpZ3JGZC0xb213NGpOTVhOQkpld0FlQ3laazVkTWlaTlRUYnNjMnpTMkFyZ1FVQ09LcGVIeVNrWnVNTWp4V3FkUdIBwwFBVV95cUxPSEEwRDlBTGJYOHM2SHNoaVE4cWktYjlOUVNYSVBXcWtUM1lsMlNmQ040YzhCZ3ZnTlB4cHhjN3pGbm5sS1QtWmNFQ09lellfbWdjcGhWeU80cl8yRElHUi1ZNXR0T2RRRG4tRlVMYTUzck5YUnJkNWxLeUdlRTFhSFJKUkhwU1A5WFl2MzZNenZKWC1SdHAwWXZZaXF1TUtlOHZYelVrcmtsdFptOHNvcV90SjgzbnE0Zlo1ZVBUbDFpTEE?oc=5", "source": "The New Indian Express", "published": "2026-10-16 10:44", "score": 0.382, "label": "Positive"}, {"symbol": "MARKET", "title": "Stock Market Today: Sensex Rises 414 Points, Nifty Closes Above 23,100; IT Stocks Lead Gains", "link": "https://news.google.com/rss/articles/CBMihwFBVV95cUxQOGdqRkVQd1I1bmlUSGJqM2tpeC1CT1N5a3ptNll5RnJ1OEJuUy1oUlozVk1jbHFndUNsczhfWWpQenloWmhBTVRnZzF0SjNDbnBjQ1JvZTJvenA0ZzdZUEs0X2tzQTVUX2FONHdrbW5ObWJOWTRoVWRlX2VKQXVFSFhmSHozaXc?oc=5", "source": "APAC Media", "published": "2026-10-16 10:38", "score": 0.649, "label": "Positive"}, {"symbol": "MARKET", "title": "Indian Stocks Rise 2nd Day, IT Firms Lead Gains", "link": "https://news.google.com/rss/articles/CBMinwFBVV95cUxPTkpiNjkwaEI5dXJObTk0LUNManoybGVNbVVaTndvTVFfRFZ2OXYzQTZIdVRXSlozX1RBRXBYRy12VDAtWUI2MDAyN0lCenotZ1phRjdsRTVpaHItZWlDNFVadnBZOV9SQkQ3MUVFbzN4ZlprbW8wVS1XSUU5ZkhOYlhpMDQwb09sSWNHT0NQT2hudFE5THdFVVZyTmFua0HSAaQBQVVfeXFMTTZiSUxTVmV1N0lObXRreld6dmNnRTVVejZVdmF6b0FSSTFvamFHcjJMUmVlU1VQdUp3WVltOWhZWG50OVI1Ym1wcGx3bTFacHlFVnM5V2ljUlRTemxXXzVkU3FQdnFPNnBKbjgzMjhzNzMwUEJPdl9jclhBd0xXZ1dkdUFhdHc1S2ZlcVBMazE0OVIzTFZOUEZqVHdFeTZ0ZnhvTzg?oc=5", "source": "Rediff MoneyWiz", "published": "2026-10-16 10:36", "score": 0.382, "label": "Positive"}, {"symbol": "MARKET", "title": "Sensex ends 413 points higher, Nifty above 23,100; TechM up 8%", "link": "https://news.google.com/rss/articles/CBMi7AFBVV95cUxQcjhLX0hoeWQxNlRqWi1jRkJmUDNCNk9CdUpLOEszM2pMcUliaTRPS3hHWWtYNk5vaERsT3ZBRGVYX0JGOVA4VVc2NVZPRWgtdXkybVNub0RITzdNeUlSaVlBTnU3VnRmUVF2amh5MURVbS1VZnlnZi1HSEhNcFZRV2Rib2F2R3kwaElRaEZTM1d0enl2QV83MFNTcWNtcXJ1c19acmRpdXRnLTZaVnFaSlN1d2tJWGFjdmpMOXp4cmE3NmZvcDFjVjhieVpmUmtzcGRhTC1MQXZPdHRHU3BmSXU4ZDNUSmxHZ1pCMtIB8gFBVV95cUxPcV83NjJXaVNRTkwzSnAtbXppdTNYLWFKb1h3ZVNIZE5OV3NObU92OWlhd1V2dXE1VnE0MUw3bU94WVppaFl2eFhCc2pjZmVxN05Jc1NBSWhiMHR3ekh4dmlfZG9UNHFLSVZWRWw0NmhhX3REMkFUMTZSenQ0aFpyRkZGNVlPZWh6R1BFamNtLWxnem5vaGpjYUdPY3R1ZldoRTExSWlHdVZiS1dmR1hZR3NpOTRBY3d2Ry16ZnRjdGxJZl9jNVV6Ti0wSWRZQ3pvSUVCUlJPSFlJT2NsS29Ob0tCdUtpSGd1c25FV0M2bDRPQQ?oc=5", "source": "India Today", "published": "2026-10-16 10:05", "score": 0.402, "label": "Positive"}, {"symbol": "LAURUSLABS", "title": "Laurus Labs shifts gears as CDMO emerges as key growth driver; Nuvama sees 24% upside", "link": "https://news.google.com/rss/articles/CBMi7gFBVV95cUxQMFhhRjQ4UE1Hek83TFlQZHFuWDNZZzFndFBDZmR0X2U3QUU2elJSQ0JSdUxvOXRCWDN0dmwwT2lwVWlaVS04LUpEUUUyQXJGS2dUNkxNVGZVTDRhMEJpekVTZHBaMlNjcC0yRmZlSC1WcFpaeEMtZzQ4dW9mcnlwaGhtNG90NktyRGlod1ZpenlTUEl6VkVCMVNqYWQ5dWtCZkYyUkw2Z1VpcmNMVFFQbVZWUzBVS2MyM09PSnpYNnZzUnJKN3M4NmtOY0M5QXhJZmw1azlhVXY5anp5TENvMTA0Y05rOXByQ2t6aFBR0gHzAUFVX3lxTFA1LVlMMTZMYkkzdkR6VHE3RldZWGV4cEVsY2w0eEtydWpzN1lFeFVWTDdJenJYU0hCNlZ4dE1taHMwNFhTZURra0hyT05sRXRvU1pXUXhFcDRLVWhnY2tpanRqcjBXSUxURjgyRWViV1JRTDJJQWFzeVhEQmhsQzJlV084ZTV1VEFYVkxUSm1zdVZCbG1VUkZqM0ZLNzdLaUVwVGJKM1hhOUNPR3VNSFFqZXBzVlJ0MTY3RlJBTm8tSi12XzNOeUZ4N0FjaFFmWWRKa3RDaWNQdllfN1ZnRDE2cEo5OVMyTXFoSkxnXzBNWmlaOA?oc=5", "source": "The Economic Times", "published": "2026-10-16 09:52", "score": 0.649, "label": "Positive"}, {"symbol": "E2E", "title": "Crompton Greaves Consumer Electricals announces Q2 2026 financial results, management changes", "link": "https://news.google.com/rss/articles/CBMiyAFBVV95cUxPUzNoRUF5VnhtUm5JOVVWaVhiVjEyZy1NQ1JCTFlSZW8zT0dQS05JdEotbUo0WHpTWnFmZ2l0OGhzSnItNGJiQzhZbDdySFpaS3huVEhNRUkxRTNYcXJBSlV3cXgzUUU4WnkxcmQzOFplcUdwOVMxNDFNTnJxYVo2dTZVUUpaaExlb0hUQzkxRFE4WE9VdUNjd2Zyd2RocDdteEpUZ3p2VEFWSlYwSE54VlBJRVM4bXQ1RUd0VGIzVE9MZ05ialdrOQ?oc=5", "source": "Business Upturn", "published": "2026-10-16 09:46", "score": 0.0, "label": "Neutral"}, {"symbol": "E2E", "title": "E2E Networks Q2 results: Net profit jumps 66% QoQ to \u20b973 crore, revenue rises 43%", "link": "https://news.google.com/rss/articles/CBMi3gFBVV95cUxOWlNaMk9KZFRkWkxlQkxqSTZwUVdTVW5PenhfYzB5UGFJTVgzN3ZUemFVY3FPY25lTy1VaXluQU84bS1LbXFubzRScE5ZajJra2pKdlFjVHU3WHVxcG5nSnBfQXZ6R0FuWlhoVHRRaVFRaFctTnZNNWZrdmpRbzJrYXFBaldNdW9zOUlWcFRkU2x0emx4eHE2SF9WUFZFTzlmTHdObHdvVjdyRXk4bHZyS1FDS05GUEtUaU13V0hSbEQwdGQ1dGN4Tkl4N05mYWs5N3UweHU3eFF1dTZvZXc?oc=5", "source": "Business Upturn", "published": "2026-10-16 08:50", "score": 0.66, "label": "Positive"}, {"symbol": "E2E", "title": "E2E Networks reports Q2 and H1 financial performance, announces key board changes", "link": "https://news.google.com/rss/articles/CBMiuAFBVV95cUxQWVQyVS1RSEpqWml3ajhOMy1lWGxJSUF3RGpNTTh6UTVzZ1o0NHgyamM0YWpYNVNRTGlQaFhTY1hmdGlZVHlkMEc2YjJmSGxDdzRfbmhtR2R1bi1JZHBuS2tuUU9WNzZ0eUduMEk2WlROTldYbkVRNk9ZU1RLWjNvb2tsVUF3cUU0V1NyNF9uNGVjU0RWTVNFMHYtaUlIYVBnOFFoeEFGdHJFTXRadkxlWGxIMTdEajlx?oc=5", "source": "Business Upturn", "published": "2026-10-16 08:50", "score": 0.0, "label": "Neutral"}, {"symbol": "LAURUSLABS", "title": "Laurus Labs - 10 stocks held by 100+ MF schemes in September rally up to 205% in CY26; 6 turn multibaggers", "link": "https://news.google.com/rss/articles/CBMigwJBVV95cUxNbW5vdUhsQ0Ixcm5QZThsMjBEN0V3aXVKV0d5aUNqU1lkX0hoeE5hZDN2Vy1Wd3VJc0Vha0ZHekVVY0ZMTl8tZHFvU2M3cTJDY2pVVHF5SjR2cDJBQWZLRjhrY2hNTmx4RlZOOGVxbF8xS3VLT2w0THhTTDFzUUFTbkdjck0wUk43NHVlUlU5bl9kQ19UYXZGNFoycFNFa1RGNzJqVjc4aUo5b3dyN0daVzRXU0p4LUotek5Cd1JiRHV4X2NtRlRQTXB3QzdiTlc3VWlaVlJBeHgwZEFoT1VRalFBM09VRzRqOGo5MExPeFFKRklsRVplcS1RX3dYcWI1MldF?oc=5", "source": "The Economic Times", "published": "2026-10-16 08:24", "score": 0.459, "label": "Positive"}, {"symbol": "ACUTAAS", "title": "Acutaas Chemicals - 10 stocks held by 100+ MF schemes in September rally up to 205% in CY26; 6 turn multibaggers", "link": "https://news.google.com/rss/articles/CBMiiwJBVV95cUxPNURoVXphcVFVS3NRT2F4dElYbnQxN082OXNLVVEyTnRUdWJGaXdObk9sYzJ6YndrZG1ZX0hlWXVyaUNGQnBPR2hmdVBaN2dFU1lOQkpacmkxMDBIWHYtYlJCUldUb0pQSHlfZ2d0cW5ZV0RjLVRkWHF3ZmpBU0RkRkJnREpkTTNuQ2RhWGMxeE1oMlc3Y0xpQzdVTnhmb2tBaXAxdkxmVUZoUzlPeDd4eXpRLU5GcFBWbVMtb1JvT19TbkVGdWpDM1JfcE05cDV5VmN0dWxBTDVXUGN3Rjh5SUNYSTdyREJRbHNXRTA0Vkt1Q0ZQb2lYcDI5TlppWUg3OEtlNGlBcU9QNFk?oc=5", "source": "The Economic Times", "published": "2026-10-16 08:21", "score": 0.459, "label": "Positive"}, {"symbol": "THANGAMAYL", "title": "HBL Engineering, Wipro, L&amp;T Finance shares spurt amid spike in volumes; check full list", "link": "https://news.google.com/rss/articles/CBMi4AFBVV95cUxQbEh4am5nYnUxS2lSR18tZWxBTEdaMEtSMGJMVkpKZkNJQ1dENXY5N1RJMDdpU0hURTlUZWNYNWlET2FKcVNEZEFnQ25ucWI3ZlI0RzA4VjBrRzlRbVBfdzV1SG9pMGp6aFhYcHRwTC1aeW8wWWZHcHVBN0k4M3NFd3FOMzI2TDVVdmNyeTZtZ0VoS3RmZkE4SkExbklXVlJZUjBtbFFKQjlaWW15cm4yak00Tzc0dW92eDh6Rllza0h5TkZqbEVVd2VwX0VFb3ZpTklHQWd2emtoRy1ublQzQw?oc=5", "source": "Upstox", "published": "2026-10-16 07:20", "score": 0.0, "label": "Neutral"}, {"symbol": "E2E", "title": "E2E Networks Shares Recover Nearly 4% From Day's Low Ahead of Q2 Results; Can Revenue Jump 311% YoY?", "link": "https://news.google.com/rss/articles/CBMi3AFBVV95cUxPaVlyZ1ZqSFRFc3VMUUUzRk5QRHR6Z21qdTdRX1pRaWV1VEl4S1psOERUbW9vY1N2eE5RbkVYSHFGdmEwaFZOLWJLUlpRWTlwX1F3Wnl1ZVJZbVlQRWF6bWdKMnBsaU5Pajc4eWpvVGtLSUdiUE02T05zQm9RVndOZEQ5UEJVSnFDeFVqMGRadDdLUFNQazZZYnAwM3RJVlBQNGRibUVYd0dQQmFpcjlZN2hWWGxRWHRMSHdxQmtna2x3YS1QR0RyYkZtQlFkRURNMHJvdE5ncVliZko5?oc=5", "source": "Business Upturn", "published": "2026-10-16 07:10", "score": 0.178, "label": "Neutral"}, {"symbol": "MARKET", "title": "Indian equity market open flat amid profit booking; Sensex down over 130 pts, Nifty below 22,980", "link": "https://news.google.com/rss/articles/CBMi4wFBVV95cUxPR1E3M01JU2pqYmxVNEVFUnJTUm9RaGU0akotN3dTY01NNXN0TEh4UjVIblFwcDVQNGt3cF9rX2JKZXBnR2dKV0t2bGJFZWtHT1o0WHZ2VXBGbm93N0w2WkxRbnNvWS1JZ3BwX0VCRHhKN0hKTEF3TTJtcWJhMjFMT3A1S1ZCbXNoempWLU9NdlFiTGRwa2RVQ2djVTEtSVZXekNVMUpzd1BzNzRlM2ltX3ZNQU82eVhxaGxzcWxucnhQTXhNZEkwMldKLTVVcms2cEpWU1NPZjZpenY3V0tSaHV3c9IB6AFBVV95cUxOZFVPX2ZUdWZsYk53ZWtORTNwYmhPMlk5RDEyVlNHQWU5ZnpSTjY0UTlTT0FETjdQR1FPMWU2eTJZdldXVlFoc3RoSG5qX3pXVGg4N194MGM1X3dGeFRhdENpNXUxSnBNTUxydzFMU2RIYndRU21NRUgtOUlfU3BIeXF2U2JIamRfdDBlcXpHOTVxX3Jsbld4UHZ4X2RUQkNrczhOaFBSenl2bGZWTEZoWWgzMzAtTE9ndnpOX1FKUUpRRFVfaDI5Vl9Ob2R6dUU4bkllcGNxZURxN0d3TU9Jb1RNLWNZZTY1?oc=5", "source": "cfo.economictimes.indiatimes.com", "published": "2026-10-16 05:42", "score": 0.625, "label": "Positive"}, {"symbol": "MARKET", "title": "Sensex, Nifty trade lower in early deals; IT shares buck trend", "link": "https://news.google.com/rss/articles/CBMikAFBVV95cUxNYlBmNHF3T24wXzBiLS1QRHp6X1hpZEtOWHhtZjU1NV9TR3VraFpfM2J4aWREVHdPcWhzaGtHOVVHM0hsb1ZiM3prallxN0dmUmRrM3F3QUl1WTZzQk05YmFHTmswUWVKNWQ1bGRJMnRsOTRrX3NrM1JBRmI0Nmw5TG9KSkt1LTdzd2MwTko2NEs?oc=5", "source": "Telangana Today", "published": "2026-10-16 05:25", "score": 0.226, "label": "Positive"}, {"symbol": "E2E", "title": "E2E Networks appoints Anandamoy Roychowdhary as strategic advisor", "link": "https://news.google.com/rss/articles/CBMipAFBVV95cUxNR1VuUFpEdVJqRE5lZlhkTWtlQ212M3M5NzAxU1ktOUZoUV9VX21YS1Rwci00RXJVWk5CMVhGSVF5N2NTOWNOQ0djTWhDS2UtRGR6UE0tZVRnanktZXNmQXVCY1l3WjNJczc2STlqeTRkdWUyVEt5enh1Zzh5VWZoaGwxWXJSeHZjV1RkNFhfb291cm4wRzlJcXhoYm9ENlJVQk0zRg?oc=5", "source": "Business Upturn", "published": "2026-10-16 05:00", "score": 0.0, "label": "Neutral"}, {"symbol": "THANGAMAYL", "title": "Thangamayil Jewellery Share Price Today after 5.25% gain", "link": "https://news.google.com/rss/articles/CBMiigFBVV95cUxNTlRlMnE1Smcyc3JSd0dING85ZXQzcF9CRnNfbnlBTXoxRjlfQ3BsYVdYWEp4aVFZLUlBZVFHSUlDa2dOV09mdWRDTnZjbW1tRVc1VVZUTUo3NlNfQmQtYVBfT09VcEpoX0tIbF9DZXRXXzJidDFNSGVIeWNvQ2hieklkaVcwWDBHMXc?oc=5", "source": "Univest", "published": "2026-10-16 04:57", "score": 0.34, "label": "Positive"}, {"symbol": "E2E", "title": "E2E Networks NSE:E2E Onboards Strategic Advisor Anandamoy Roychowdhary", "link": "https://news.google.com/rss/articles/CBMiwwFBVV95cUxOMzRwZ1N4UUVlZEUwVG1lUEVIRDBYZVFqZ2xkQ0xQUEJNVTFYYmlDTkdzems4WmozUXVvb1pLZUhVRG5oM1pxM2R4V0VsMy1ZcGhjc215c05EMTJTbGN0OU5PNzkwaWd0MjFqal9MVE5Zck5aUzFQaEtmdDVMTURwQU9xV2M5a21QQ3J5cXBJcFJaQkpvalhZT3N4eDJ2N3BOWFhzX0txY01mSnVaekd1UFZBSUlFVHVnY29KU3JQUGZuQUE?oc=5", "source": "Kalkine India", "published": "2026-10-16 04:50", "score": 0.0, "label": "Neutral"}, {"symbol": "MARKET", "title": "Stock markets trade lower during early session amid profit-taking", "link": "https://news.google.com/rss/articles/CBMizAFBVV95cUxPVTdEbktiQndGcjkxQ3lRM3NBN2hHRjM4RlIwRDdtZ0xJb19nTVVyczlaQTFNc0tYSEp2eTZjallOTDlPeGdDS3ZDUGswRTk5SVZwQnE1bzlGeWdPV2VjWkM4V0FwQUdwcXZUQXFicGI1TFd0WXJHd3BhUXgtZDBCN1FudDFHbExaYjh5RnlpUEE4LWFsMGk5QVpycFYycUxqem5qLVJFUWdJeldqQV82R3hIMmtzYXdfODJWZWt1MnRlV2dxVGVNOEdtZjPSAcwBQVVfeXFMT1U3RG5LYkJ3RnI5MUN5UTNzQTdoR0YzOEZSMEQ3bWdMSW9fZ01VcnM5WkExTXNLWEhKdnk2Y2pZTkw5T3hnQ0t2Q1BrMEU5OUlWcEJxNW85RnlnT1dlY1pDOFdBcEFHcHF2VEFxYnBiNUxXdFlyR3dwYVF4LWQwQjdRbnQxR2xMWmI4eUZ5aVBBOC1hbDBpOUFacnBWMnFManpuai1SRVFnSXpXakFfNkd4SDJrc2F3XzgyVmVrdTJ0ZVdncVRlTThHbWYz?oc=5", "source": "The Hindu", "published": "2026-10-16 04:48", "score": -0.202, "label": "Negative"}, {"symbol": "MARKET", "title": "Stock Markets Today: Sensex, Nifty Trade Lower Amid Profit-Booking", "link": "https://news.google.com/rss/articles/CBMitgFBVV95cUxQZndlbWRPVV9WTGs3U2luUDczVnFPRHBKYnVXOFVMdGgwcDZ4N0dwX1d3UzdiTVRISlhOeUxjQ3JxTE5rWlltdmRaZDZQQmo1VHh4SGlFY0lOdGF3Uy1IanNKX29TelJFRkxoMldYVHpMbDVwcEZzX3NTMlRXeVUzdDZDVXlzcFNNS0x1cmthR1dqZmo1V194X1V6eEc3UVM5eHhpUm02OVhDVTBLX0hzRUVuVkFJZ9IBtgFBVV95cUxQZndlbWRPVV9WTGs3U2luUDczVnFPRHBKYnVXOFVMdGgwcDZ4N0dwX1d3UzdiTVRISlhOeUxjQ3JxTE5rWlltdmRaZDZQQmo1VHh4SGlFY0lOdGF3Uy1IanNKX29TelJFRkxoMldYVHpMbDVwcEZzX3NTMlRXeVUzdDZDVXlzcFNNS0x1cmthR1dqZmo1V194X1V6eEc3UVM5eHhpUm02OVhDVTBLX0hzRUVuVkFJZw?oc=5", "source": "ETV Bharat", "published": "2026-10-16 04:46", "score": 0.226, "label": "Positive"}, {"symbol": "MARKET", "title": "Sensex, Nifty erase early losses as IT stocks rally on Q2 results", "link": "https://news.google.com/rss/articles/CBMixwFBVV95cUxQZ1BFdjlmMS1tUWlWYlgxdWF4aVNSbU4zdV9TT3hGcDZZT0IyZVVsWUhmREowc3NOSFZrMnF5WEVJMjdwck1mWGdjWlViTExBWmpTcTc5LVp1czYtYjJhVmZGeHcwbDZBdjh1NVVMcm1NZm12X1NWeTNxVU02eldyd2ZOdFNlYUZOTl84bExtaVBaMUJBQzBYS3RJdjVzSlNqLW40Yk5qOVhvZHNGVGx2VVFnbUQzcGV1UFRXWTVmTm1Jc19lUnZZ0gHMAUFVX3lxTE9Vb29EOEQyckJjc0NwV0hMU2dObVQ5OE9reVVzRFJqZTJIVVdNNmI3LTJzNXBUOWVSYW0wMW1MbUFMTFJtYzFGNUdwckxXaUFrN2RLYUhudlFrMzBheEktNTZGRmdpUHFyLVJxR0ZydnVQdkhfZ2tudlRoUzBhd1pybnVwN194T2dMSk8wUzJheVZKUkNzcmRXU3laVVg5T1RIN3NuWUI0Ym56RjczUlo4T0pIV3ZEREJIVFBDRHE2bnRGZzA5M2I1S0lKTA?oc=5", "source": "India Today", "published": "2026-10-16 04:46", "score": 0.44, "label": "Positive"}, {"symbol": "MARKET", "title": "Sensex, Nifty Slip Despite Strong Asian Cues", "link": "https://news.google.com/rss/articles/CBMi1gFBVV95cUxQZGktWlprdnVRU216QktkSExNZmVSZzRWcjV4TnhZWmJQREJDODV0cXVYbHQzTlhYRV</t>
        </is>
      </c>
    </row>
    <row r="3">
      <c r="A3" t="inlineStr">
        <is>
          <t>gzQm1NRW8xNUNMWTZaN0ViQzZhaU13Q1VVTXZ3MUJFcndZTGoxWVNjM1FkckFiTGxvY2xXX2NIb0VqdWs1N19MT0VXdE1TQ3ppN2NfQ1VTQmgtMVc3M1V4VUtZQkcyZUF4NmM0ZFVwdnlFdGYtMGRlZGJZUUxDb1ZGcTBwYm1sN09oRlc1VTZjTFBYS2U2OXVZaU1HbzYxMlFqaVBB?oc=5", "source": "HDFC Sky", "published": "2026-10-16 04:36", "score": -0.223, "label": "Negative"}, {"symbol": "MARKET", "title": "Sensex Today Trades Higher | Nifty Above 23,000 | IT Stocks Shine", "link": "https://news.google.com/rss/articles/CBMiwAFBVV95cUxNbXlOYXBzNW1Yc1Q0WDE4em1VMjQ4Tkd5MnBMenpWY3c0eEpETHFjLXdwWnpCZlJUVTNvYU4yNlozeGJvMEVIcWZSc2Y1UWZjalcxdnJjRDRPUGpxSVVRcmQ5RWVaNkd3VEVTTGttbnlRd0I5Tk1wZjhlTWoyUkp5ZERTYV9UeEk5UjRmaEdha0RUSUJWSU9wZVdjYUJuQ3FGVjJnQ0NhQkl0MzBPS3lycVh1SlIxTXN3UGpQSWZmQ3c?oc=5", "source": "Equitymaster", "published": "2026-10-16 04:34", "score": 0.402, "label": "Positive"}, {"symbol": "MARKET", "title": "Sensex Today Trades Higher | Nifty Above 22,400 | TCS &amp; Infosys Top Gainers", "link": "https://news.google.com/rss/articles/CBMizAFBVV95cUxOQmRadHBDQ2twN1ZqZ08zZ3E3bUxLcDRlNXE5THhyMVdvdldjX2IzR2taazhhc2VGMjQwUEE3azBFUnpGQ3B4c09ha3U3Vm1KZzBJWUh6VWhCNWp3OHpkbjJ5YS16U3JCbWJXN1UxOEdYNnVKd1pDVDlaOHJjbDY2Sk9BdkFnandmMndzN2dZMC03Qzd5RFRTTEdUSXVFRF9HU1VwUFdUcDRka3JTOXZjamg2Mk9oTHJvTW5DM3Z5QlNnSDNqeHFueUk1V0o?oc=5", "source": "Equitymaster", "published": "2026-10-16 04:34", "score": 0.542, "label": "Positive"}, {"symbol": "MARKET", "title": "Stock market outlook today, 16 Oct: Sensex, Nifty prediction - DJIA, S&amp;P, NASDAQ, GIFT Nifty, Kospi, Nikkei, Taiwan cues", "link": "https://news.google.com/rss/articles/CBMihAJBVV95cUxNRXpHZ3doYXNTeF9qM3VvdXVqbHNIX3VfVGJoOFdkenk2WkRYZWxfdnc4RW1iRXZ0TlEwSUVYMndvSE5pNGVxcExQVFFjMzFpT3lXVlVGOThGVE9abnJpY0ZhSDAtd3hzRUE1NGtTN2llejRaajFfeWZLUHY4R1cxZGFSYUQyMW9Kd3BxS2ZjWW5aaExPT2FySzZROTJaR05hUDZSYVFlR294dVp6T295bHRrN1QtaHZybTZmRkRNcmxJNXJ6TVhBWjQ5dG1BRlJXR1ZoTmhRV3Zkak5qcmhDOW9uYTN5WnpQZnpOWmpPMFJ5bDlJSzE1SmtTLTVXQlB1STF5dNIBigJBVV95cUxPclAyUk55S1duaUUwWGo1VWhsTWJveG52amFVZWxGX1BvbmItSnFIUERkaGFLZjlILUxsNmZheWFyWDcxQWxZOVBmNXFYV0xRYTljZDlkTkpsbG4yNkhMNVpTanNYU01YU21YOGpQWTZJbnpsakN5TmdKX0x1ODdfR0dvWVlZVDFyd3I5M0ZBd0JyUi1DbW0zcDVhMk1hdGpDTXVCNUNESUVrSjdDcXJFRW9vRzNHODVXNGRCZ3M1Z0RlajhNVW1CUi1sbnZtbkozVl9tSUdDYnRwMmhoeTJUVzNyOEZvRTI1a0xERlBQckJta0FOWlNFSUxVSzE1MEpCUmRjc05hWkJUZw?oc=5", "source": "Livemint", "published": "2026-10-16 01:19", "score": 0.842, "label": "Positive"}, {"symbol": "MARKET", "title": "Sensex Today | Stock Market Live: Nifty nears 23,000, Sensex gains 1,200 pts; IT jumps 2%, auto gain", "link": "https://news.google.com/rss/articles/CBMixgFBVV95cUxPbzY2MUNzNm4ySVA1VWZlcW9Qb3UtczFGV1NuSnpWS0hGQUhtYVVCTlJrWmp2Z1FqOHFydkVNMkdMYTQzYnZZeFVPbDBnUWc2Um9WWWljT2pzZjJQN2hZRmZIazRnX1hUMWNRVUkyMmp4Q3E1ZWFES0RBWGIwTHNaRWRKekc1RlhxdGtTN0pXMDVFOVVub1Z1TFJfbFctTERZWFI1SVB6d1dfc09CeEFYbGtmZVBmRFNqVzJOamxPSTM2bzZLNUE?oc=5", "source": "IndiaIPO", "published": "2026-10-15 20:01", "score": 0.866, "label": "Positive"}, {"symbol": "MARKET", "title": "Closing Bell: Nifty at 23,000, Sensex zooms 1,534 pts; IT, auto, private banks shine", "link": "https://news.google.com/rss/articles/CBMiswFBVV95cUxPQTlzem0xU09vUnZuSXZwQXpvWWhGT0lHZmZsbXFVNE5xS0VQM01qRWxzaXd0VDRXaGZMMUlBOVdMVGhQNnktQVFzM2RUZnNkWFlfVXU0UFBySWIyZDVlUjJhTEd2VUd1U2tlaTEyTDJweEl2SW1KNG43SHFDNUd4Z0xabzBZOGNoSWpYcGdvdVBtQ2Z5MmY1SlRPX1R3V1NDT2JucUlrT09ZdzlLaDgzM1BZQQ?oc=5", "source": "IndiaIPO", "published": "2026-10-15 19:36", "score": 0.402, "label": "Positive"}, {"symbol": "ATHERENERG", "title": "Ather Energy ATHERENERG IRDAI Corporate Agent Licence Granted", "link": "https://news.google.com/rss/articles/CBMiyAFBVV95cUxObGRPTURtWEZkU0s2czN2TFowWVFOc1hvU3l0TEhWRVFuS1F3a2VmRW00MHlYX1dySnBKQzE0NkpEaGdiOGhSVEZrbTNhRlBseV9Lb204Q08tbWdFREhUUHRMZGdIU1h1RUNQNjN3TEdQN0VkZnhXTVB3MnBGbTFsUnY1QWN4ZndXYi1QN1AwcVJ3aVZnZkphNi1nbldxajJ6djZDbGZHYUxZS0FEdEVJWm8xSzVHOURpQWkwRHUxVTJpemhSOUc5aQ?oc=5", "source": "Kalkine India", "published": "2026-10-15 17:20", "score": 0.477, "label": "Positive"}, {"symbol": "E2E", "title": "Usha Martin receives upgraded ESG rating of 63 from NSE", "link": "https://news.google.com/rss/articles/CBMilwFBVV95cUxPaXNRdUVmSDVPY29LQVhFNXNScGNDV2cwOUd0VzNvXzdCZ1doV0hla003aWNHQ2hoVHZlSVlHUWVza0JxVnJPTEFRUW5OMFQteDNUcUpLTUgtcDJ4TXFvY25CQXFDTVZLZENzTjJTTDRiLVFLTzN4aDByYzZ6enZ3OHpqbFN5LWcyRlFOR3EwTGRuc2R5dTBv?oc=5", "source": "Business Upturn", "published": "2026-10-15 17:14", "score": 0.494, "label": "Positive"}, {"symbol": "MARKET", "title": "Nifty sees best day in 4 months, rally remains confined to largecap stocks", "link": "https://news.google.com/rss/articles/CBMi1gFBVV95cUxON0JlaTBlVXNKY09lczEyVEZodWJwcXRzdG0tQ21INVltWXh4UG1HbWJIaHNfVGJYZS10QVlrU2swUWdEOHB2T2dYNzZsNlhKYWFBY1BYbkdrZFVIdlF4cWdBVUFpTi0yU2FUY0dwTzdSbVZwM1dfSmJrSVRrcGxRc29WRTJwRDBOTC0yZ3Y1Xy1McFRZRVVQYlI1aFdCNDFKNFVNTzZOOWl0cXMtQTQtY0pUcVRNNzN0bXhZaHMyTm9rUkxieFVsNzRfdzFBOWloZjBzeWVB0gHbAUFVX3lxTFBIUTdUUHFVM1dZLXMyRVRtTTJsS0NjcVZtdm5TSVpFOVFvb28tNkR4dVVRMGJ4YWFTbGl1S1J4eFQwbktLZzJ6RHhpX0VEZmloYk41aElZZmpMWEhTZWp4TS1sa0Mydkc1RGptNjF3RnllQ3VSeFJVM0pkVlhlTGVlZ1dVYm1YZ085VHljSEVTcE5BVWVTVURLM2t4bWJad0dHSU8xX1hhNVQzajJyTUFMc0duUEdPN0owbE5ZTW1nS3p2UjIwdzNVWVhtQU9pdFJzM0x1SWJzRUVoQQ?oc=5", "source": "Business Standard", "published": "2026-10-15 14:37", "score": 0.872, "label": "Positive"}, {"symbol": "ATHERENERG", "title": "Why did September volumes diverge for two-wheeler makers (ATHERENERG), (TVSMOTOR) and (HEROMOTOCO)?", "link": "https://news.google.com/rss/articles/CBMi8wFBVV95cUxOZHBIMWpNRDkzNnJJVWEyNFQzbDRNNjhMejNYMzQ5U0JucHU1dEVfOGpfV2RGWU5LSEM3TnNGcFZCVllpWjlyUDNoX09uc3dWeVFBY1RtdU54Tks3bldVLXBOMTIyRjdPTEIxNEhHMXAtV3hRNkdOWnJldFVYcVJ1SkRTdGxBTlJCeFUxVDRBQW5OSTVGMnl4YlA1Z0tLY1pLWEM3LVlsaVd4b3BzcWRSc1ZadEk4V0xIamFxcTg5Y3pEMFd2SEFEUENWLXpPUlJNUkNDcjh1aWpZVVRsUVgxbEk5NDRkQ2c4MXB5anp5eXA0YmM?oc=5", "source": "Kalkine India", "published": "2026-10-15 13:24", "score": 0.0, "label": "Neutral"}, {"symbol": "AEROFLEX", "title": "Aeroflex Enterprises AEROENTER: Stilonn Valves Acquisition", "link": "https://news.google.com/rss/articles/CBMiyAFBVV95cUxQUl9Cb3RNa19ZSk1zX1ZuVUF3dktGdVFXYjBkbEVKajdjV1NyS2E4MHRkdVJieDZEeXRKNjhGSTE4b2l2WDBnamItM00wVTVTVzhmNF9PZXB4OUZjRExYQ1pWdmpFYzNwc2s3M3BwR1Y5MFhTRUlSdVB6a0lWWE83eVNKUDUyTU1fbXhqcHZjbkoycmpOd1RjU0JlSE05UV9wVEM1V1RZSFRxZ0xDcXBkemlITGVpTzYyTkJMTDEzSXhYZHVsak9ueQ?oc=5", "source": "Kalkine India", "published": "2026-10-15 12:55", "score": 0.0, "label": "Neutral"}, {"symbol": "MARKET", "title": "Sensex surges 2%; Nifty nears 23,000: What triggered the stock market rally?", "link": "https://news.google.com/rss/articles/CBMixAFBVV95cUxPT2Y3SjBjYjlrQjFWVFlKSm5Oamo1VWRCaGJPTFZCbU1tN05PX1YtY19iYTIyTkFoWmpEVE5fejRsaUx3cTVCcmZFLTAzSDRhWV9VdS1lbWlMd3Rqd1hFdmVRUTZ1dkhzSzZGcl9TdTBaTjNIdno2WWF3MGhPZk16QjNwWldyeDRlNkxscHJ0RlMwdHk4bjBKcGFidG05em1rZlhZX0lmalloMkdrTE5qUVJqZk84bDF4M1hKLUJXVi0tM3k10gHSAUFVX3lxTE1WTTJycjBnOUNmUS02eUU2d2JwaFl3dG1Jdk5vNVJEUG9MLWJJV2Z5YXlQY1FVR1h3a0FyVURRSnduWjMzUHFRbzAzTnpkUWJEM0pnWUpwbW1HS1IyM2pady1TLVhBaXpRSWFrb0d3UjVtRzNINDJfU0NGVjJkZllLeHRMcXBManFXZVNGcmF2c29paFNRYkU2a3piYzhyc1dDcUctSUVWMEtqUHhKYkhPTmJ1M0ZUbi0xdnJlWmlXdVoxcGRXWnRNb2dKeEdSNk9zZw?oc=5", "source": "DhanamOnline", "published": "2026-10-15 12:51", "score": 0.836, "label": "Positive"}, {"symbol": "MARKET", "title": "Sensex surges 1,534 points to three-week high as crude prices ease", "link": "https://news.google.com/rss/articles/CBMiuwFBVV95cUxQUW9VSFZpTmxaMmJkTTRPbV9rbWwwWEVGbDBmX2cwUVdOU0M5MDF0ZFgwRmNZdFg1b05ZRmpTSEVtZzlrdHBBNElVM1VOMlRNVzJnX3FlUE4yczNBNXhSc1k0alBuUWZWVm9WckZsMVVtNy1xa1ExN2NySDJ3bzdycEVYUUdXaGtwRFpFaV9fSU42eGtlanZCSlZQZVpYX3ZBSTl3MDd3UGtOOGdVdGFlbHZIN0xIcHR2MVVj0gHIAUFVX3lxTE1uNUhuSno4Ul9mMWZLelZZbFYtbVFxWGxKbmhiOGlrNEIzRWcyNzhqM2NwaDJMeEY4Z1dVbmFKQlFXck44UDFVNnhNMlVvQkxnb2pON0lqc2hqQWNDMDVCVmlreWF3WkppYlg5bVpQdGtHQ0lBQ2dycEZhU2tZamZnSFRyOGV0ekpua3Y1ZVdzYWMzRVdOTVp0RmtPWnN2Zm40STlnNXJ2NXhsM01rYWNVNzA4UW5udXJTa1NGM2FaM0c0RUhNczFL?oc=5", "source": "The New Indian Express", "published": "2026-10-15 11:43", "score": 0.421, "label": "Positive"}, {"symbol": "MARKET", "title": "Indian markets continue rally; Nifty and Sensex close 2% up as rupee strengthens", "link": "https://news.google.com/rss/articles/CBMi1AFBVV95cUxOeHUtRzN2UjV5YThrUUlsXzhqbTFLeDZxVjFnMVRScXhCQUlFUXZKekg2a2lweDBlSEE3TFhVaXdPMHllbmpCM1dIUVE4NUtSWGllTEI0bnp2dHdHaXNvajdxeWZETEpUNnJ0WlV2bVVfWk1paEFpYkNVZkxuVmdvLWxjSW43dDI1RlNuRE5sUWR2Tkw1RFhxTE5tbUFqd3c5MFN0ZnJNRUUtUXdQZ0wtNldySG5FVFVSTjNkNWVtZ1UwTlliaGZaekExcy1PaDlaVkhXdNIB2wFBVV95cUxPek8yeXhXRG81V0xWQmFWcERtS09uaEVWcmdLNmtERmNac2g0OWhsTWhsOUswaVdIanZKQVpNOHVRV00yLTVoTGxHME91Tnk1SlRVUVZZV2Y4MktFWHBJVmctcHhsQTVNcm9kQTEzN0xCZm9udnF4LXlGNXpValEzampRdENicVlmVGo5VE8zaWVMU1MwdndTMmFFckxFY3Q3OThjeWpnVG9VVU5OZEtONG0zQ0c2dDVITndBUEVqakM0RHFQNjg3RkNBVDZVYkdwcy00N1BuV3lmVmc?oc=5", "source": "The Hindu", "published": "2026-10-15 11:27", "score": 0.827, "label": "Positive"}, {"symbol": "MARKET", "title": "Sensex Rallies 1,534 Points, Nifty Nears 23,000", "link": "https://news.google.com/rss/articles/CBMigAJBVV95cUxPZm9OVkR1OGdhcTl5ZnZTbjhsUldMLTBnbER2QmpLZ0hIUXJ1SWpTSmlHcTRRSDJOYmJnUUVMa3o4a25hX2VpTENtVEVJT1ZUdmJqRUo5T3ZEZkkxYkpZWFRqTkl3QUw2Q1hUblJ0Mm51Ym5RdHlHZzBySHlrNXB3OHN6MWI0UjNhejVQRlBLN254b040b3NPazNMdmNRRE04NGFnM01LcEVFRExnZ3R4U0FkM2F6bXlXUGJ2Q01ONXdZbzZpbGdQVnY4YTNiN3QwQzJhYmFfOWhCN241NUhXSEs5MFJJM1JlTzhQVHYwM3pXSUVaS3ZCMUgzTUVvYzRI?oc=5", "source": "HDFC Sky", "published": "2026-10-15 11:23", "score": 0.691, "label": "Positive"}, {"symbol": "MARKET", "title": "Share Market Today: Nifty 50, Bank Nifty | Oct 15, 2026", "link": "https://news.google.com/rss/articles/CBMiugFBVV95cUxQMjVFMGk3RjFrUDBTa2xmazlBbFpJOXNhRGUwa3dHV21DTE5rVWFlb3BaWEZ4YjcxT25vUlY0Rm90TTVuU1FWdG9EeU42aTI0MjQ5M2FzbnVjRFBtTWZxM3QzaDBTMUdqdkR2eHAyZWoza2Z5Y1FYX3ZUdUJfcnJ5b2xjZ3dBc1hWZWN0Y3lfNFh1MEVVLUVkT2ZRdW8yeTd0bUs1OGdoeHZlYzNkcEhxLWVrTXh5RnJCU3c?oc=5", "source": "Liquide Blog", "published": "2026-10-15 11:21", "score": 0.66, "label": "Positive"}, {"symbol": "MARKET", "title": "Sensex Jumps 1,534 Pts, Nifty Surges on Banks, IT, Reliance", "link": "https://news.google.com/rss/articles/CBMirAFBVV95cUxNcHBsSmtUUC1IREJWVmRfMWlCSlktel9UMm1WX2pOS2R0dUlEVGdTNHJBbW1xcHRMdGhNMW42UEdyMVNqbGZvSUFkcWVVeXFHcUJELTU5c0JabUlMUWFsYVhlbmxMbTBwU1JzTU45T0FQQS00ZnRFVDBfVUROdUdqRGl1VnB0VVRWRTZzVWw2SnE4b19rcnkzZFQ4QURsWFN5Z3BGbWxqUmpMTWkw0gGyAUFVX3lxTFAwM3VHeDdVdk5GNEJwRm00RExhZTFFOTB2cE8xb2lmZm5KajNmNzJUQVk2R1dROHY2TWJSSlhpTU90cFdaODhZYWJvSm44SUtKMUtOUlZhWldaNjY4YVNXV0lFUnNvRkRLc1dkV2NGY1RmZmVuVEZSa3NRVERZQ0JEVFRNRFM0RG9vcWpBa1RJeDNIVDE4a3pNTG41elZvZjNUNlNxYnFkVmVjekppYV9QeHc?oc=5", "source": "Rediff MoneyWiz", "published": "2026-10-15 10:50", "score": 0.836, "label": "Positive"}, {"symbol": "E2E", "title": "E2E Rail Wins \u20b93.39 Crore Arbitration Award Against IRCON, With 17.25% Interest Payable on Late Payment", "link": "https://news.google.com/rss/articles/CBMi3gFBVV95cUxPLUh4eERJSmhiLU5temNBa3pVb3ZyVWVaTGliZjlpR0dyVnEwMlV5Y1phVE9sakdUV3JXVVdTV0phZ3dvdUc3VlFZbF83Q0Z6bkloSG5yejBXdEc4SG5wcThwdWtuall0czZFVG9tUkc3RlJyLWFla2VKZW9XeXY2bFY1bnE0SGU2NzJoVDI3aUxyck02M1I5emgzclJmWlljdzlYSlZFT2VHa0ZrVEF3Q21Xb1dmYWFERVlRc2FlNnNTOTdmLVBMYmVaVUNXNUU2Y0s0MjdBc1llZUxxc2c?oc=5", "source": "Trade Brains", "published": "2026-10-15 10:33", "score": 0.852, "label": "Positive"}, {"symbol": "MARKET", "title": "Sensex Today Rallies 1,534 Points | Nifty Above 22,950 | 3 Reasons Why Indian Share Markets Are Rising", "link": "https://news.google.com/rss/articles/CBMi8AFBVV95cUxPMTB3ci1XRHJzLTlSTWxBOFZQZWtSUWpSRjZMSEY5aGx1Q3poNmEwSW4tUXl5ejRIOGQwYTAxZ0gxaXIxX2RxSWZNYU5JbUozNjhDYmpCa0U1MHU4M0ExYmVQMWxmendZdW9pdy1TWERSNV9EVWQ2R1AzV3VBQ2QtRXZmcHpFRjRpVlV3b2RlYW1MczZ1OVM2SXZMR2NzY2d3UDRKcERGeXJudzVwZkhDY3M1anNtZ3J2VEMwVzNsM2F3TGVLQkpuaFh6dFprdmYwd3lUR2tKMXJ1dnhBVkZlUUNFU2lDOHJYVks2UmRJTk4?oc=5", "source": "Equitymaster", "published": "2026-10-15 10:27", "score": 0.691, "label": "Positive"}, {"symbol": "MARKET", "title": "Sensex jumps 1,534 points, Nifty surges to nearly 3-week high led by banks, Reliance, IT stocks", "link": "https://news.google.com/rss/articles/CBMixwFBVV95cUxPZlhMejYwVDNBRXAxV3JvXzNXQ2RSdC1wcm9BYUFkLXhMbXYxTFRXV1VGa0tlVkprcmNNRHc1YjlsZXM2MXRMTGZhZWlfV3BKbkdCeVVEUlI3Z0QwZkppaHF6RXozNlhUaFk5Y0lwUWEwR1M0RmJ1LU9zYzcwS1VnR2JNQkdPSjJlcGhqZzZ3bzYydHFMR3pFaTJZU0RJeDFvSlFPVmh4ZUhlNzNzT0RQcUFERC1PenJRTTdqYmVneVhKQjMwVUE00gHMAUFVX3lxTE9ZMTN2Q0hsZEhsbVZmOWlTV2U3MEVJMlBmUFI1UHduYUxGclh2VlhXcXNOZXNEMDJzQk8xUFN0ZW4zdmR4bEViZWFqMWp1SkRabjJYeEFEc2FEZE16WGg4cFRRX2J4M3RCb3U0ckhKbGxZU1huZV9EbjM0UzUyNHdxT0dDX1dwdnJWb1JYQVVTZHhIR1V6WDQ4LVctczFlMkVydGJYU1ozR0dHRVlRWGVidmFiaWpPMl93c1V3V3NvbWp4MnE0cXdtWkJ0YQ?oc=5", "source": "Telegraph India", "published": "2026-10-15 10:13", "score": 0.866, "label": "Positive"}, {"symbol": "MARKET", "title": "Sensex closes 1,500 points higher, Nifty nears 23,000; RIL up 4%", "link": "https://news.google.com/rss/articles/CBMi2AFBVV95cUxORkszMXYwLWxmZzlhNGc2bUlFdU1WYlFBckhlNTBqVmJlUmJQdk14cG5QcmExY2NGOV9QaFB5UDltVTFFcjZWNlR2dzFhc29DOE5ab3l3bWRwcWYxaU9NTVZ5MUJNbk0tWFhZQVhGcGFQN3ZpUEh3T3lLLTlPTTdzMGRaSDVPOUhNMlJfMjhhZVpTWFFsT2FkOW9vZW91dU9QN1phUHphRkVlUXpXaXBLWmhMWG5KcWZYWWtpVXJTb1UteUp3OUZ0VUNlTW9lV2NfNERsRjBoRWzSAd4BQVVfeXFMT3AyWUtudXBDYVZRVzF2b1VmclpVeHpPNHBXM1oyZzA4Y2NWRlg5YXg3dlVWM05TM2dpbHo1T2M4THIwUkZZMlQ4YW1NSGRSOTRVdTJkNWkzVnloZ0hMYlNoWXNXdEdpWDY3UmtQUkhKQ1NlaWRKdzZlZjJWRXR4M1luMGdFNjRFc3JqZExNd2NUaXdtSEh5VVhyT24zcWdqdldqM2ZrTUpiQnJ5dzBzanhRY0FuRkN3Ym5qQVdPS24wcTNCc2daWjRFdzkxQ09SWGc4eUpZTEVwUFZTTlh3?oc=5", "source": "India Today", "published": "2026-10-15 10:09", "score": 0.402, "label": "Positive"}, {"symbol": "AEROFLEX", "title": "In freefall! Yes Bank crashes 20% after SC ruling on AT-1 bond write-off", "link": "https://news.google.com/rss/articles/CBMi2AFBVV95cUxQTDJYdnRmcnVLUmh6aFF3S29hUEt5RDRBQlNrWmlheWkyZnZqQjV4MGUyQ3VlZ0xwQ0YxTVdnaVVocFdhYXdhaVVfQjk0TENuYmlUNkt6dWU0bGRSVGg5SEo0OUhhNzY5RElZa2JLR0JSTmV4ZzJZTm1jQ0hVLTNvdjgxUVFLNmJYeDFWNUR2VFJFMmcyVHdXWDZSdnFzd1BrUUt1WFVvLUhKNk1LTE1xa3loOXFVS3RITVlaZHRQT3ItNnY3MTZzOUJlUjZ4VzhqbldqNmRHak3SAdgBQVVfeXFMUEwyWHZ0ZnJ1S1JoemhRd0tvYVBLeUQ0QUJTa1ppYXlpMmZ2akI1eDBlMkN1ZWdMcENGMU1XZ2lVaHBXYWF3YWlVX0I5NExDbmJpVDZLenVlNGxkUlRoOUhKNDlIYTc2OURJWWtiS0dCUk5leGcyWU5tY0NIVS0zb3Y4MVFRSzZiWHgxVjVEdlRSRTJnMlR3V1g2UnZxc3dQa1FLdVhVby1ISjZNS0xNcWt5aDlxVUt0SE1ZWmR0UE9yLTZ2NzE2czlCZVI2eFc4am5XajZkR2pN?oc=5", "source": "Business Standard", "published": "2026-10-15 09:46", "score": 0.457, "label": "Positive"}, {"symbol": "AEROFLEX", "title": "Aeroflex Industries tanks 11% on huge volume; down 17% in 2 days", "link": "https://news.google.com/rss/articles/CBMixwFBVV95cUxPMEl3RzNwU0pEbUtjcEFlNUZJNmQ2NGx0QUpySmlvaHJZX1hkUkM0dWlieF9oWC1hWUtnSjE3U3JsV0luUVFaRmRYVTRBMExfWHFfRy1EaDJpd3NhUjJrcGhIVjVEaXZ4SEphOFpPMjBQdFlmNzBfbWEzanZNUTg4VzJfemVLdmFkOU9kRG1kSWx5ejloRzJ0V21EUG9CTFYxX0x0NnNRSHZRbHJxUkgtd2FtSjR5VFZLUV9oUDlwbXUzZGxJbjgw0gHMAUFVX3lxTE1Xb2hmQWlnSUxwMmxod21BR1JTZTlQbUh1VXJTQl9fRFFrV2M0a2VndC0xS2xpUFI5X2pqVUFSQzFGRFBaYS1ZRUZuNEJITXp1M2VzNDJrdldwSm16TGpwdmhidnFoZVVNTS1rNnROY0RwUmYxZi1Ga3NoRmtNZ3ZfeHBhUzNsaHlTNW92QWFWLVZwTENRNzFkcnBTOVZyTUtBUlh5NkM5MEdWanVpV3BleWdCdE85dThOdnJTZVFsOFdwMlpvLWotdGxOMQ?oc=5", "source": "Business Standard", "published": "2026-10-15 09:30", "score": -0.226, "label": "Negative"}, {"symbol": "MARKET", "title": "Big surge! Early Diwali for Sensex, Nifty as stock market skyrockets on Reliance Jio IPO, IT shares jump - More to come?", "link": "https://news.google.com/rss/articles/CBMikgJBVV95cUxONjY1R2RIb0ZfUWhwV3NLUGNrZmNjbTRRZTh0cTlacmRDT3p0YzRIaEg2b2lKb0JrR1JqcjFSQXJQY29RVHhCM21xaFR5alU4bUpnbHRXNllaXzl6d1RxMW00TENmMk5hWDlZRnUyRi1uNkx1X3JTVThiUWZiY3N2UmNSRDJBUmlnRE9JNDN3ZTd6eHBfYVdkb0d2MGtxSWh3eldxWm1rMkhua0NEQXZQRHBac2IwUUYzMlBROUdXMWJYWWM3cThLb0Z0TzBOdlBWNlVOcHd2YjZpb3dxZmM2X0xPR0tNbTZLaWxpeVJfSV9JcGk1anhaZ0VUbWpEZXFaYUhOQmNRc3NleTEyS1hsNlZ30gGXAkFVX3lxTE0wUS04aE9FN21Ld2Yxa1F5dmFEMWtDME5RMDMxZDIzVXBoM3NkdWlPdEpxbkktX2NtMlR6RWFlNkJCNFpsQzQ2a09WZW1lcUdHMTE4djZ4VGpmRlppd1I0NzNnQzZqQTUxTTF6UkdjMGc4RWhWOVVOTmZvcDJNWTJvcVd4MUhKTmYzVExxSzY4VVFpQnUtZ2RfYllCU0w1ZFhsdlMxcG1qNzVXQWhHNDR2d213S1hOOXZ6MllPaFUwMFVYTEFkV3UyQmtwbThZNDZBdThVNWFxeV9jb1kzOThFREYydDhSaWoxYlhkaU5qWERzdW9IbWFEUUxTSDliUkxWaGxkVEc5WWNnaE1ZLVRZQjNKdFdBVQ?oc=5", "source": "Livemint", "published": "2026-10-15 09:10", "score": 0.84, "label": "Positive"}, {"symbol": "MARKET", "title": "Sensex jumps over 1,500 points: 5 reasons why the stock market is rising today", "link": "https://news.google.com/rss/articles/CBMiwwFBVV95cUxPeFMzaHg4dlhjYTJLX1hod2FPQXIwSG5WVHJRYVJyOWExWHNlYXZONExLTG9hOE80M1VNU25LdThoX0IwSk9lTkVPem5zS3U0OE1NVTk0SVp1UHV5SXc3X0ZMLTlPN21NUjZMXzV4RWplc19FekVQcFpqTGFYemJ1WjRSSG5BTkFWT1JZeEhFREVfZjViUU1yOGNpZHA5TERPRFNZM1lReEZfX1M1bEhCSlQ4eG1WbXczR1hTR2Y4cTZURDjSAcgBQVVfeXFMTUlYcUVaSGhTQTJyd09RMHhQSWdjRW9MSE4wYnVBSENNeVVtbkprWXpDR1ZMNjg0Tkpsc2V2eHFxRkhuUlo3aG5CajMzQ0ZzdzVadXl1RndWTU1YVlhHaE1fUFJPbTFhZzFzRWZkOWRYMkN2UnBxUkhFX0RrWG51eXo2MW5NTElLVnR3Tl9JQXlXQ0Z5V0k3NTFCeFRWOV9nZnhlWVhxNGlMTkJCbzctZnN1NEV5LW44M191eHktakJtOVlnbjRtRlg?oc=5", "source": "Firstpost", "published": "2026-10-15 08:57", "score": 0.459, "label": "Positive"}, {"symbol": "MARKET", "title": "Stock Market Outlook Today 15 Oct: Sensex, Nifty Levels", "link": "https://news.google.com/rss/articles/CBMiwgFBVV95cUxObHlpWmRvcGozN25zX1ZGcy03NDVXeTJNNjdPT1hvdnFYaWpNYjZvVnZlZEdHLVEzRjJYdUZNbFdraU9yeFRyVzctTVlEb3hOOV9PTWY4UXdGZ2ZPTG5SZS1waVpXOGFoTnlfMVZ4cXBsRTFSMDFHMjBINEpUcEFXWmZaQVRqZUFUVk1MS192R2owa0VpWXBVU2c2cHlfV1lKSTJRWGhkd3NuYTUyS2xnaE9BZU5SOVEwb1Q3b3h1aDc0Zw?oc=5", "source": "Univest", "published": "2026-10-15 08:27", "score": 0.402, "label": "Positive"}, {"symbol": "MARKET", "title": "Sensex surges 1,500 points, Nifty reclaims 23,000 after 12 sessions as IT, banks lead rally", "link": "https://news.google.com/rss/articles/CBMiywFBVV95cUxPT3BfYnNGaVNjLWcyUjlHalVoQ3NuUEkxeWlvWmNzcGNWVlNBM2tDNkF3SXFrclVIZ1BsOS14ODNuc3h2di11Qmo1dkt0U1RYNElQQklPdDh1OXFVVHlHeFdDSFQ5MWR5dFRKQjBiUThWRDdTcXlfcDJFekU5Q0FlWExKemlNbjFlTVNGRjA2TTZPQ1JlbnAtSzRYLXFfRlRQOTJCaV9BMENiaFd3UElDVXBpNGpIWjVVY2RlTmZpNlpmZTFKZzBVM1dsQdIB2AFBVV95cUxQaTQ1TDNVR2dYV1VWZ2lxMXR2ZFBFdGNMWHNPS1NFVWJjVXplNUIzYWdGcV9vaC05ckhHSnBuUi1DUFQ0VnlKWWFQbFd3ZDdTN1NfVjUzQ1p4ekNsV21Hc09FSl8xRXlaOS1Pdm9TQ3g0azRIYmR4dnYxVTdvQzBZTzdxdkN5eDViRlR0RVZ2ZWg4VzhFM0JJSWtsNFVDaFpvYnM4NHZTOTVLSlB0NWdxY1g2eV9XeFQtRkVMY25xRmFOREVuOGZfYW1HQ0Z3YUcyQnRuY1dEY3M?oc=5", "source": "Fortune India", "published": "2026-10-15 08:24", "score": 0.836, "label": "Positive"}, {"symbol": "MARKET", "title": "Stock Market Rally: Sensex Jumps 1400 Points, Nifty Reclaims 23000 - Key Reasons Behind Surge", "link": "https://news.google.com/rss/articles/CBMikAFBVV95cUxOY2lNbFRzR2RYd3U4TF9SZjNxTFRrR0kzNzRpX0ZzYy1zOEtIX3BuWm1qSXpiV0lvUk9fOG5BSC03WUNKOEZ1VnYxY1pXUFFsY0N1dWdwTURMcWpVUElVUGVaZ0U3cXRaSnJnSWZ3TE56TG1wUlZHa0xfWERGNU1XMlJEZkFhNXBVTW51dVk3NTfSAZ4BQVVfeXFMUFgzNTlSemFNdWZudXBFblREZGFBLUduSjFnTlZxQ0l6QXZxQVNhNVU0cW5ta2MwSnJZakZmN0UwdmlLc05nMmdHZFZPeV8zaExVRmdKajF5RDVSRGtaQ09OMlk1dHpMMlk0MUY0cUlCcjNSZTN3YVdLek5uZkpzRjVJNWdhRkF2NTdta2RURC1LYm1fQjZ3MzNwTEtGTGc?oc=5", "source": "Outlook Money", "published": "2026-10-15 07:39", "score": 0.898, "label": "Positive"}, {"symbol": "AEROFLEX", "title": "Aeroflex Industries Share Price Falls Sharply", "link": "https://news.google.com/rss/articles/CBMizgFBVV95cUxObkhsaGF3TGc0N0xmWkFBR3NVXzhhWGtpZzhBV1BJSUNTOEh1Q25QRTl0VktjR1I1a0hPQ0NKMGk2dXRfeXNQNldvZVdSX1FWbU9WRzZMVEdUM2ZKZ2lMbk0wYk1JVDRuMzBrRTBrQno2WWhmMzc1Z1JCWl95RUdIallIZW5CdC13dm82X0pSYUhkUldRUTRLNjhpRTc5R1VCV242SU50TUNLai1wWTlXaFl0M3ZzZ0d2UEdHNXZEZ2dCSFpqU3pBdkpTdjI5UQ?oc=5", "source": "Kalkine India", "published": "2026-10-15 07:12", "score": -0.382, "label": "Negative"}, {"symbol": "MARKET", "title": "Stock markets rebound sharply in early trade led by IT firms", "link": "https://news.google.com/rss/articles/CBMixgFBVV95cUxQVklkVnhtd3RGVXdINGo5LXdlV3c4WF9SREtLN0FkbUtmSWFXd2FqakRhT3RoT3YyQ3dVUGNfYVFkNEJXbFcxaFZIakhlRnUycllaYVZnd1AyT3VHNV95c1VCLU1XczRfSmxCUDNDYnVaWFBUcEZGRWpHYXJoOVl1bUpabTBFTE1iSFNldlEyOEpSRnMwOFhDZWloLVRHcVlzekhxVVd5dmFXdDZVdmw3eHRpamphRmJMeE16bEJRZ0pqVmlDekHSAcYBQVVfeXFMUFZJZFZ4bXd0RlV3SDRqOS13ZVd3OFhfUkRLSzdBZG1LZklhV3dhampEYU90aE92MkN3VVBjX2FRZDRCV2xXMWhWSGpIZUZ1MnJZWmFWZ3dQMk91RzVfeXNVQi1NV3M0X0psQlAzQ2J1WlhQVHBGRkVqR2FyaDlZdW1KWm0wRUxNYkhTZXZRMjhKUkZzMDhYQ2VpaC1UR3FZc3pIcVVXeXZhV3Q2VXZsN3h0aWpqYUZiTHhNemxCUWdKalZpQ3pB?oc=5", "source": "The Hindu", "published": "2026-10-15 06:28", "score": 0.0, "label": "Neutral"}, {"symbol": "MARKET", "title": "SENSEX zooms over 1,246 points, NIFTY50 tops 22,983 amid global market rout; here is why", "link": "https://news.google.com/rss/articles/CBMi3wFBVV95cUxNMURVNFp2b0xHSkdLWFBsbDZwNFVvYW5CNWlUc3ZRMGVvQ3lSaG1FNGNadVpsakdqd3ZKTllvVXZHX1pMQURNQ0gybm4xMmkzZm1zQ2I4d0Z1S3ZtWWVmTGI5NzJrMzQwcU9ORkZ5bVdtT2JXbmxLcmhYdWhKbHhFVzd6cmJVY1JZWEhoSy1yd09IMzcyc3JnU0lRdHo5TTQtblR6cXdXSG1WVEdBWHdaUEhiYUNaZWZJQWVCQl9XNklBWmR1ZTFldE9LbXlsY2JaQU1RRngxc2h5T1Y1eW44?oc=5", "source": "Upstox", "published": "2026-10-15 06:15", "score": 0.511, "label": "Positive"}, {"symbol": "MARKET", "title": "Bulls strike! Sensex zooms 1,500 pts intraday, Nifty tops 23k; key reasons", "link": "https://news.google.com/rss/articles/CBMi1gFBVV95cUxOS0k0bTM5NFZad2xtMkt1dnkzcTdTRFBZd0o5Q3pKRUhJQjlORl9pNExGbHd1dUc0U1BySVNnZVROSm9JRC1ESy1aOXpadmwtWUdWRkpMelJLbW56WTFvQWU3bzljNU5yWG9pRnhVQVU3Z2t2X01YYjdYYlRtZGF5dHpuc1F5RG1BN2gxZ2d4aFV0WW5hQ3lpZVdBQzZoaHNJOHhXTFJxeDZNRWR2WnJyTi02OVdxenhkVndKbGY2R1NYWklCbUtVWVNvOFlmTk02ZGZsV1ln0gHbAUFVX3lxTE1peWJoVFRsQ3pSN1lLcVktcTZvZEZ3NUJURDNVRWI3a2V5cXQxTzVMMlNGdW9KcE9YdEVDdlJWLS16QjAycm5GU1lZOXFqTE55SEMwSmpQcWhmSDhabl9EaHRoUWlTYldsNHBoVzFwTWM4SkdPYmNpY1JwWGF3ZTRFTGxPQzV3WWY0R3U3cWE3dzlxdVh0LTZJejdjcDZHd0dYSXpkZUR0MmxmREFhTWxfNEJ3aTNfcjh2UGhCUW1wY0lmZGtZcjJHc2lTWUpfNXdjWGhRLU1DZXpWSQ?oc=5", "source": "Business Standard", "published": "2026-10-15 05:42", "score": 0.7, "label": "Positive"}, {"symbol": "RRKABEL", "title": "What Comes Next For R R Kabel After A 82% Gain", "link": "https://news.google.com/rss/articles/CBMiwwFBVV95cUxNS3RENk9ydGwzRWRfRmIyUWhZYzFIQUxYcGhCVTNkSzNWTENuSi1TQ3psbnBNdzhQUHVSQzY1cVh5bjA3eDVuTVhhd0pGcjYzMkViak4tUm1nalBQa0o0cEhhZmRjclFsZEhlTnB3YzRYSVY4UUdCVGxUVGRLeDc5b3BvMGVXR3dMenlDNUFPSWE5TU9rWlB6bk5zSXpMeUlQLTJxMmNVM2ZpU0pzN2ZTbi1xWUN5R3FUbmVVc3pMdzNiQ2vSAcgBQVVfeXFMT3hncXRoRGE5aWgwejBYOVFrVXVBWFRTa09kMm5GT3hlQl9vc01XamZHd2dkTHFia1ZtVVkyMldBYkx3SGFHa1RYb09lQVdlM2kzeGRFcXJwSlAxQVRGdHprYTQ2VGwtWG1RcUVlakd1eXlseVhRcDRyUERkZ3Y0ZFF5cUE2eUJQdGd0S0ZzV1VoRjVUQjR3dl9ES3UyZjItaVpzRm93VG41MXpkM1dxa0Q0cF9tWnN4bE1tbVhscGFHallNZ3Z6Mm8?oc=5", "source": "Simply Wall Street", "published": "2026-10-15 05:40", "score": 0.34, "label": "Positive"}, {"symbol": "MARKET", "title": "Three Reasons Why Markets Are Rising Today: Sensex Spikes 1,300 Points, Nifty Eyes 23,000", "link": "https://news.google.com/rss/articles/CBMiywFBVV95cUxNbjF6YjdxVkp6NGJLQWZyTUxXQkFoX2IwVHZYTHBEMnVtV0QzMF8zSGVjMG9tckh4OFZCaktJMlpkWERWWEYyUmhEN3M5T2Q3MGZqRHN1RjVhOXlBWXJqTzRSS1owVFB4dW5xT25kRFRrSHVORjZBQTUwaFphVWxxOHJQRmRhcGhqME1jcG16cHlWLXdQNnZzbUd6UkMwSlE2Z2hFOHBzUUppZ1loQk96Tnh1dFFnM1puanJMbGtMWXZWS0Ftb3dKOUJNd9IB0wFBVV95cUxNNGo1RUxudFZNLUdYX2MzUTQ0cTlFeVp0Yzc2RFVoVlkyc3FNR2MzWE9lWm9BZGl3UEtxS3Z3bVJZVnhmSVhlTFdwWlh1b3pFWS10anpoQmQtZnVLSXlEV1E4d3BZNk5wajF2TWdSX3VxUUV5LTNROVFkX0dLa2trMDFHTVdZMUkyN2RiMTROV21ZY19BUVhORkdudVh0RllqOXEwTmVEMGs1S191OUJqM2ZqTXNickFSclE0cUwwUnhwWVp4WTRUY1g1LUE2ekw5WDBB?oc=5", "source": "NDTV Profit", "published": "2026-10-15 05:38", "score": 0.402, "label": "Positive"}, {"symbol": "MARKET", "title": "Sensex, Nifty Jump at Open; Oil Eases, Jio IPO Lifts Mood", "link": "https://news.google.com/rss/articles/CBMitgFBVV95cUxNUUlsUXRiRmpfUlFoSkh6ZWkzcER5NUZFYXQzVkl6bTZDUXBCUWJvSHBxVzFVS0RNMGxSRWV3ZjdKdmVoV200cElONEF1QmJVSUx2SUMta3FQYzRvOUpTc3d6Ykl6ZUdvSkhDckZUMk1ZZjdOX0hfemRIRjdvOWRiRGpOS2NkZnB4bGxYZDlHZDBaRXRSV0NrM2NQelh0M0cyVWdWZlRoNEFkYXVoSWJuNlNpb2NyQQ?oc=5", "source": "HDFC Sky", "published": "2026-10-15 05:33", "score": 0.778, "label": "Positive"}, {"symbol": "MARKET", "title": "Stock Markets Today: Sensex Surges Over 900 points, Nifty above 22,850", "link": "https://news.google.com/rss/articles/CBMizgFBVV95cUxOcTZTWDdQQ3BiUzdZaWEyLWIwRGIwLUV1dl96azJFVUMtR2szRlRjaXJ1dlduX0VEbUtuNnJscHFrR2hybnBNbWpRU05QMkp3TS1yTG1oRFpEOWlkbUVvckExTmRNWXBPbGpWU0dsVzMydC1Xb3BSRmNScXlXWUM3MEViWHU3ZGVnVFFzckVnX1VYck9PWDg5VGV0em9UYjYyb1pCN1V5Rm04b2ZBUThJcVJ3bTFkRDVpQ1FIMm01Rm15NWxlaE11OXp5RDNoUdIB0AFBVV95cUxNb1NfbWhzZUE2RTVWdXNBcldQbUtaNFZpVkVReExkQ0NHRUJ4MHFCeF8zWEdYeVl1RzRWb3lOM2xQSjBoUTcxRXBMUng3QmtybzhyWGlsQVVBNkl6TXdnZ0o0S2F6bXlTaGNUOFR0c2tCTWQtMlNOZHhnemR1OVQ3Z09sTFgxMkdVYzFQOFNxTjVMMFlCS0FyemR4czRLWTN5eWxSdzh0cTVkc0JJYnVXanJLeVctaXA1a2pKcWNxQTkzdG5INkFvaTlrb0Jka1By?oc=5", "source": "Rediff", "published": "2026-10-15 05:04", "score": 0.71, "label": "Positive"}, {"symbol": "MARKET", "title": "Sensex jumped 1,500 points despite global sell-off: Why markets rose today?", "link": "https://news.google.com/rss/articles/CBMi8AFBVV95cUxQbm5sZlFwaFZURFlJRExscDg3NmVFTVFBRWlGMXRiblFqX25DQmh0YlJHT2p1S282Ny1YR2JXWXgxaVQ3THNSOUhITTdsbFBaeUpBMEFlQ1JXOHF0LW51ZXBsNW9sckNOYk5EX2xQRkFSVDdpekI5T1pfM3pjd05Hdm9yejJfekNwODVQVnBaSnJBZk1fVzhoQUZXTmozbmd3Q21SSFo0NDBNMXBIcXN2UTlGakt4TjBSM00xeXZSSkxDUFVqc2RuRUdKN2RCR1d1UFFYa19sWV9yX0xMUzFJejBMVGVxR2hzY0I0UVl1UjTSAfYBQVVfeXFMTnpmY05OXzl1a0dYUV9OLVNaa3NlejBIdktNR19rT1A2TFU4TlJxb0dHbzF2Yk1YYjg4QU1HcVNzS3pQN0pSaW5JcEN6QXFBaTdyVmx1M01jLXgtNnZla3pEc1d2WC0yN25pZzZCN0FobWFILWRoRUtONHFHLXBudEZaRzV6WkFJeWxXbmJ2UzY0ejRvRzIwalY1U0h6a3ZDTlEzWUdRejhweENwQ0VCTHFPS2dzVGZIM3ZPQ0lieGlkYnBhU05nQUJFSmh0UGVibDNhZG9Lakc3cEVab09uQ3BVZk9UV2hheTlSakRxSUs5eGctNlZ3?oc=5", "source": "India Today", "published": "2026-10-15 05:02", "score": 0.0, "label": "Neutral"}, {"symbol": "MARKET", "title": "Bulls Return To Dalal Street! Stock Markets Rise as Sensex, Nifty Skyrocket; IT Stocks Rally", "link": "https://news.google.com/rss/articles/CBMixgFBVV95cUxOd2ZMT2dFdlJ4QnNUY2YwMzA0cS1lWlFYZ1dtaHBEalp4SkN1bThNM2k1ZnNxS2hOUWRQWjRuR292Mm5vSGFScFFQTVZQUlhvMFc3Vm92N0s0aDBrUzhabXlISEJOWDhHcm1oWkw0WEtfNU9RZkt4aUpMZXB3My1PNXRTRGpObVJEMzZOd2dfMWlfWW5jVV9WYkhoUUxCS2xuSmc5SmhQYTVNY21HT2VMNFZWR1ZCQnA5YVktU3hYaW5SUjhqUVHSAcsBQVVfeXFMUFN2VE5aMDZMajgzUXF2X2luaTFEdlZCa3JhZkV1X1NRVWxIYVBwV09hWTJTUWRURkhOTXNNY0FpTHN0cDRqeElKNE8zUmhLZ3lsWWFpOVVIR0V3MGRTbjhYd2pId21VNEJnUnhBZkp6ZzlEY1Fwbjh3NTlBeUkxVUdpMnQyejVoSVlnWTAxREVSWDRVdTZLSFdPbTRWc0VPZTVQU2xsaVNqZS1KcXZQeXRESWp6UjJuSU5yeHAxRlQ2cXBtVFROMzRRRUE?oc=5", "source": "ETV Bharat", "published": "2026-10-15 04:59", "score": 0.718, "label": "Positive"}, {"symbol": "MARKET", "title": "Stock Markets Rebound: IT Firms Lead, Crude Prices Ease", "link": "https://news.google.com/rss/articles/CBMiqAFBVV95cUxNeUl5MlhzYklZYTdoQXhJRTRxaEtCSXF6bXllRVZrZ0g3UE1URi1UY0pWTEhKdFBVZ19VdGVXRl8tcnJjOXBaTWE1b25XOW96LTlEZVZLYWZ4eEhXQUh4eVV6T1hsUUhLbkVwNlNHT3dfaVNVUXo5bjlDR1NKWE51OG04WFQwNGtYZUh6OFI3dWpUbFhoZW1CQ1J0SVFLR1BhajJYdmtmU3HSAa4BQVVfeXFMTlNycjlNTmFsLXc2VVBLaGVoNzVKRFlzZnRud3JoSXlaRWhuTnctdUZqS29hSDB1UC13RTUxR2ZzcGtHVllaVW14Wk13UVZVVmx2bTlqRVBRcWR3VHFTZFFLRWNMM0lKOTkxNGxPR1hzMk5oYmhJZEJRWU54MHA5N3ctN20xclJRUUZqMTVFekQ1OFV5YXhLTnd6ZWViZ3JlMkdZZXdxWkswa0swYzB3?oc=5", "source": "Rediff MoneyWiz", "published": "2026-10-15 04:44", "score": -0.296, "label": "Negative"}, {"symbol": "MARKET", "title": "Sensex Today Trades Higher | Nifty Above 22,650 | Tata Tech Rallies 7%", "link": "https://news.google.com/rss/articles/CBMixgFBVV95cUxNUVdZRlFHb1VXYy1sMG9YT1lndTJqS21mSTFKbTlzSUNGQURXV0tGbmxYSTNfVkJvYVRWSVVEX1l2MV8xbHlCVFNyeDFTQVh6WldVeGt3dUZobXRack5jRndHMWtmMERQc0NnZjc5NkZEVF9WSzhscFNSb2NQdzk1TU1tbjFyTmhacUdURWl3ZnRMT3lLNjY2YXdKWXlJa1NvWWNTSkU4TWV6aC04RXQ4Wm52R0lGTUkza3YtdjhHMGZDMVNlRFE?oc=5", "source": "Equitymaster", "published": "2026-10-15 04:37", "score": 0.691, "label": "Positive"}, {"symbol": "MARKET", "title": "Why is stock market up today? Sensex jumps 1,534 points, Nifty ends at 22,997 - Top 3 reasons explained", "link": "https://news.google.com/rss/articles/CBMi-AFBVV95cUxQblA3NmloLThJMUN0dFg3X1lJOXFTbmZaUnd3bV9CT2dyZHNNc3JsMnhIQkJqNnItU3p5dDBSQ1Itc3hfN3BUOGVUN2dqR3cxZ3ZoQUVvekNacm9qZ3llcG5sTk8xaGxXVmlPRHdUUUZEczJkUXI0STZZa1FGTWh3UkRxTVNLXzRPVGthWHVsZkNHMjR4cWJmbDh1TDRHUUVQaUg1b0dJTG9EdnZxOE8xWGNhT0ZHS2lSS0wtQTRMY1dRUWVoSWVNZ1I3cVJkU2IyaHFlWlRhUVBIMFJPZDZKYk4yaU9oQUI0ZmFIMGplTVlhbUcwRkJXd9IB_gFBVV95cUxQVUpDZVJxVzVmeFBaSDFHSHozZkFXOGFKQWtEUnkzbnR3M0FiQWlGc3l6dlBSM1h2X2hHLXRBMEtIa0M4NjdITWtTQW8xMjJlVHF4bDlIUGV3UDNzdXhkV3h4TXdMNGM4emdaczFjT3R2ZXZReENCR20tZlltZ1VwTF9vTzBka0RhQmYwMTVRNGJ4a1gwX01vQTJyemhPYldyYVlheWJYbVhqOUFoX0tJMjdTaUU1QUNsd0ptLUNFWEh1N1lwcTducGZXS3AwWXJYTnZvd0MyX1oxdnU1aXRnNHFjMXFRQ3EwVXd2dUNPU3AxNzhsR0sxNXRJVXZPUQ?oc=5", "source": "Livemint", "published": "2026-10-15 04:33", "score": 0.758, "label": "Positive"}, {"symbol": "MARKET", "title": "Sensex on fire! 1,500-point rally puts bulls back in the driver\u2019s seat. What just happened?", "link": "https://news.google.com/rss/articles/CBMiiAJBVV95cUxQT3N1ZXZHdU5QWlBFZVNaY2RqZzJyd3loeEhsenZyMzZSSC1yOV9lWnhJRDBJYVBISXhPSUI2R1NPUm4zVy1NQ3pvd19qRXBhZV8yRThkOWJfZi12bmlkbkhrbkJGYTJXdldLQVNuam52M2tidkg4SF94X0J4dl8zZ2lrN05jT3YtMDlRWWRic1dhQVVmNVBDWUtyeFAteml5Tk0yNzFGMm14T1ZsT0d6TF9LMnlXYkpjUGhBRk9NRWNfczhTYUNYY2NuWGlNNTBlRVFpSVBXTTl4NEJPSkFlRHJaaGFqc21RWlBGdFg2VTZWeXpLang1dWhUUVV2UE1JRFQ1THBOUHfSAY4CQVVfeXFMTnZLQ2VxWWhNYktRNTRkTThiTWVDZ1FWSVBKUHdNdVZsdHExY2tEUUZBRGdXY01keXdwMTFEV05oamY0VXptU2ItcGFUamsyQnV1MjZ2ak9lOHhMbFNnbFNvQjk3aFFraFRuR09kOHYzY3BuQWJSWFB2WmE4cUVNdWhxbVRMNTBqcUg2VV9QZHkwMkt2QVpMcncwaE1BdXd0N09UYjZQX080YWhha094b2owb3doYUZxOEpqMVNjOEFFM3psVTUtVkMxQ3F3ZllOVGtnNTdwNjVadE5idWxvQUV6WHRzS1RQWFlsc3FlbXpZQ1dBX3paX1NjZndYTDZ0blB3VWdiZGxqUk1iWnJB?oc=5", "source": "The Economic Times", "published": "2026-10-15 04:29", "score": 0.224, "label": "Positive"}, {"symbol": "MARKET", "title": "Stock markets rebound in early trade on IT rally, fall in crude oil prices; Sensex jumps 354 points, Nifty reclaims 22,700", "link": "https://news.google.com/rss/articles/CBMixwFBVV95cUxNTy1hS0lPUzN3WnBCRGRaaDVyQl9idzFHWmhPMk03QUdHeDZiWWQ3QkFoM0NUVVl1MWdfb1FldVM3SjVCWVdoOEp4LUpQbEx0QXRQQ3BScnU5Tk1</t>
        </is>
      </c>
    </row>
    <row r="4">
      <c r="A4" t="inlineStr">
        <is>
          <t>xbWpYeEtVQU1kb3AwdzFPWUZhMTJocjhQTm5wdVRWSktjNGdsQmN5ZVdRYTN6Z243U2IxSTlfSVI5VU9ia3B6SWJMcHU3WVU0WTU2aUYwMVZhMWlNZ3RUR1dteXd5TkxnMXVMVWRTdWNvWkln0gHMAUFVX3lxTE96ckF6OGJQN0F0QXdyNUJycENHR0lYLXRXOG1VVWRrVWt5WUJpeEtQdktTem93R1A2REJZNGhJeEVIVHpYczZYcUZYWF84THBkcWdxUF9sYVRmTnJ0ZDJhelM1M0dpTy1Oc1F1MjhZd1hjeE5jaFZZQW04aWZsN3A1cDZYNG5aTVhNY1QwSVhITGxQdHEzOWl3X2l2VzdGUU10T1pwTUhwLUdXNzhsb2oxWHAxMEdsZ0ZGdXpFVHZuOFJwQzZyQWZlY1p3UA?oc=5", "source": "Telegraph India", "published": "2026-10-15 04:29", "score": 0.382, "label": "Positive"}, {"symbol": "MARKET", "title": "SENSEX surges over 900 points, NIFTY50 above 22,900; Here are key things to know", "link": "https://news.google.com/rss/articles/CBMi1gFBVV95cUxQbFVhZU54NllKZVVab0RTV0toUFhWeVcwWlVyX2F4MDE3V3ZNRS1zMTdzZ3RnTWZPbGdmMHVGY3VlVXBLLW9MaF9xYmhxMzVORWZFbTYydEhUQmd2NDVQOG1LU0h6UkNEYW1BbnUyUFk3cHBwbWVDMjZDODJFTnVLVHk3d0hHQmZvemVLSUFmQjZiaXpXVm5sQ3pHVU1DOFFuY1VoT1dDLU1KTWxnX3JSQnIxTXI0Ml9NSF90aHphVVdXRnliTWRoM0Y0Rm1PTFRtdTdMNFBR?oc=5", "source": "Upstox", "published": "2026-10-15 03:56", "score": 0.494, "label": "Positive"}, {"symbol": "MARKET", "title": "Sensex, Nifty open higher as IT stocks rally, US inflation concerns cap gains", "link": "https://news.google.com/rss/articles/CBMi6gFBVV95cUxPLUZTTjlfamdaQUNVYkJoQ3ZMN3hPZU9rRHZ6WVJjaHZIeW92ZUI3dFkyT1dhU29TNVF2VXRlYkh0UDNBeS1tMlBnTkxiRXhVY09jbWtZd3RsWDRrb3dBOTRfUklMN2Jlb0pUWHFTd1RFajJrTjN2cnE4VWNYRi0zUlNHeTQteVlXTVp1UzZZN1lMbTRNbVZldGpDaDN1MG43clB0OVg5TTJiLXA1RWFRd1RxaDZJSWQ4SnpETDdPMnNsTk5Cd1RNSndLN05rMXFtRTc3OTdzMlRrelg3cGltODBNUGRnamhtSnfSAe8BQVVfeXFMUC1DdDNXLTQtdF9vRWQzd1JCcThNOWM1NTQzaXNQZ2xqM3RpUkhidS1nTkNuOVNSTVpGR3lNQUdqRHF3NVh2Z2hUdHlaZkVOVTdwTUVMUGVmZW42T3Y2czdmNXI1djNiY2stRjVrWmhLZ1U3QzB1SkQxRTdhNjBpU1lOeTVqMVgxVHNKRkFnMUd3R05fSXg3Wm1zbVpfOG5Uc1JGYkJBTDFqMzdzdFlBQWtVWWdkZFFxMndZSDRXeDZaeldjWm5qNF9iYmdSRG1BQS1jMDNIenljNE1rT3k0Mk9KR2dWV1BKQ2E3UTJnVTg?oc=5", "source": "India Today", "published": "2026-10-15 03:49", "score": 0.807, "label": "Positive"}, {"symbol": "MARKET", "title": "Stock market opening: Sensex over 400 points up, Nifty also in green | Business News", "link": "https://news.google.com/rss/articles/CBMi8gFBVV95cUxPZzFFRUJULXdqdkM2YVpnOVg4X256OHRMekF6YnJacHY2M0lVclVIMmhHQUpZWm9UT3M0Smc5anB2V1liSV84NjVFQ2h4Qk5pUWN3QXVidUFJM0Jmckg4Tm0wb3RyNkJQeG9RM1pJT1RMWi1tQlRXcmJQeDV1cU5QNFAxb09CZEtIMjhqTnZFQ0VIblI1RFpOeU40bFNmamtaUTJTanBXNUJkYlQ0WVA3TjhmNDNuYjd1RV9HLUI4X1R2UVZGXzVPRXFQOWJJN3lxaEh6VWhETzRRdEJQbDhpYWVCXzczWnVyck9BcFNWM092QdIB9wFBVV95cUxPdk1iN0FpTGpFeVlDZXVBVmFMWGE4LWptMEZhSTZUQzQ1VUl2Tk1aUTNwWG9MTEM3ODlSclpKTWIxcF8xMHNoQUZLLUctcVo1cDAxYk5YTUEzR0xTLUkzdEJ1SEo3bV9tLUw1YmcyNGFJeTFKRkZ2bUNsZnNTSENRZHhJZjlOZTFVNGdMbERnMExBUThzZVdDbDI3UzNyaFR1OGpoVWo3a3B2SzU0bzhOa2h2ckJONjFIbEZLNTVndlJDOXlVMmlRMlVPdDZzcEhTMnNEQW9oV0l6SW9mSTFUNlZIbHdzdm1JcUo4SkFxYVJrSm0tcV84?oc=5", "source": "Hindustan Times", "published": "2026-10-15 03:47", "score": 0.402, "label": "Positive"}, {"symbol": "MARKET", "title": "Indian Stock Market Today: Sensex, Nifty, Global Cues", "link": "https://news.google.com/rss/articles/CBMisAFBVV95cUxQZmhIZkhKLWQ3U0EwaDlaTTZta1FjUDhJc2VZc29PX3pFUWRTU0dULUxSRGVvR1dKZFp5LVJCRXIxdV9ZSHE2X3RtQWxXNVpKR2g5WHR4dzlsTEdjdl9PTFhqRUY5RGgtbWNZOHZLeTdzdHRoUC1sV0RyLTA2Z2tmV1pueGZCNjZidlJGQXF4LU5LZWlFWUlqQWd5R1ZHbm1vMG9CWjJVelRUZEdkZHlpUg?oc=5", "source": "HDFC Sky", "published": "2026-10-15 03:39", "score": 0.402, "label": "Positive"}, {"symbol": "MARKET", "title": "Markets To Crash Before Diwali? Key Nifty, Sensex Levels, Trends Investors Must Watch", "link": "https://news.google.com/rss/articles/CBMi1gFBVV95cUxQOV9OY3hMNHBIUXVBeVN2UTBjWTlKbndtLVN1Q0Y0d0FzZ0Q3V2FZcUFHNFVsVUNpaWtkSjBDbUFISnhRU2ZMbmtQek56MmZHUmhJX3ZIUERFb1V1TnlvcmtjUzE3dUNhWFVyWHh3YXkwRXBmenZpM1FJNFdnLTBraXpZQjVucTMtZEVqWnVUR3pJUDRkUDl4djBQOEFBVnNVeHNfbHVjUDl5cWgwTGxndXE0b1dzbXRYdlJGeEx2NHN1UWlLc2pTNUtibTVCb1R0cVI4VVVR0gHeAUFVX3lxTFBtUmR4T0hBWmlrRjdlRC1Ia1RZNjJyMFVFVko1WHZfdjFFNDNUNVE0Z3ctMGhPSVo0WFhSc3hKUnRNSnhNMXl3Wm5HUjc0WnZ1Q3ZnTkp5Sl84bkdmdms4UmlzVXNBOElwR3d6NkVDWWdJalZrNklGZWZqRTRGNDFPdF9CbjVZSlJVcUZub21WWEcwSHZ6ZGtzZzhJRFNkTG1XclllNTlXSDY2cTJBQW1sU25UcjJJOFppaXJlMzFzX1NWYXV3UXktdDdWQVJfRmRGQmp0dmVrUnh0RVAxdw?oc=5", "source": "NDTV", "published": "2026-10-15 03:38", "score": -0.273, "label": "Negative"}, {"symbol": "MARKET", "title": "Indian share benchmarks log best day in four months on global AI slump", "link": "https://news.google.com/rss/articles/CBMiswFBVV95cUxNWDJqYmxJdGtiS3VzMHY0aFVac2x4X3k3cnlsSjFaQ1RvX1hvblpYU3RBYi12Vk8yYm1LMDVBOFR4SmtiQkVvVTBYYVNzdlJ0bFFacjVLS3VtcDlFVmc4czJhZk5BLTRjVldKcE5OWXZjSHRJb2lyVUVxR3J6aGdMUUoxbWlMazdENDc1bjJqenhqeXo4V040THNNMGNPdmYyamdlcVBWUEc1cS1OOW80SjZrcw?oc=5", "source": "Reuters", "published": "2026-10-15 02:26", "score": 0.25, "label": "Positive"}, {"symbol": "E2E", "title": "1:10 Stock Split Alert! L&amp;T Backed Small Cap Stock Fixes Stock Split Record Date | How To Get Eligible?", "link": "https://news.google.com/rss/articles/CBMiwgFBVV95cUxPWmhhOV9UbzdzUnl1d3d3UWJ0WHdUVTFnVy1CRDlOaEtJRURFeG9MdzYwemoxblZHVFEyU3ZsSUpfd2R1QUVmRFhDakRUbWJvYTg1MVByOEtJZzhuZndaRkdHaU1BdGQ5bWVIMzRudUxYU0lvRk82UkFqd2tId2JMSDNVT1oxUzVPRWRsamprWWo2a0QxRXdGUUxhME03RWNTMmwwSmMxUkNkQS1yRmI0WUJ4X09BZWlTY2JxNG00X0Mydw?oc=5", "source": "Goodreturns", "published": "2026-10-15 02:23", "score": 0.624, "label": "Positive"}, {"symbol": "MARKET", "title": "Stock Market Today: Gift Nifty, US Inflation To Gold Rate; Five Key Factors For Sensex, Nifty 50 On Oct 15", "link": "https://news.google.com/rss/articles/CBMi8wFBVV95cUxQX0U5eDgzRkZUMWh5WDNKaW5lUlctTkQxUHRiNk1FZ2xOTTVGV2ZVSm5FbmM1ZnlDZ3lwdVczMDNOMl9zUVF5RVJwTFZfVVBUQXZEdDZOR3IxeTBsYlFycjI2WEZNNklsUG94dWJNTU1SbDl4d0tNdml4d2ZxeG1rYzdEV2FQYmVFV3BGUDVLdjhIWlRGXy1Fdm1RZXg5M3M5Ri1VNm5QaE5KVHdVRkpnQ3JYLTVDdmlfLWt4MmRCWXRTTGtDc0l3SjF4c3ZnRnRiZTlQRUIwc3p4ZUJnMFNZVkpOOGdHQmluUXBCWTFjbFlaVXfSAfsBQVVfeXFMUDRrWGlRSzBxMjJfQ2lIUWpTYzB3dWxZRGdXR1BuWUtDc0pZWV9HQWVLQy1NN0plQlNmc2tHT2NZZEFZSG1rRXc1eWZxalRIZHhtRlI3OWh2cE5tMjZtWndIZDd5QnJfYlBTcW5Xb2N4dk1NTnJmVlo0NFVieDAwTEszTElKVGFvWi1yQjU1WF8zVzVKcWs0TnhtN05jMDRmcFVQemZIdlV2cUU5QXJyTzZhWFZ2RmhyMnVnRkRKYm1WWlhFN2FIbU5KNFFQaFZWN3ZCUXlDR1VnMUp0NlhCOGJXN0ZSY24yYzRzLU16SXlwamRVamhBVDRXcjg?oc=5", "source": "NDTV Profit", "published": "2026-10-15 01:22", "score": 0.807, "label": "Positive"}, {"symbol": "MARKET", "title": "Stock market outlook today, 15 Oct: Sensex, Nifty prediction - DJIA, S&amp;P, NASDAQ, GIFT Nifty, Kospi, Nikkei, Taiwan cues", "link": "https://news.google.com/rss/articles/CBMihAJBVV95cUxPQmt4MElPMFdzZEZHaGlsSnRoTGZRQ3lua2F1ZnZnQ3hLT2dOUDlSRzluaUtMZ2I3eEgyUmEyOVJEYlJmV2ZJcUI5TTZia1IxVEk2V1hSUlVyT2JXTkN2WTZSWXFlV0wtTDFnTmhvX2llUXJhTEVoRURmVDQtc2dIVm10MVRrSjV6TTJUUXFqZEZlbEg3ek5LazBkVzM0QUZnNVFMVTV6VU92X0tXRU5Fa1FFb2ltTzJHY2s2N1UwMWtzeEpubHEzNnhvUGpWSlU2VzBIaTU0TWlFNkhGczJhVWdKTGYwdjRLczYzRllRaGQzQmloZnN5dkF2Nk1JbjUxaU5YcdIBigJBVV95cUxQeGloY3FkM2YwOXhZR1NQb1NSUXVPdS1pYzZzVkZMeVRaX1d2M3hDaVRJQ3NKQ0gzeV83X0h0S1FSTlRlbjRIXzY0T3I0dzZTV3dHWWs3dWo4emFzcVlsbnRLVFJ4VHYyRHlJOWJhWEpJZjl3MDI0RjBRaHFiRk92OUJtZGo3ZTZTTm9FMGprdTY4dXFUUjR5ekY0cWtjeVlRbldaOFk4dXB3VDgwNWpPQm9FSXVIYmUtc0t0dGo0SnpidG5sQV9aaW9zSFJoM21VWURzckNiYnc3NTZwVGs2Nk1GZGVPNGxSWGMwbDlvd0NXTmxUc1liczd0QTJydWpjYjdqb3BOVl92QQ?oc=5", "source": "Livemint", "published": "2026-10-15 01:19", "score": 0.842, "label": "Positive"}, {"symbol": "MARKET", "title": "Oct 14: Sensex, Nifty Fall as Crude Oil, Inflation and FII Selling Weigh on Sentiment", "link": "https://news.google.com/rss/articles/CBMirwFBVV95cUxOZDhtNkJPT3QtYldFb1gxZ3RaUkw2bDhTY0pWV0ZmSncxaVZwZkx3REJtSHZWSWFQM2d6TkFYckJSMDVrME9WMVpXQTZick9jYjNLYVRCcllZeXp5NGhsaVhZN2Q0dG5BTTREaUsyM0Z6Z3N1VUh0bUdGVmc2VW5FLWZncWh0ZVhXNHRfMUtKaUszLXhZNnc2U1FkX0tjSVRNUUkxc2RhNkU1MkJaTTFN?oc=5", "source": "The Indian Awaaz", "published": "2026-10-14 19:52", "score": -0.527, "label": "Negative"}, {"symbol": "LAURUSLABS", "title": "Laurus Labs invests $11.3 million in KRKA Pharma JV", "link": "https://news.google.com/rss/articles/CBMiywFBVV95cUxPSl9Zc2NhMHJURldYZlpuTm1KcEU3d2dTdUlja0hhSUhabDVBUS1Fb2V1SUhQeG42TVJ3ZU13dXluYmQwU3V2SnF3VEVIVFRmWFd3V3huOXNXYWFWZ1BYbERUNG5SV1JvR3J4UVNXY3BuQmM3a19GYk9BTkQ0YXZuS2VwMVF5NGw0bkIwdW82ZGlCejh3RHdmeEpXVDM5SThOSnZPUldOeGVzRHNMSFgyaVUyeHM2Q0hyXzY4NmtTN29USDRNSGlwcFF4WdIBywFBVV95cUxPSl9Zc2NhMHJURldYZlpuTm1KcEU3d2dTdUlja0hhSUhabDVBUS1Fb2V1SUhQeG42TVJ3ZU13dXluYmQwU3V2SnF3VEVIVFRmWFd3V3huOXNXYWFWZ1BYbERUNG5SV1JvR3J4UVNXY3BuQmM3a19GYk9BTkQ0YXZuS2VwMVF5NGw0bkIwdW82ZGlCejh3RHdmeEpXVDM5SThOSnZPUldOeGVzRHNMSFgyaVUyeHM2Q0hyXzY4NmtTN29USDRNSGlwcFF4WQ?oc=5", "source": "The Times of India", "published": "2026-10-14 17:42", "score": 0.0, "label": "Neutral"}, {"symbol": "MARKET", "title": "Ahead of Market: 10 things that will decide stock market action on Thursday", "link": "https://news.google.com/rss/articles/CBMi4gFBVV95cUxNM2FSM2k1c25uYkVMRlVzYnJmT3hieVVRaEJOY1AwVFF5S3NLM2x5RHVWeUo2Z1ZyVmpJeEo0N1ZfWTFNNXpseVYxMUNOUVRINEVJMkdnaDdTZklWbHdEYjZUMjNDaEI5dHM2TjVNbHI0anFvWG8yTEUtaVRCV1Q4eWtZUGN0Y2hwOEpuNkdGN3ZITUVzcnFiZ3c1eHYyQ1VnRFc5VDgxdDB1SDFQdkVWUlpDNXN4em5Qa1FOM3NvTF92YnVTQWRVQmhTc3ZyUVZxY1g5RXVpaEtZaEhvbEVjNGJ30gHnAUFVX3lxTE9ueHZjNnV5Mm1OcGVQZVg4UEVuY1hYX3ZRY24zMDJvSC1HV0hhRTdaQkFHSjlibnktU3ZDMlRSREVSb2Q0cEVLcFUwWExlOHhDdElJYkJjTU5IRE1OcnJWZldpWHRCbllJSUREa1pNTHFqZnZfTmpBR2IwQUdZN3hVMEpOQVdlek4tWnNYR0luNVUyajJvUTZtdTZZX3hOQ1gzRnEzdmFlX0U3bC1UcGVnUldmVENNMUZobF9ZSzJZUHFxaThYWUZRby1tNmprUHZydGNGTTVGUGt0eUllQ2tNRTlST2RqQQ?oc=5", "source": "The Economic Times", "published": "2026-10-14 15:51", "score": 0.0, "label": "Neutral"}, {"symbol": "LAURUSLABS", "title": "Laurus Labs receives ESG rating of 82.6 from CARE ESG Ratings", "link": "https://news.google.com/rss/articles/CBMipAFBVV95cUxQTFozOU8zSWJOQ2VQbXRzcE1tRjV4RFFCVmV4bUZ1RE1Hd2t3WEZFcUpHTjNIcUxsMkdEUlplVDExM01FWXZFXzZtZnZfdkFudVBaSGFMdXNSa3JuM0hDZm1ab3lQZ0VEZnN4WnBjX09TNEIyLUVqdmFkSXljdDdHb3oxQVc3bi1jaU4wYXBDUDZiZ2x0RTQ3cmthNXBiS1QxbkhRUw?oc=5", "source": "Business Upturn", "published": "2026-10-14 15:23", "score": 0.604, "label": "Positive"}, {"symbol": "MARKET", "title": "Sensex, Nifty resume fall after one day pause; what next for markets? -", "link": "https://news.google.com/rss/articles/CBMipAFBVV95cUxNSE90Q2lsTzU4TlhjeUU2aXVUNmgwV1NuTE9wQmJtNElBZzhJNjd2aTRsck03bkN1bEVVeUZHZU5CeTRmTng4Y2VFb0dGbzBGNXV6YTRoazNMLXRRNVdjZmJINWw4eW1OczhqV251RGx0OVB5NEkxSlM4a1lSODg1T1lJWU5EQXo0cmo5SlpwdkcxOUpfSnlfeWZ3OUNzc1JwUmd6Vg?oc=5", "source": "IndiaIPO", "published": "2026-10-14 15:05", "score": 0.077, "label": "Neutral"}, {"symbol": "LAURUSLABS", "title": "Laurus Labs invests \u20b91,078 crore in Krka Pharma, retains 49% stake", "link": "https://news.google.com/rss/articles/CBMiuAFBVV95cUxPdkdvclE2U2FTaTJwMENlTVRMcFNWRzFrMXc3TkJmRXYtVkZTd2hXSmgxVTVhMy1ja2hZT1NwbnhlN01kZm5UT3JEMjdTRW5FX3g0TzdRbHZwSzd3d1Q4WWh1cnp4U3Y1VVdsejBnYmpFeFRZYmxnNnZjNDZ5VmxlSmIyRldaNkkzZlAzeHJUYmE2Q0xZQVNnUG1CYjVSeUFpOEJLREZ1VDFndEJhVHlhTmFyZHY3MmUw?oc=5", "source": "scanx.trade", "published": "2026-10-14 14:57", "score": 0.0, "label": "Neutral"}, {"symbol": "LAURUSLABS", "title": "Laurus Labs KRKA Pharma Investment: Rs 107.8 Crore Rights Issue", "link": "https://news.google.com/rss/articles/CBMizAFBVV95cUxOdjhrUmtJb19XME91VGVHc3dTMUF1WldJSVpOc29sdE5maF9lVXNpU09NZDQyUjlVUWIySTdXNzc3MEtwTkVnN25ISmxZdkFxdWpnUlNpMTBMQWJvU0hPRmREZlFlMFJjaS1GVmJTT0pXUGZ0VnBzV0ZZWGxfMWRqR19ndGhXbTVhb0QtNHBIZDJMZnBzdlM1MWVGTDBVc2xRbzZFd0FvRS0xWXVkdGFlbXkzNHR6ZWlicmxhSTJFaGlyV1FaZ1hfeFB2VUs?oc=5", "source": "Kalkine India", "published": "2026-10-14 14:37", "score": 0.0, "label": "Neutral"}, {"symbol": "KIRLOSENG", "title": "Kirloskar Oil Engines NSE:KIRLOSENG Reg 74(5) Certificate Q2 FY27", "link": "https://news.google.com/rss/articles/CBMiwAFBVV95cUxQejlpQVJiLVFMdW0wZlV0N3U0Vnh6UHozbHoxT2hIWmxBWXhUbkN3ZjgydlAzUDBESmVOa3ZjV0JOMzFYMGRtd2liQm5MOVBMTXRqSWcxX3p6ZnN0Nmt2eTVYTEM4OHE2TzMzQllrWFY0Znk1alJnTlpnVExjaW1zYzFqMDk5NWlDY1RPdk5IR2dINmhDVEQzckNIcThTWU90TjZKZU9MR2dJemtTeVJxenpZcGZzSHF0VnNvenplNUM?oc=5", "source": "Kalkine India", "published": "2026-10-14 13:22", "score": 0.0, "label": "Neutral"}, {"symbol": "MARKET", "title": "Stock markets close lower amid elevated crude oil, rising inflation", "link": "https://news.google.com/rss/articles/CBMivAFBVV95cUxPSU9EcmRzZndSWGJuSFpsb2dYYjN0ejN0U2RmWkhtSEJIRC1ZVWVFNmdNZllGSjlka0N5RVVZbmZ3XzhNME00VWFmLVo5S0UwRXRnbW55THY5SkNQaWNXSUY5TlBhVkdKNFQtTDlBbjdTRDVpN0E1S1JORDVWMmZwVUlGMmVibWNweEhvRDNISkI0STR1THN3bkxhei1xd1Q1dWNYWDRWY04xUFpZQkpXdFdtSVRNZ0VEYWJrOA?oc=5", "source": "Deccan Herald", "published": "2026-10-14 11:38", "score": -0.67, "label": "Negative"}, {"symbol": "MARKET", "title": "Sensex falls 252 points, Nifty slips to 22,622, as rising crude, FII selling weigh on markets", "link": "https://news.google.com/rss/articles/CBMiuAFBVV95cUxPSWdCeGxtbnZVYkUzYXA5TlM1WWk3UGtYcW5FS3JiS3UybTVtZXptYnA0d21FOFlGb0hjRlcxS183VDlDNFJ0dkhaYm9vdGZJQU9DbGxhR2ViUDgwSWhPY3BmLVhFZVY4RHNDMVdSOXFoVEttMVFlaTFmWmtkVkhITFhKVV8wX2JQN2NxUHBDYm9hVEQ0S3hSYzhWNWZzMnBodUw4T3RCTXU1NzJ4SFBSc3BqNTBhdlE2?oc=5", "source": "ChiniMandi", "published": "2026-10-14 10:27", "score": -0.718, "label": "Negative"}, {"symbol": "MARKET", "title": "Sensex Today Ends 252 Points Lower | Nifty Below 22,650 | LIC Housing Finance Down 5%", "link": "https://news.google.com/rss/articles/CBMivgJBVV95cUxPMVZOWHp1YmZCbzViUTRZeDdmYWVCYWwyOUV1NGw5OE9pVV9tQTBXNngzNUh2TDhlc0J1SVc0R1ZnbTBFTDBYc0g4dFM4OHV4bE1NZm5RQXBDWDRGN1YxbnNrbFR5R1dZN2xmSzZabmF5R2htNWc3Zy0tUkJtTnZ5TWZWM1hSQ2tFVV9nZjhta3JmZ1RjVkpoSlB0aXd1RWdKeGdHNGRQRDBwTFZlM0ZEZjdTNVFYNXo1OFRoRnVtSmx2cmhrdjAxWWdjMV9LN095QnlkRXZMRGJOTW5VTUJxaERXaG5tcmpoOXA4ajZnTTkwQnNZS3JhOFFFcTlCLVlDbHFvYlJxV2x3X1VrU1p5cjJzS3o1bDJLUkVveURXaGpweDBQOGxGNjlESzU4YUFXemlxUXdVRHc0RXhpYkE?oc=5", "source": "Equitymaster", "published": "2026-10-14 10:25", "score": 0.226, "label": "Positive"}, {"symbol": "MARKET", "title": "Sensex falls 252 points, Nifty settles at 22,623 on inflation, crude oil worries", "link": "https://news.google.com/rss/articles/CBMixgFBVV95cUxQT0ZXNE1ueHQxWFczV053Z3lDam1Sekl0QXlqWmxsMVU3ZVBRdDVkQk5hV0RTeUZBZDBQNTZ1aWtIRTB6RU9pemxVS3RoY3lqU3VuazcwazZyT1ZGLWMyVzhmT2J4RWxXdWxmbWkyMk1aUXJxNzdFY3hlNU9HcWRoUHhVQnNPclRFNVhSVzUtUF9yNnQ1VVduNjlnWXJFbFdXWW1BZ1hoR3BiWlB0UWt5WUJlTjViTkNTVl9ONnIzYlpBZmpROWfSAcsBQVVfeXFMTm9vVTA0NTRmVmFQdVpRVGx1bm9Nb0x0aG9sVlVxbXcxRE12d1FRRWJOZ0xyTk11cWsxWXl3eUlybjMzbGxWaFNjb1ZTTEFXaDBKMjlmM3BKanFFQTVVRnNLbk43TjNmNVhXVkoyWWstNWZrZUkyYVNNdWx0SGlvdVRDUVQyM0tweUVXU2pHOUhtRDRrRHgzQ0JHVFJfZk8xTF9fWTdFbTYwd21MVmdaWnZTdWNXdkJDRXlLQXVDTEJNNWU3dzA4MEJFS3c?oc=5", "source": "Telegraph India", "published": "2026-10-14 10:10", "score": -0.751, "label": "Negative"}, {"symbol": "MARKET", "title": "Sensex, Nifty snap winning streak, end lower as crude oil tops $106", "link": "https://news.google.com/rss/articles/CBMi7AFBVV95cUxPM1pOa2trTHVUbzcxWUdFaEE1eXctWG5KTC15ci1LTFp2aEJVUjN1Q3hSLUN1NEJOb2hOaHZabHpmVTFlR0F0TnZoQWt2SW50cnhfLVhhN0J6c19XdFNWX0E0eERRbTcwT054SlZIWmVsakZOMjhFOTNpUHVicHd3Q1R4b0ktdG1fVElrMF9MNUV4ZVZzOGJtdjcwWHdmQ1dhZFQ3b0hSQXpBRjZ1cjgyVUpjUng3ZnJFTUJKRGpkSHV3dVdIa3ViclVoZ19vSi1GbFh2WGU1MXhDb05XdUYxSjJnXy03YnZRN3NabtIB8gFBVV95cUxQUUtOZEdrczdZSnAtdFMtWE9TYkQwNkllM0tid3lPemphOXl4WEdBRFJNM1o4Ymw2a0NLZEZ0ZU9RbU1MT05XTjViQWJMM1BJbDBCTEs2ZFJWSmFwM1BVUTZKU1BTdUVSTHFfNnh0UDZIYm93NjFQR292NVdLUE9hWm5RaXZ4ZUp5VEJXYkZUNG1mYmwyU0tjTFN5UWk5VVhWdTRtXzJfQThYTWc5WTB5U19JYUZzOTB5amRYNU9STXRQdldKajJLRVBPWXc1REFoaUwwYUZobV9hMEg2bk1UU3owNE92ZzZNcmltaXBZbi1OUQ?oc=5", "source": "India Today", "published": "2026-10-14 10:05", "score": 0.599, "label": "Positive"}, {"symbol": "AEROFLEX", "title": "Aeroflex Industries shares rally 10% to 52-week high as board approves capacity expansion plan; check details", "link": "https://news.google.com/rss/articles/CBMi-gFBVV95cUxOcFFzRVljSmVOeTd5cW5pRzlldXJBLUpaYU1GVDRyRU0yWGVFTEl1bjlSajdjQ1ZyTnBEZFktR3ZYREREM3VVNE4zQl9rX0l0TnE1UmpzOUw1R1ZvUmdOVTJCckR3aWtwcFBlQ2c2ZUhnTmc4V2hMRUsxelJaQlVDS1hxekFDRFRVVTBjaDRBRjlKd1JPUnAzZFF6OXk1WnJVMzR0UDI1d3pZR3R4cF9sallCMzdXRW1ZNlAxUUppRWw0bXBYY0FWN0ZSTG5iNXpzeGY1aVJ1aHVXd2RmS0pyMnJuSG5IcWpvclhzeEpQcUJSTmdkakdGSU1R?oc=5", "source": "Upstox", "published": "2026-10-14 09:28", "score": 0.836, "label": "Positive"}, {"symbol": "AEROFLEX", "title": "Aeroflex Industries Share Price news and valuation view", "link": "https://news.google.com/rss/articles/CBMihwFBVV95cUxOZWdYU0xLYUJYR3QwY3N5RXNVb3c4cTMzbUlrcWVoRndKQVAwbmZqakRQeTB3Z3E4LUk1ckxpRGd5WURhaWNRNFlBZlVYRThLNnVfSzRGUXhTdVpnRFZMWHhNNFJ1bTljbFV2VnZPMWJfc3ZYMWQ4bHJIRGZCbE94ZElPc3lIM28?oc=5", "source": "Univest", "published": "2026-10-14 09:14", "score": 0.0, "label": "Neutral"}, {"symbol": "LAURUSLABS", "title": "Laurus Labs Ltd. (LAURUSLABS) 52 Week High Streak: Sixth Session Near Peak", "link": "https://news.google.com/rss/articles/CBMijgFBVV95cUxOeFo0VHJ1ZGlSZFZjOUI4TDJjdEZKYXdkd25sZU1kN0VwRzAxam9nYUJZYTA1R1JVSWpLTGZ4MWxIeUFDc0VnRmlUMUJHS2YzM2RZWEIwUmpwMS1ld3dHU05BM2xLYy1IRFRWbjcwZ3h2aVhpdW1Cckl1NHR1SnA0bFpOMkpnZ3lIWlRYMW5n?oc=5", "source": "Univest", "published": "2026-10-14 08:02", "score": 0.202, "label": "Positive"}, {"symbol": "LAURUSLABS", "title": "LAURUSLABS: Rich P/E Still Leaves Little Room For Margin Misses", "link": "https://news.google.com/rss/articles/CBMi9AJBVV95cUxNRHhKdDFWaWxxdENsRERFTkExSkVZd0hLSnczMngtSVdLSmhqcElodm5qZkJkV1g4VHpwLUk4cnlrTzBkRk41V0pzM3hQNndJMGZzTjZDOEF4UHdleFMxSUp0NGJPWXhyamFtWVhmdmVOR0Y2WlBuN1I5N0JUMk4yeU03Yi1sbkRxbTM4c0o1RmdMM0dyNzFoLUlwNFdnaWNZbUQwWk5UeVA5VzRRRDFnVk9GdFczOUpEV2VHdFF1SThqQlhJYTN6OXV4UFVmcVFmM0NtNlY3LUNlSGpqaV9GVEpTaDZUVnYtNnIydnhMcmZ5X1pnWTBnaGNybllrcFp1ek9zb2k5SGNvY1lOMXBJSUFxWVk3YjVDdVEwU2ZwUGswVzluQklKX2dOZTdrTUhZMlctTnVjdjM3SklIOUl3R1h3cUVSV0RLWmcxOU0xSXBQV1VETnItdmlxRnhlV1dScHY3cXdtejFnWGl3LXMxVjNINFU?oc=5", "source": "Simply Wall Street", "published": "2026-10-14 07:00", "score": 0.202, "label": "Positive"}, {"symbol": "MARKET", "title": "Sensex falls 252 points, Nifty settles below 22,650; Bajaj Finance, M&amp;M see big cut", "link": "https://news.google.com/rss/articles/CBMitAFBVV95cUxQajI0X0tyUk1EblJOVTBFMnQ4VGVLemdRdTVDeWdSM1J4TW1Qd2JRSlpnODJIR0Nfdk8zdGxUelpQWndzWDhOSjZMd3lrMHJiYzM2OFQwTUl5TjBydV9HanhGVmU5aGh3N09jN2VMdHpvcE4wNDQ5b0ppQ3ZETFRvU0xrYTVOYWxxYlBxcjRlSDctOC1tcmU0Y242Q1RYbDdGRHNJaERsTWY2ZDVUaElFUFo3TWo?oc=5", "source": "IndiaIPO", "published": "2026-10-14 07:00", "score": -0.25, "label": "Negative"}, {"symbol": "RRKABEL", "title": "RRKABEL Share Price Today - RR Kabel on NSE/BSE", "link": "https://news.google.com/rss/articles/CBMiUEFVX3lxTE1pbFVlRjh6MUJjOFhmY09pM1lKQjJneTlfSXZnTkhfQTZ4T1J0dFV0TER3Y1l4aEtmMVYxTy1HcFhoUHRvLVRvMGpoT2I5bXFw?oc=5", "source": "scanx.trade", "published": "2026-10-14 05:59", "score": 0.0, "label": "Neutral"}, {"symbol": "MARKET", "title": "Sensex falls over 250 points, Nifty closes below 22,650 even as IT stocks shine. What lies ahead for Dalal", "link": "https://news.google.com/rss/articles/CBMiggJBVV95cUxNOTZ5SnQ3N1lKTWlDeWdVMzExWTBBbzZ4Q0dpVkxHZmVUTmVSbnd2NnY3ZVFJTWthWjhpZUN6UEt5N21KQk5oQ3hHanN5TFRHc09nME9vTjZDcWNOVkVlTGZTekNDS2pXQWtLQ3lWS2tiLThVNkxGSUZVb2VNYTg0M01McEwyTGpwTGVyemFQTVBnRUJueWZrNTJST2JtZTFKZndyUkRabVE1ME1lYXQ0Z1FRaDVKUmNDV0w5NjNaT1NjNlgtODRhcjVMZEotb2l4ZkRYMFc1ODZWTjJ4UXl6dWpoVVdKeUFkNERyejdqOW4ya1pvM1lzR1k1QlQzQVlGdVHSAYcCQVVfeXFMUDQyQlRMczYwTHpwOUdSbVBOT1hTZWZxTVBNSVVacDNrWkpNNHYwRFd3VEhhUm5iMEpCQmR4emJTMHphQk9nQ01sRVBxMS1RY1JjY2RMMGlId3loUG5OYVFTUkI1WjducV9FSzM2X1VBblNnYVBsMUJNbDNDTDBRZkNSMTA1QnlsVy16aGQyY2RXQ2tWSGZOeC1vd1phV0Nmb1JnaEJrdUp3cUVKeHRPVHVoS0hubHlYNWt5bFlGbXltVXd0OFluM002M1AwZ1I3czB5ZEpqVGtnZXp4S0pwVXFVRi1JTUxOZmdTdXBqZHQ4LXpuVlBKX2NTZkhlUUdjVERicWlLUVk?oc=5", "source": "The Economic Times", "published": "2026-10-14 05:36", "score": -0.402, "label": "Negative"}, {"symbol": "MARKET", "title": "Markets recover early losses amid buying in IT stocks, HDFC Bank", "link": "https://news.google.com/rss/articles/CBMivwFBVV95cUxONVFOYmpNa3NTWjRTd2J5REp6cldfUmI0aUl1cTZWdmhHaFEyTEwxemZCaDZCWm5MU25NTDV4RXlzcGZha0cwNmFQLUZLSFJmWldrUkZWYzhwS3loVWkyU1hveno1aWFPd3RmTkxHTkVIU3pZWTF6WHUyRk4yN0xlMmJKdFp0RFBwaHFGb01PZVFsenNaX1dZMGgyd0FRai1rY3UyamZiUFpUS2NQbnNHQUN2dTUybHdQaDZlaFlXTdIBvwFBVV95cUxONVFOYmpNa3NTWjRTd2J5REp6cldfUmI0aUl1cTZWdmhHaFEyTEwxemZCaDZCWm5MU25NTDV4RXlzcGZha0cwNmFQLUZLSFJmWldrUkZWYzhwS3loVWkyU1hveno1aWFPd3RmTkxHTkVIU3pZWTF6WHUyRk4yN0xlMmJKdFp0RFBwaHFGb01PZVFsenNaX1dZMGgyd0FRai1rY3UyamZiUFpUS2NQbnNHQUN2dTUybHdQaDZlaFlXTQ?oc=5", "source": "The Hindu", "published": "2026-10-14 05:23", "score": -0.421, "label": "Negative"}, {"symbol": "MARKET", "title": "Stock Markets Today: Sensex, Nifty Pared Early Losses in Volatile Trade", "link": "https://news.google.com/rss/articles/CBMi1wFBVV95cUxNRHU4MWFOaVZBa1Vld3Nqa2JzUjdWbDJoMEE1RXFTbTFQTkJxMXp6ZC1WM2EwRjJ5ek5wOTZVN3liQWVSTi00S241SnR5S2tMa1F4Q2pZTl9mVW55bXlPMjJKYjdnbVNsSnZJb3lFMmZtQjN2RnEyU3FWaUdzSlJLQ0Rnb0pUanhuSklRWVhSUG1sQ0xMd09ib3c4RnU2d2RGdEVqcWExaVdhb2JaRDZsbk44Tnp5dDl6ZFdCUWswNmFKQVBIVGs3RXVYVkltTmh0c3FPaUJHWdIB2gFBVV95cUxOZU5kUlVoNkt4MmY5OGplRVNBV0NGd09oaXZRenhmWHZzT3ZCenllSHpVWXFITUlucFJxV3JHSGNmSXJfSUNjTWI4cURiMUNQLUJjOWltY2RSUWpZYmh4ZVBZbTU5TEMwcHJpQUNUWnJxVnF1UlJWYy1aLU9WWDlOdlVZR05jdzVnZ2lKdTFUc2FxMVFFMU5acUpWaUNLdVJrNFVQZ0lxY0JsRmgxWVZHMEJxa0VPQlFpM2FSbGxyQTZ2RWY1SVhaQkFiY0NiSC10QkZiQW9hNXdZUQ?oc=5", "source": "Rediff", "published": "2026-10-14 05:23", "score": -0.026, "label": "Neutral"}, {"symbol": "MARKET", "title": "Stock Market Today: Sensex, Nifty Settle Lower As WPI inflation Rises", "link": "https://news.google.com/rss/articles/CBMiuwFBVV95cUxPRG13UTBuT0JEMFllZ3ZDLTZVX19ZNEtTMS1NbXVvTFNYVXRLUmk3RjhRVU8zYjRKeFVWZFB6VVFsTUZlY0ZMU0tna1JMbi11YjFjcTdqNFJJenpCZmxkRmVDUGd0RnpKWi01VGJOVEFLMVQ5VmxScm9yYkpqY3pDYnZxajRjLVlBcVhhbW9fZE5IZjJHaExqS2s1ZG9vSlpvX0JQUTFPUU1tbERGeW1kUXF2T3R1alkyWE4w?oc=5", "source": "ETV Bharat", "published": "2026-10-14 05:18", "score": 0.226, "label": "Positive"}, {"symbol": "MARKET", "title": "Markets Flat at Open as Asia Rises, Oil &amp; Hormuz Risk Weigh", "link": "https://news.google.com/rss/articles/CBMi1gFBVV95cUxPS2J3dHdWcWJLYTJ5alp4Tkh1QTlwTDdMOTRnaVVOVE1aOUt6Z2xBNENSejlVaS1vekpCZHRkcHdla2o4RHZJU1MwZlBOVHVucEJ6SWRWVTV3S2FuOVJzb0g3cmFKeHNlaUQyYkozRmdTeXFQbXB6TTRYUVh1alNOejREdGRtUzlqLXdqM0QtU25IdzJaYk5IMm1JYm9CVkJIQnZqanVIa2E1MDh4X2ZGU3VRdW1BelhnbHlHOVd2alJlTGhOSnhjaVlFWG43MWpHelZ5WEhB?oc=5", "source": "HDFC Sky", "published": "2026-10-14 04:44", "score": -0.273, "label": "Negative"}, {"symbol": "MARKET", "title": "Sensex, Nifty recover after weak opening amid hopes of LTCG tax relief", "link": "https://news.google.com/rss/articles/CBMingFBVV95cUxOWVREZE5mYlZmZlUtdGwwN1libEhJRzRMU0ZQcU9BclYzazJqb3ZpYlpDX2x1d05zN3FNcWw4YXluOFduamZpU21JMHgzWWxQOUZ0N2p6OXJPbVJVakNtWG1IVTktQjE3N1dRVm9CT3FHV3ZXMGp1c3VPdzR2dUpIQnhyemEwc3hLdUd3SE5VN21WamFNM0ZyVXo0SkU1Zw?oc=5", "source": "ChiniMandi", "published": "2026-10-14 04:43", "score": 0.718, "label": "Positive"}, {"symbol": "MARKET", "title": "Sensex Today Trades Lower | Nifty Below 22,700 | Shriram Finance &amp; Polycab India Top Losers", "link": "https://news.google.com/rss/articles/CBMi4gFBVV95cUxPcm9ieWY3T2dnbHVqMGdidEpiNkFjRWp6cFhlemNKQkFnSVRaSDBRSVJGTTlYZEFCMS1xa0Y1RTM1MkZSU0VhVnRtWVFHNjFuRlU1ZmJPTXIwSlNoaG02V1pxc2xVRGlGa3FNaU1lU0lrVURQODVteTRYZkVWajRKTEphZ2hOZEFNVHVmV0hTQ1dsMTZDNTU4Nnk2MkU3UUdJekc0em9MSTlqbVcyM1F4SGt6aVozYnptVXZBRDBNWkd1RWVVVTZvVkpUenJ6WVNXMlJBbDViaG1rVTZtODJ5Z1NR?oc=5", "source": "Equitymaster", "published": "2026-10-14 04:38", "score": -0.178, "label": "Neutral"}, {"symbol": "MARKET", "title": "Sensex, Nifty open flat as global headwinds weigh on investor sentiment", "link": "https://news.google.com/rss/articles/CBMingFBVV95cUxNRkFLNDQtbWZmdzJhbmFlUDY0M0pPLTdtMTJkZ0VmbUhma3lyU3hiMTFodGVwdVk1VWlhQUFTbVRDRUFOekZmM2lqcWxBcmhRWnpMNzM3dDY1TENxR0s1LU1BZFpUMWlFRXJWVU1ZOTFZOTJvS0VfQWtwTDZoMGdJWDdacENKNzJ3V1dNSnNMdU1jSEFoYzgyZ2hjVzZfQQ?oc=5", "source": "Telangana Today", "published": "2026-10-14 04:09", "score": 0.402, "label": "Positive"}, {"symbol": "MARKET", "title": "Sensex, Nifty open flat as crude oil and FII outflows weigh", "link": "https://news.google.com/rss/articles/CBMizgFBVV95cUxPdTgtdlVmSDc4Ri14SVRsVWx2TXZkRHRMWnJteFpXR1FrMWlLUEU3QV9QOU5rQmNLUkxOb1haZjRpVlBRZUNXVjI1TDVGMVRKbm1qbXlEdDdZMGlmSTZxU0E5R0Fxc0J0YmhHRHlZcXB3ZFMybDg5MHpqVEtQaHZ0TjY1SGh5bWJhdnJYQXk3Z0k4dGRFQ1FnWVpuSm1Qc2V3UDBUaFVscWJOYXllNkZ2Q3hJWXRRVUlTUFdiR1M3OHJmVGlyVXJsRHRmMUlHUdIB0wFBVV95cUxPV3gyaE1IdHZaVzFPNUF0bERMSmNVbjJaUTk1Wk0xRHVWd1pjcV9KMFd6VkM0RG00RW1LSmVVU1R1NVNoQ0JkY1dpU2xSNGJRWHNoc1ZxNTRDUURMS2g0cVdzTThnVVVjaWYtcmhtZDg3V1M3N0s0MWVsbl9FUkREVl9pSVZ0QkQ0UnBRS3Jrdkp4VDhXU2t6RmoxRG42NXItck9Xd0dWQ3dkcy05cmE3OVFvdjVVcGV0M0hCYTZIQzlKSTBkVzBFNlF4UmFQOGRyekhB?oc=5", "source": "India Today", "published": "2026-10-14 04:07", "score": -0.25, "label": "Negative"}, {"symbol": "MARKET", "title": "Stock Market Today: Sensex holds 73,000; Nifty below 22,700; Nifty IT up 1.5%", "link": "https://news.google.com/rss/articles/CBMiuAFBVV95cUxQRjRhYk1NR0E5QXc0c2RkS09URjJjNVBsbkMwX1JsMTF2VmlTN2dJNnZxMl9SaFc1dG9rb01zQ2ZSbkdLSmszTW1tNnVxQ01fVjZqbWI2Mk5HSjhOeUw0YnEwX2RIZC1uNDhmSXYweWJ2ZVVyMVM2RDNCMXdoSDFXOU16UDgyQzRXTFplUFI3OVY2UV82RzB6N1NMVno4X3gyX2p4Y1ZObk0tSG9sWHNkMXpOTUNCWkMx?oc=5", "source": "Zee Business", "published": "2026-10-14 03:50", "score": 0.66, "label": "Positive"}, {"symbol": "LAURUSLABS", "title": "Biocon secures earliest licensed launch dates for Pebrilzo\u00ae following global patent settlement with Genentech", "link": "https://news.google.com/rss/articles/CBMi3gFBVV95cUxOU3duNjJxVklveGxTSi1uQUF5NWZFN0JqSzNCQUJMWVFHWEZ2dldsVzYxTHk5eDN2aDRYcDI1SUpfUXl6QUh5QkF4R2hCeExRQ0NrSFY3NEh4cXZMRDRkYTVGQllvV1kxeDJzQmNQdDBKVFNuWUI3MGdueXdrTWkxb2Uwako2eE1GNmQyZTZhNFV5WGg4VzY1emFpb0liZFQzQndFNlpfSGZub3VhWjdDSllTSVlDVTA2c3NlRzZNcm5hdFQ5YzYtTnVleWNKdkVuOGl6WjBBSnlXMWpIOGc?oc=5", "source": "Business Upturn", "published": "2026-10-14 03:21", "score": 0.421, "label": "Positive"}, {"symbol": "LAURUSLABS", "title": "Zydus Lifesciences share price target \u20b91,457: Bernstein maintains Buy", "link": "https://news.google.com/rss/articles/CBMi2gFBVV95cUxOdG04T0NSeWtzMUF0T2lxU1hOcGg1ZE5yMzdxRzlBZHdZQVp6dUVkV2ZWcDNkVTNmazdITi1zaDBtOTUtYXdjTkh0MDhoZmUtbkZDRUtNN1dLVWxQTEU3OWduSHNPS3dOajRZUnpqWHhuVGJpZENuM1dUVHI5OTctdlNXX1pjbmlNT2pDQk1HNVR3U2duLVhFSUFSdEYyeWxVVGtqNXgwWHluXzVTbmhsUjhsOS1mdmZ1emplUTljSXNkNWk0emJSeUd6eFBKcktjeVZCZXYwVWctdw?oc=5", "source": "Business Upturn", "published": "2026-10-14 02:46", "score": 0.421, "label": "Positive"}, {"symbol": "LAURUSLABS", "title": "GMR Airports establishes GMR Aero Realty with INR 1 Crore capital", "link": "https://news.google.com/rss/articles/CBMipAFBVV95cUxORUR0MVEtZ29ZZ2VWVFdXbzlNSFd6SzlKSW5kMTBPSFlwUV9QT2wzMmdHX2Z4R1Nsb3ZxWkFXSnhjS0JPSUs2aXZVOEFPa2k2TDJ5UlhLa2RVSkVQVkcyd3NQYXpLVmF1VndaSUFfQ09zUTBvYTZ3LWFaRk9MWWxwZFdXS0RWZ3ZCYmNTNlZnb3V4bTNyUWNybC1jOWZ2SWRvV2J4Sg?oc=5", "source": "Business Upturn", "published": "2026-10-14 02:46", "score": 0.0, "label": "Neutral"}, {"symbol": "MARKET", "title": "Stock Market Today: Gift Nifty, Oil Prices To Gold Rate; Five Key Factors That May Drive Sensex, Nifty 50 On October 14", "link": "https://news.google.com/rss/articles/CBMi8AFBVV95cUxPUGhZemcxX1FtMnczcmp6S2FwYnlidmZZLWs0WGFwWkJIZEZma0pRRG5WcDVwTTlKdWo4MHkxVTJLNlRWdVN1Y0VSTVNfWDhUcnFCci03bnNiOU9zbDNCVndHeVhxWi1ySGRwLWc5SFpXY0JFRnJCUWNvSUtySHR5eUZsZ0JYZ1hFeWpFaXJ0aGppTkhNOHlPSXlPaXFpTDJSbUlOcllaUE9QX1lMOWk4VnhXdW9SMzh5czlxU2Y2OUVQdEwzR2dkVm9OUzJwbi12RWlCRXVmOVNDTkkwMnFWN2V0Z25UNzYyTExlV2JEVGXSAfgBQVVfeXFMT3oxc2JldFo2dlZQMC1PY2ZlR2xVTDlDNWhPR1dLTmZpZnBQS010UWRtOHVUNkdoWDU2STdfbTdNWlhaUEV0U0phNnhfYnhSaG5abTdxakpEc3hUbGJ2czAtazNyTFZ4ek0tUkRqYURKelZLMzUwOGJXNlVZdGtEMWZvVVh0U1RZRHNvellZUUVmVHVFYVRwTEFaT3c2eU55WVB6eGVfQVB6cWNrNUZ1Y0ZaMjQ0RGczVW4ySi03RndSX1RTaXN2RGhnU2NOUmZlTG1sRHlOQVFsQVRLZHAzOUE4OXd3ZExUcUNFYzV1Z3A5dWxyTmlsWVk?oc=5", "source": "NDTV Profit", "published": "2026-10-14 01:35", "score": 0.807, "label": "Positive"}, {"symbol": "MARKET", "title": "Stock market outlook today, 14 Oct: Sensex, Nifty prediction - DJIA, S&amp;P, NASDAQ, GIFT Nifty, Kospi, Nikkei, Taiwan cues", "link": "https://news.google.com/rss/articles/CBMihAJBVV95cUxQVFNuM21rRXlRRnp5dTJuSmVIRkRpX2o0NjZhNjNqdGZLT2YtVy1kVElsU3FFUHpLYkZiUDZzZDBNTHVMeDNDYmY3N3RtTXIyNjA5VVZUQWtnZTRrRWE3Mi1PeUF1TVRlSWljQkNpTDk5cjB2UVEwc1l2X1NkblVRQzRKUElKTE1JMndldlZ4YXRwYUEzN0xydng4dl9Sb25lcDFYNnJqRkQwcllpSE03MDhmZEZHbFNVOXZ6RVIwUWNQWkx5TUV0bWVodHJjVTk3X1RPSzRxUC1MRFk4SXk1QTRqY1FLQzNzUUlrbmsyLVhhbWlLeHJ1UE1LS0poZGdiZExLOdIBigJBVV95cUxPVVdxeUZkQ0drbDJXb1ZUUXR0WmNtYkVoTnlrcDBlRHBTY3N1dmVNNmY2SEQ2ZjYyUlA0Y1kzZS1peEx0Z18yTEJvQW91V2xXRDA3U1Q3ZmRSTGlxQWxpNWNKQzZXQ21mZ19kQkVPeldRRzJRcDNESW1YWEgzWVFOMFY4YmNDVXE3OUNEeDR0V082bEVITkt2NlRNdUZySVVrcjJxY3JSVUFNVTJseURuLV8zYlI5ZkRMbUQzeFBlWUljOGxTYUpCWURxakNHTmE5cVhpdGlTa18wYUhEVFotTmlHSHpGTE80RGZNeTR1TlB4Z2d4eXVaT0padFllTWVYSkFRYmpzX2VKUQ?oc=5", "source": "Livemint", "published": "2026-10-14 01:18", "score": 0.842, "label": "Positive"}, {"symbol": "MARKET", "title": "Sensex Today | Stock Market Live: Sensex up 450 pts, Nifty at 22,500; IT surges over 3%, HCL Tech, T", "link": "https://news.google.com/rss/articles/CBMixgFBVV95cUxQZTJOeGZuVEtDRVUzdDZNTm5CVExWbjF4NEZiLXNBSHpZcEdXNGVXNTYwVFlXeklremIyajhhVGVlNWcwV2dOVzlvdndVOTdiTWIyQXBXLTBuNUdndFpyTXYyQ2NtZWt3dTlwY1N3VVlQZzg2UVI4SkNEMUpCYVhSWlNIbjcwRHVvVFhXY1ROaTBvSHUwOXBGbXJkS2VpQVRUMGMtTV82bGU3SEhlcU81RWNoRFNGRU0xY3U5MzQtby1hRTBmenc?oc=5", "source": "IndiaIPO", "published": "2026-10-13 23:28", "score": 0.71, "label": "Positive"}, {"symbol": "LAURUSLABS", "title": "Laurus Labs schedules Q2 FY27 earnings call for October 29", "link": "https://news.google.com/rss/articles/CBMisAFBVV95cUxPVXlnT0xoel9qUUtRTDAtZGQ5UHM4clYydGFvWkpNdzVSWGFpQTZmLUlFMGl4SGYwV2g4LWtkRVFIdlh6dlg0OUZteHpLV0wwcmF4YmV3STRPR2JRWDFzcTM0Ni1wSWVIS1J4UUdCYXhlWUI3aHlwY0ZpbDczZGt0QjFESldUejc0SDVRZGFIUWpMVXU5WGRrNmNuVkZSRnNGVHJpRUpWcHo4ZWFPX0dFWQ?oc=5", "source": "scanx.trade", "published": "2026-10-13 12:46", "score": 0.0, "label": "Neutral"}, {"symbol": "MARKET", "title": "Late rally: Sensex jumps 1,110 points, Nifty over 22,700: 5 factors behind market rise; these stocks rebound after UPI", "link": "https://news.google.com/rss/articles/CBMi8AFBVV95cUxQMWQwM1dBd3JvMWkxNEF5WVFNVE9oZXVUTEpUa3h3X01WZlU5M</t>
        </is>
      </c>
    </row>
    <row r="5">
      <c r="A5" t="inlineStr">
        <is>
          <t>lpFYUJ2MmVmeTR6RjgtbUZKdzAtRDM5eFd2SFhjWDBrVjlBY0ZwWU5SekNRZThRZFdfSVlmZG5WNmJpOWdFY1JuTW1JT0hWcjhDT2pCVXZIbHF0bmtlV1FXb3hhYkdNdXV5Ni1jdmxnQWx0d2dHcDRsSGU2Z0diT1gtV1hMN2gwQ1pXTjdDbHpZTEZxUTV2c28ySWptU3FEbjRzNEZMQWVIUEJxellZc0NuZDl0Y3ktVjA4NXRyN3hHZk9JWi1VZTRrejbSAfYBQVVfeXFMUG5Ia0FLeEdlN0haNlZKVFUxSk8zWHRvWUJaYmJBNkpsamFNOHRpYmZVSzl2cVdmcHVNVl9BbjRLNjFtYTJtT2trVGVUWGNJalczY2RXY2M4cFRjbzk4QWNxaGRLZVFGMXF3dnI3bTd2RE84LXJic1c4QUhIcS1sTUx6VV9tSWpvSnBBME1SSTR1eE5wSTF6RlBTa0tDMndDb3A3cmxtazdlakJMTGxpX2V6eTRscHVya0g3SGlKQ1NYR3VTT3RFbE1CamNpVG82VmZWTU5oY1VwVldUVUIwRzZ1UTBhbWZkUnhlR091d2ZHMVNqVW5n?oc=5", "source": "Livemint", "published": "2026-10-13 12:19", "score": 0.827, "label": "Positive"}, {"symbol": "MARKET", "title": "Sensex Jumps Over 1,100 Points, Rupee Rallies. Why Markets Went Up Today", "link": "https://news.google.com/rss/articles/CBMizgFBVV95cUxOVWNHV3BUWGtwZVRvUjhKY2hYVl9qblE0em1ac0xPQjZYOHBPNHFiSTZBMzk5NjF4ank2SnlwZ3EtU0Jmd3hTcWZ2NFRYOGNaRktXQVZHQV84dVhScFlXb1N3aWtZRS03Nmloa1RaNmNwY3JuQWRrX2c0aWwxQWM0X2V0aUlHdUpnZks2SVJHMURMX3I5WkRIcEtOLVBjZmlDZUllUE9PdHlHdGRJbUliSWFWQlo5Z18tQW5nbU50TlpTcExDWWZ2RWxIQkZZUdIB1gFBVV95cUxQampaVDhmalJkaXptRXlseE1CYjYyTUNVWTlYeUJNckN3WHdwQ2Y3TVFnMVIzMzQ5eHZiZGRJbUdzRDZFWjM2U3d1cHVVSkt3VmRSdFhsMXJTNmNnNVBvN1pCWTFrYWpNYkxvdnc3dWpSeUFjVGxqRlhwem9VRXpVbFFDOEJrSmpKeUtzbk90d19JWHY0OTJDNFl2a3Rob3J6bzNTd2Z3MkR6eDN0bHpWaXQ5aUJ5VEpBZjFyeHlyS3hWTUVCVGZVRTNiaWZmQU9vQ3ZpSjZn?oc=5", "source": "NDTV", "published": "2026-10-13 11:55", "score": 0.718, "label": "Positive"}, {"symbol": "LAURUSLABS", "title": "Laurus Labs Q2 H1 FY27 Earnings Conference Call Date", "link": "https://news.google.com/rss/articles/CBMivAFBVV95cUxPWm5SVDBURlZVc0pOT0VWbDFBTk16WmluNUdKMWhENGRJZFZDcnNpYVlkMjJkUks0T2NUVmpoNGJZbkdGN1hsalhUemtYYWhoTzh5TkRoNGdtNnVqZ19ZVXk2MkJmS0M0T1ZuSUZFLU9YTlplMGY3NFhGclp0U25aeVZhUXhwWkJQaFowMXBiRl9nUW5IUmhJN1dtUHc3Vi1pRkE3Y0lwRlRCM2FZU0l0b0tIUWxSZlF1U0hrdA?oc=5", "source": "Kalkine India", "published": "2026-10-13 11:20", "score": 0.0, "label": "Neutral"}, {"symbol": "MARKET", "title": "Indian markets rally as IT stocks surge; Sensex jumps over 1,100 points", "link": "https://news.google.com/rss/articles/CBMiwAFBVV95cUxPUkV5elZzNklzdWdkUHBPTWxSQVFDbGNyaDBKVVNKLV9GejNDOXVhOWY5cHBpNmNnSDRiRUFZZjc3UTRCZFJ2TzloaVhldE5LM1FfU3NnVmdOZHVrZHJOTXVsOWVvbVdJVGRTaDVZVUVVRklxRl9pRFRpRXdaVGVlRUQtWlpyUjRGRTVicnlWazhpRFRHeEZxSnhRMWVhYjcwWkRvLVEyanFGSmwwbkt6bHhsNUUtM2RCN1hmN056Q2zSAc4BQVVfeXFMTTlSZUF0MkQzSUVaOTBZblI4SU5RUjdRdXdyM2M2ZFg4SkxMRGxYUGR3bWRabTFEa0psTFZYZDlFcVcxdVYxOTFJVnBtbXQxSjRDOThiNWpxaGZsRDQ5RU13Q3BTd1d2bTgxZFB2dXlnQ21XZkZLRkNaOU1uYVU5MzNPc1RKNjFBUF9kMmFlek5MU29sTUlSZ3QyU2gtc204Y0tGMmc3MXJBQ1FVS21mNjRWVGpDZWlPT0lCOGE1WEZPMjh3bWYtRmJJQk40dGc?oc=5", "source": "The New Indian Express", "published": "2026-10-13 11:19", "score": 0.848, "label": "Positive"}, {"symbol": "E2E", "title": "Hitachi Energy, E2E Networks, Anant Raj, other AI-linked stocks slide up to 5% as global AI rout hits Indi", "link": "https://news.google.com/rss/articles/CBMilAJBVV95cUxPUFdHNEJ1d2pmSFJIQ0VEeU5fMjhNOVpXd0hSWDZyNjRVanRISkxvSXlmNVk2UGlJc3FrblIxR1hzQkRMRGRTVy1yYVp1YkhtbGFKb0FQOFFaWXQ5OGtXbkJvSklmSUVQZzFuZHpGSWswZU9oUjBZNkMweUJmTG1uSE5lMmNuN3RPWTRGNFdiakFjTFRYX1lmd1U2U1NDczRzVXNQTlEyY3J6MjFfZnlNOVM0LUhoeGlOSTFsNlFna3NOOXBUaTJJM2wxR0ZKRmZvd1lOQzB1Ti1nWm1QR1RYMVdRZ3dHRXVDNHBLbXp0UDJGWU1aZEp2Y19pVEd5Vk5Rb0pyRDZ4ejgyY3BQUFJvdWMxek_SAZoCQVVfeXFMT215eHpFaUdJZjBrR2ZKSENHYTJhcWJ6bHE0MTFzeklCQ3pieDAxR1pqYU1OcTRyZi15R1czVVpkVFM3R0ZjU3o4SlpMS1B6QU5mLTZxYnZOdnBmbU4zLUFvdzdSakw1dVFtZlFTNFJUbTZoRjU2dEZISVVrdHZWYk85WDJGMjRDOGE1dHRZZ1VxNHNFXzl3ZlF1cnlRaFlFeGVxLW1vRW5ESDNIbTRPZ1dMaWh5UUNIVmpDdGM3ck1OV0V0dVNOY0tsZV9CUERGX21KdzFpdnJlUnRSamZvTXJ6bTltdnZBdV94TnJTbndGU29DNnhVVTdNeF9rUDBwTXEzVERacGZjbV9qQ05oNUZRWElJWUpNOGl3?oc=5", "source": "The Economic Times", "published": "2026-10-13 09:19", "score": 0.128, "label": "Neutral"}, {"symbol": "RRKABEL", "title": "Cable &amp; Wire stocks: Polycab, KEI, R R Kabel, Quadrant Future slip up to 5%", "link": "https://news.google.com/rss/articles/CBMi0AFBVV95cUxQQjhHdkQ5YmY2TGtPeTJiZUJZYkpxTzluOFNQcC02dnBzNGJTd0lteUE4cDl1cG9UdVNhM2x6cFA3eHJOcnNmaGcwbkthaWMwSjNnZWw1VWNBczlWYlkzc25BcFp2ZjZ4dUNkUThveVVxQzBrMjZ0REtibllxQU01QmhMZG1lM1hOMVVXc2duZ2xfdGNER0FfUFlBTmlZc1haaUdQYllxS0YzTmJJMTJuVUpXSDFfeTUwUjFIaDZXdTZvbDBkZy1nM3hzaTNmMmpJ0gHWAUFVX3lxTE5xNTJPcDIyMVdEOEhnMUFtM2tkekQ1WUItZmhyYmJLU29ud2NES3BmWmF5YTdMeEp6Yl9Pb2NqRUVEMDVNNkw0UU9uSHJINWM0RlhwaUJRN3ZOZjlwT3FBd19tOUJpVUVwREJIaHNDR242YlBsd01ENnhKSng4NDVkQ0FkZHhrcjJaRXJCZjJVV3dDU1VXaUR1VGdVVUZJTC1QNXI5d3ZUaHd1aTZhNXMyWFA2TE0zVjU5WDRuUGpQWUZsSHZtUmJxTVFjaGJxbUtVcFNDU2c?oc=5", "source": "Business Standard", "published": "2026-10-13 08:33", "score": -0.34, "label": "Negative"}, {"symbol": "E2E", "title": "E2E Networks, Hitachi Energy India, other AI-related stocks fall up to 5% amid global AI jitters", "link": "https://news.google.com/rss/articles/CBMi7gFBVV95cUxQR1MydHdOVXVrZVYxU1dTNVlQcC02MlhXb2FWSGJDcGVOd3ZJb2liWVBtZTZMN2owQ2dRRU50Z0NQVl9BMTJlbGNtYW5WRFJwVG1wSXlTNmJ1VFExVFRiZDNqd0dDWGNoeEdWcXpSS3ZDV0NSZEQ2ODBLc0tjbUY5b1FzUWk4em1mc2EyQWpsZm9HNmRmVDBtNEd0X09zbmhQb3oyeklMWVZJa0tUSXZYRnZqUWdYekdsb1pnRkdfaTJuNEpHZ19GVDZTUENFTUFid2ZXRGRVRUl5aFRLaDhiM0sxUGJJN2xUVzJ3QWhB0gHzAUFVX3lxTFBMTjVqSE1LZG9abGZxMDZhN2lLbWxQcWVkWmUwOUtGc05iZWFhdWZxWFpZeGxBb20zZy1YdERrMFltV09CU1NsUC1ZQ29yQXEwYlBaYkpYZmRtT0FBNUYzOUl4VWp3X083M1UxcWpiOHdzWml5V1ozTm9fSEdZUHJPMTBIRHQ3T0RDWDJEUTQ3TXlKeHg5cUFmOGkySUZVWDVCUHlhaWY2RXRwcHRKb2l0dDZIaVFWYm5OQThxZDU1djVDZVhyYnZFTlkyWGZXSnZ3ejRFelY3dDlJNUNGS2I2TE9NNzRHQzdkRHVhWUhzd1BTOA?oc=5", "source": "Moneycontrol.com", "published": "2026-10-13 07:46", "score": -0.077, "label": "Neutral"}, {"symbol": "ATHERENERG", "title": "Ather Energy Share Price News: Valuation and Sector View", "link": "https://news.google.com/rss/articles/CBMieEFVX3lxTFBJQ0hiQ1ZuU2pKT2tSbTdaelNCNXduZWdNdE82cUh5NWNMZGUteVV1NEVBSVktM1dXRVpKc3Nzbk9RU2VxR3VVVDR3RGpKMm83MEZwZWdONmkyZmJNbzREd3F2Tk1JU1diVVdCWlhGWkxnUW04NDBKSg?oc=5", "source": "Univest", "published": "2026-10-13 07:00", "score": 0.273, "label": "Positive"}, {"symbol": "RRKABEL", "title": "RR Kabel Share Price Drops: Price Action and Fundamentals", "link": "https://news.google.com/rss/articles/CBMic0FVX3lxTFBfZUw0Z3FFMW5wMEh2Y3hDQWYzaXBDdjYwOTU0U0F5QUhQOUJrOVBwaklBamt2WlZRV3BpSVk2cllvR1h5OUZuZ1JIX0UzWVllUEJfRVhGM3dFZzdRenlJMXpwbVp6WmhsZ0ZfdVY5bEdyaVU?oc=5", "source": "Univest", "published": "2026-10-13 07:00", "score": 0.0, "label": "Neutral"}, {"symbol": "AEROFLEX", "title": "Aeroflex Enterprises AEROENTER NSE Price Movement Clarification", "link": "https://news.google.com/rss/articles/CBMiywFBVV95cUxObDNMTUhmLVQ1ZlVSdGxrZ21NTkx6V2p2VkIyUGZaZUIyRWZ6cmR1cHNwSDJieWFkQWdneEU0WmhnMzZVbndPc1NOanJHMzZwejB4eDdueDRTVzJRLVBwT3hmVmNWb3JtYVpHX3NyMHJyM2hweVRJZ3VLOXZ2UndTYXVPQ0ZNOHdRbS1IRTh1WU9iU0xMMzVXSU1sRFNnYjNmaXdSTm41eWNtdk5YbW9FNVlxaHlETl9sNDFhYW9oUkNiTGVtT1U3b0hxOA?oc=5", "source": "Kalkine India", "published": "2026-10-13 06:55", "score": 0.0, "label": "Neutral"}, {"symbol": "MARKET", "title": "Indian markets turn positive after weak opening; crude oil prices, global cues weigh on sentiment", "link": "https://news.google.com/rss/articles/CBMi5gFBVV95cUxPcko5UEdiOC01aEM0TEM5R3hLRVA4VE1tYm1jOXJOVEpwR3g3VUF5ek5XbTRrdDZEZUZVRkZJcEJrSmtqX2tfSmNkNktzWHdtaXJhQkVFLVAtbXdMNFRLZFc0UWFOQ1ZZZ3JyaTdXMDc2cUd2SjI1QWROSzFER3Y2b0lrZV95SGpTOGN3R0VDeWw2TFp2bVJxWm90THM0cVVtZm11ZnhSLVlmOVZYY2trZ0RBMnRBaV9KVHJGNkpnOW9sMGliVUtsM1l5d2UxVERjVXFNQ1YxNk0tQnhkU3NYekUtQjhRd9IB6wFBVV95cUxOelNSTEV0dldJVUhjU3NpNlR0VGZ0dmRyanJBYWo1dHQtX3FmdHA2NlBqYmVXeUtRMENzR2ZSM1l3TGN0Ylp5VE9ELWtxOFVUSmM2bWd5bEZVaWY2RFJEcE55YmFTZDFSSWxHZlQ5SndXVVNDWjRDeWNCaWQ2SnRULXFsSVgwd2piOHJEWHpqRjZHR0VmSTViNTZFRDJTMk1fNjlPdUZWM2lwd0FrVnFuaEk0SWRlMmQ1LTBYbXF5aUFORDU3TGs3SUthYmR0TDFhQ19QSnNyblBmV252ZWUzZV8wVE9sOGdORFRV?oc=5", "source": "cfo.economictimes.indiatimes.com", "published": "2026-10-13 05:46", "score": -0.402, "label": "Negative"}, {"symbol": "MARKET", "title": "Why did market rally today? Sensex surges 1,100 points, Nifty closes above 22,700. 5 key factors behind D-", "link": "https://news.google.com/rss/articles/CBMijAJBVV95cUxOMWNoVGY2ZEY0ODFQMThwbU1fd25ObG85V0tMVkxfYVZ0UVNtVXJZV2hQY19WNjJrMnc0Sms5bGxfZ00xdkNpR0I5b0hlVVQtTjlrLUVTVmxZVExFZHhuOUZPSkFadkVQWS1HOVNnNHN2RDVnOGN0T1A2WGdfZ084bk9Bc216WU9aQm1KUGRYMkxaVDQ2aDROZmU5UVY0LWdreEhLN1drQXdiZkc5di1oVTJRbzJJR19tM0ZuVUdqVEphRS12cU5XRGZVdHhMTkwweFVzNWt5REF2bGhaaU9oaTljaTE3N2R3VW5EaHQ0WHlnOEtneElFU1dZRUwyR0JhWW9HSElIQnBmU2dF0gGSAkFVX3lxTE9YWXdLSjc0NGYycjJjbkwtbFZsNnctR2hoeng0cUxRdHBuNXRwNnptRTVrRHpMc0pyZ0xRU3ozTlBDUG0zOHZkSks1REdobk02WlNIOXl2TkFxNzBQOTRkVW4yQW1JZ3JGejJKUGtfeGszbXl6R1Vqd1hHT29xUnQ1RUlIdEE2X2NjT1hDS1RxSGdzYUc2dl9uUzdKNWg1aHZSWXhOaUpyMXNFMjBWYnVUVEhfMEswUmhBbEZjSmlPM2RMbk1IVVlfQ0JGMFVoVXlOcDFGeTV6TWdrTF80ZHVhVEljMXRGTnRZUWhpekk3VEJ1MTRiVXdfbzFVTGFrTnl0VTFtR3F6dm1zdlBjUk9tM1E?oc=5", "source": "The Economic Times", "published": "2026-10-13 04:26", "score": 0.836, "label": "Positive"}, {"symbol": "ATHERENERG", "title": "Nomura on autos: EV penetration to decide stock returns, picks Ather, M&amp;M", "link": "https://news.google.com/rss/articles/CBMixgFBVV95cUxOczNFM3dEVVhwLS1IeU45MnBxMTFNME5MT2U2QktkNDQ4MDVhYzNqc0lzdVdpaHIxOWxSclJULW9oMnFWeVowNTB6TXpzd3E0YjlrOU5wU0gxcGlMRjRnR0g5amNrdW9FekdEWm4zeE9TN1NUM1p6aTR3YzNFQTZVa1drWmRreWRNZE5kT1JSX0k0LUhXWDRMM3JUWTJ3NmNzRFQ1amd4bi1mNTRKRTcyVTAwelBXNWFDNElNWUs1c2k1c0ltWUE?oc=5", "source": "Business Upturn", "published": "2026-10-13 03:06", "score": 0.0, "label": "Neutral"}, {"symbol": "MARKET", "title": "US Dollar holds near 18-month high amid rising geopolitical risks | What does it mean for Sensex, Nifty 50?", "link": "https://news.google.com/rss/articles/CBMigwJBVV95cUxOQUVCTnFDYktXNmEyY2tFYVcxRVJrZUVqaVJpa3lSUFRIZ0drdllISzhoaGRLc2RzUWRYR3h0ZlJrNnpjUGFDdWJuQUhZNzdqQzZ5Z3VHVFZubUtlWElnM2p1VFRGcXhRMkZPR0tHam8xeHdibmZvcTdYa3hOVnliNHNrZWJRdjVrTmVhUUJJX3JBWlRtUFVfSTltOUhLeUJGbmVpU1BBZFdPM3R3blhZb0FYeWpHc1hUenJ5QkhTTmh2M3ZXYTVndWM2dXZibmgwVlNYVlQtYi1nT0FuWXUwaGhvSTBabVRBdUlwTy1FTFpLM1Q5SnY1VU1oNHlOWGp0eThv0gGIAkFVX3lxTE1rUXZRQzZQZWg1QXpQNlAtYmNJeldOdEFyR2E5SXZfbndJbExXRG9zXzA3SVJwQW9tczdnZ2dJOV82OWV2Ylltd09zalVXbUs4NzkxcmdIUldCejY1cDJ3bmdyWmxnYXJaZko1WnRvZTA2TDZMeXZQbm95cUN4RktBaGVydVlsR2daNU40aTU2aldLS2tKX0M3UVVUSzJXdmVWQ2tPaEtMekV3LTMzOUluYzdyS2hBeGwzSmx2XzV5Ml94VnBfSG9NSHNvZ28xZW5icElkTFNDV1hTOFh1NTVmM044cURONnhNWUx5eVRhcHJuV3lpU1VMSTF6V25OTVdjUlJzTS0xMw?oc=5", "source": "Livemint", "published": "2026-10-13 02:39", "score": 0.34, "label": "Positive"}, {"symbol": "RRKABEL", "title": "A high-conviction Indian materials pick is up 19.79% since our models flagged it", "link": "https://news.google.com/rss/articles/CBMizgFBVV95cUxPVkhRY242c3ZKVGxfN3d0OUFLRjJ2bU9lWks0ZGVsYlhwQURUZjNqN2QzWmoxR1lYN3I4TV80dG1NZGpNMFYzR29WMVl4VDEzX1YtUWlwZ0pCcjFYbzRlWlpYSHJ6Wk5pLV9QTUgyRW84NUE1QkowdWZYRzlqRnBHTURlazRtT1pRZEhxaUxMQW1XVi1Vc09lbWhuSXpxRGtUZG85TENteDNBbFV0S0ZMSmk2akcwU0hSN0N3c1VPVjJnM1NTdWd0czVnMmF1UQ?oc=5", "source": "Investing.com India", "published": "2026-10-13 02:13", "score": 0.0, "label": "Neutral"}, {"symbol": "MARKET", "title": "Stock market outlook today, 13 Oct: Sensex, Nifty prediction - DJIA, S&amp;P, NASDAQ, GIFT Nifty, Kospi, Nikkei, Taiwan cues", "link": "https://news.google.com/rss/articles/CBMihAJBVV95cUxPZ29zV2t0QTZVWXJjQnl0QXVLZW5IczJOcmRuWmtRVGh0SkkzU2k1dzVwazJTOEVEZnM0NzFrVUFKNHlVUEZ1M1d5YkRRYi01bU1NdVZGT1M2T3EwOVd6V3FrOTBhR1VSRk1YWk5Gdnh3Vmw0UW1mWHhLY0Z0d09vbXdoZzhPNW1sQUV6NUwyOHpuOHdiaWFGUFVPSDg4MU9mVE95cGRwNUl2QUlvLVZFRWlicmQ1eXNobDdzaUZFTS1uU0JLcjBta3FKbGoyT3ZUbU56QlhydktfTUlNTnkyOUx1MDljeWtMblZsaGVwa3d4bjVRM1VJNEEzNlZ3RldsZW5MX9IBigJBVV95cUxOWWFob3JvbmdURmFpVkJJazVtMUkycDdaZHJKLVVUMW44bElPcUs3NzVaSW5jUWpCenJFTXdFdlJKQV9MX0Fzam5mU0JsYVVaMzBzb1BjNFV2YW5fRlBvRGZsRHB6RmJaQUNLZXJGWlZGUzhHMW5aZWM2TGZBaG9ZZ25aZ0FrRWF6WnhfWDFadlRTbXlWb2VWQ2pVVkYzSlZNU0ZmYThwem4wcHdSMkNBel9zbGJNSGM0LW9TeWNEVWZtVWk0RE5uTTJiNXZyN1pGZE9jSC11TXlLcFp5WlU3UDZKX2dFYnhuVGk2MUNkUEYxWWdHYVVzV0d0dl80WUZyQ3JwQWFZYVNyQQ?oc=5", "source": "Livemint", "published": "2026-10-13 01:15", "score": 0.842, "label": "Positive"}, {"symbol": "LAURUSLABS", "title": "Market Trading Guide: Astra Microwave, Manappuram among 5 stock recommendations for Tuesday", "link": "https://news.google.com/rss/articles/CBMiwwJBVV95cUxPU2JjRTFObGFQWXNFYnNzYy1TZExQVWtPUjYzVFBicE9RSG5pVUlnMW1IdnRXTThiMm43QXB2MjZ1eDktc1BOeTJ6bmlsZ19kdVQyR1RzZ3NUUGR4YkhlV2tTUTZZUGFlZ21XSlNiSTRoeVlaVU51R1FsMk14MHlKeUVkX3k0LXpnTUpfYVdHOWdmY2hGbEtjTTlDZkxSVk9GVklSdEg5U0pvd0h6WVdMWFN6T25PdWIwcW1pVlBYa19FRXRtTkI2dEVSVWZhMmVmMldGdjJTY1hEcklCcU0xXzBmQTVoTjF1ZWhFaG00ZDUxRW1DQS04alQycVFBSlhFSVJKeThYQzFoNlYtbkhlRGxQSFNGZmRpQlhVanpwdW8tcm9wbW5hY1dnT0dzb0J1Ql9vN2EyZm5ySzZydnU0MEJVOA?oc=5", "source": "The Economic Times", "published": "2026-10-12 16:06", "score": 0.0, "label": "Neutral"}, {"symbol": "DIACABS", "title": "Diamond Power Infrastructure Share Price rises 2.08% today", "link": "https://news.google.com/rss/articles/CBMikwFBVV95cUxPSXBiSjY3M2ZUUTQyN3RTcW9VUFBMYVhPZzRLUGl6dnVqb0ZkSDA3YmRaRzhyMTR2Q2t5bFVqSEdleV9OZFlncy1qdTQ0S3hRR05hdGJUX3RSZ3ZZU1ZjWi1DOG1yelk4OUxpRWRfQmpZM3cyZnpfLWpVNGc0aG42SW14UmF0TzV2cF9IWENqNnFTRXc?oc=5", "source": "Univest", "published": "2026-10-12 14:08", "score": 0.34, "label": "Positive"}, {"symbol": "LAURUSLABS", "title": "Laurus Labs - PVR Inox among 4 stocks hitting 52-week highs; rallied up to 13% in a month", "link": "https://news.google.com/rss/articles/CBMi7gFBVV95cUxNallON0NSRDV5VWxYaFBGcldhRUZrT3NZVnRDcEEybmVOUWVJT0hkVk5ub0pocU43OFd0YUNfSU9NUG15TllvSmpEUm9jbGZXTE5MaEJUSGx4T0l0TE93cUFBWnltdm1hRjZybFJIRnZRdDNPN21KYUJ4Vy1rRjh3NTJ5YmRCVDZVZnU2dlA2SHNiMXd1aWdIS2tGQjlsaEZ6WGpFd2hUOG12OE92OElCNDJVeksxOXgyR0Z5WG9XVnRxd0MzNUJDMjJsTDhpQTM5d3FzWWtlQjd3V1RKWjRjVGhDOU90U2c0cmlnZ0NB?oc=5", "source": "The Economic Times", "published": "2026-10-12 12:52", "score": 0.0, "label": "Neutral"}, {"symbol": "THANGAMAYL", "title": "Thangamayil Jewellery vs Nifty 50: 1Y Return +141.84% vs -10.93%", "link": "https://news.google.com/rss/articles/CBMiigFBVV95cUxQLTNCdkVaNXk2WEh5WThLNWhHVXhhaDdFV0JJVUJsUTFvaThQMmduOVRoOVktNWVXRjFfbFFTQmM0cDYtTk9tUHVGbE9IY1ZHaGhkNVZiNEZKOU5hcUpYVjFmNkNHRmJBQXRJVG9xbGJTS3R4Vk1pVjFUTGFCQWR6N0gtanJqbUkxd2c?oc=5", "source": "Univest", "published": "2026-10-12 11:50", "score": 0.402, "label": "Positive"}, {"symbol": "TDPOWERSYS", "title": "TD Power Systems vs Nifty 50: 1Y Return +164.41% vs -10.93%", "link": "https://news.google.com/rss/articles/CBMigwFBVV95cUxPM3BLaUl0blZVMzFfcFJxbnVFTy1WOUhlRDVXckZMVk1jUEkxdF91VmZBOFVySUtPczhRZVZwZEtPTU5BczU1aTVQVlc2MkphN0R6OUF4LUswaDBlRWVkR3ItQmZTcHZPNjlSZmtRUkRRQmk5MmhnT3NJSFJ6RkNtNUpLaw?oc=5", "source": "Univest", "published": "2026-10-12 11:48", "score": 0.402, "label": "Positive"}, {"symbol": "MARKET", "title": "Stock market prediction for today: Sensex, Nifty outlook for Tuesday | Kospi, Taiwan cues to watch | 13 Oct 2026", "link": "https://news.google.com/rss/articles/CBMiigJBVV95cUxNcEF4NVZWcEFpTldnaHptSE4xTUgwSFBXbE5wd1ZxYWo4bVdMaHFNMW40WnV5dmxpQVFiR1BTbFpPRmpUN3FtbWNlbmVHczhfcFZmVFQ2b0VxRlVISkd0TnZ3VVhlU3BhdnZmV3VOYlBWaURwaVJLaDZPTFkwbXRmMWpVSEV4TE5VSlpTQWQ5cHpiR19pNnoxWGptSFN2YzF4UUgzX1UwVkdIVFYxVXNPOHdRbFd0Z1ZRMTN3ZldiLXBNZmVObVl3MnZXR0ZjRU1QVWRkVmZxSmZUVHE0bzVYODRoRlJISnpHXzI3ck44azRYLWloZlhSa0E4d1BvbnJCblQtQnZjb3djQdIBjwJBVV95cUxNVUZhelRUXzBISVQ2V3hoajlXcy05d3V0TEpwaGYyWDk5S3hVcExKSGQ4eER3dGRQRFZGWGdvQm14R1QzUXVvT1NzREw0QWJyVnIzdl9MUk5MajVDQjgzbmVwQTZTdVY5T0dZN0lKU0ZWem9BTlRvdGZxaXAtNlQ2dGxaZElFdFAxQzJnWkxENEJSZk9acm9oMFFyUHZDbk01SWx1dENjVDZKcVYyYTdSNFdqcHhhcC1OMHM3V3JUcDBtcWtWNk50N1MtbzhrRTRGdVhVVkNDRjJtdC1rY1pRS3dNRjFmaW1MU1hwVU1NR19IblBFdXJoQXZERGpRUjI2SkxlcXVHbnJpUWlXWGRZ?oc=5", "source": "Livemint", "published": "2026-10-12 11:27", "score": 0.402, "label": "Positive"}, {"symbol": "MARKET", "title": "Why is stock market down today? Sensex, Nifty 50 crash - Top 3 factors behind stock market decline explained", "link": "https://news.google.com/rss/articles/CBMihAJBVV95cUxPRkF5OVJkVnk0dGJCck1lTlloc1lRRUg2bXlQYlgzOUh2Z0RmeWpVQmJrV01BLTJlTTE1anRjd1NXdmlRR1ZPQVREMjRpR3F4elotUmJ6RnRxTW9faUNWOWxGY1Q2T2lGNUQ0dlN4VE5Yc1hXME5XbTU0cFMyRFFQQVVmeHYtYlk3Um9ELUJLQnBhc0Vkd2plOGFkR1ZsR0RDVFNSRmlpR2RzQTRVNXpGQmZ2Q0l6SDhfSlNXRWhHUVFOS213UHExTDZtU2NteUxZOG5TbTNKdFg3MlRaWXl1c0JONTc3b0x4alFfUmUwWFpINUN0TXE2b1QzM1drSVM5TWVGONIBigJBVV95cUxNdkVHVHdLcWFVSU50TlNPYkpIUVBpaUNSYzlxZUJxdEdGTmNCeDJJeUVwLThqSDVkQ3ZaWGlpS1dMMnRBOWllYnNCZGZkOEszV0RUYVBmNHNyQjhJd0VlbnJqU2kyLTVqLW9zb2Z3WUxTY1ZPc0hQcTUxYV9Xc19abU1TeXNzRDhqRXd3Wjl5SE1uMlEycjhwOHVVanlTZHRHeHVyU1F0YmxhVmR5ekMwcXNBNjc5NjJKMkRJOF9hMHZKdVdKNXB1TVRaX0hmUVAzVkIwbWtFR3dpaE9ld3R3M2JFWGVhblRzYUM3Q2ZZaTNxREJGUU5yX2ZnS241R2h2bkNTTURSUmVsZw?oc=5", "source": "Livemint", "published": "2026-10-12 08:25", "score": -0.44, "label": "Negative"}, {"symbol": "MARKET", "title": "Three Reasons Why Market Is Falling Today: Sensex Down 1,000 Points From Day's High, Nifty Below 22,400", "link": "https://news.google.com/rss/articles/CBMi3AFBVV95cUxNdy1zZE1WQ2hwREJZbjFHbE9aUmpsVjN5LXV1YjVORERkc3hjYlZTbEJUdHJILWNYLW1VZS0tRTFTM0F2azlmaWtrMFB0TldoTXYwam5IbVNqTm5VU1diS2RJaDF0eGZDbUNpcnh0NUl4alVsODJUYmUyaUlLV1ByWHY2dmlRZTJTTUdRbDFZenpCZ19zQkxGalhQbkMxZnliak95ZkJ1WGEwZTZGV0pGLURYM3d5c0dJUWpIYWtDYkRMUWcwMFBvSVFQYUZGU0Uwb0ZtR2U4c21DTTJp0gHkAUFVX3lxTE9lbjI4bGVOVDJ0dkpVNlpLNXI1ckozTmNGQUlXd213QWFLckdpNzNmd2RDNzQ0M0NRVGdCMGxLLVhQVmkxb3FEM0F5UFdJN0FnY1BOazhKcVBJTjZPSV9QbWdZb0d2LWNQZmlLblh5OUpDR01nSHN2TFJmOTMySHFBYjVxY3ZkWWxxaTdBLWs5M20tYTA2T3FOMFUxOUtfMHBqY2VjUHZtSjJMeFI1WmEwY1Y2Ujg5VXBYU2oxYVhqVTZFRWZxaDMwbUo2blNHSEh4bER1ZmtjaXJUZ3JHQjJYZm1qbw?oc=5", "source": "NDTV Profit", "published": "2026-10-12 08:23", "score": 0.44, "label": "Positive"}, {"symbol": "TDPOWERSYS", "title": "TD Power Systems Ltd. Share Price Rise Streak and Analysis", "link": "https://news.google.com/rss/articles/CBMiiwFBVV95cUxPMUk2aDJkZ0Z2ZHJvRFdwTGdya28xQTYwVmI5ZlhzbTZTd2xKcFVjazl5N3NWbzlMMU5ZeERrWm1KaXNIRkkwUlNpVFp3N3QtUmt3N3BzcFhEN1JkNW9rVklZelluMld5SjhmYTFFM2VuckFkdzJPd1Nua0J2QTlicHBSWmRWTm04UU5r?oc=5", "source": "Univest", "published": "2026-10-12 08:19", "score": 0.0, "label": "Neutral"}, {"symbol": "AEROFLEX", "title": "Ashish Kacholia portfolio stock Aeroflex zooms 15%; hits record high", "link": "https://news.google.com/rss/articles/CBMizgFBVV95cUxQR19VNjc0M0JfTVl4SDZHUDVBSkxVUVFyYVhWSEU2RHJEZnhha0gyVzl3RWRRWGlZTkJpSVIxMldJU01Wb18tYVlNWGJ1MDhjYVJYdTZuU2ZGUjdxSVRONVphQklrVUtmVVBwQXN5elZUaUY3V1kxZkhFcndFWVllN2draW05NGUta0ZsNDBEQVJjNUIya3o5NmxrcmwwOE5EeWlHdkhRMjlsYURKcjdRRk5fVUJZRkZWRjJTQ1YyOXFWUGN5SlhickVHNTVQUdIB0wFBVV95cUxQMkw2N0FNRHVlZFhrbzNIeDJ3NVhNOHIwSFJJR1J3TGY4a0NOdnE1UTQ0QWVrdjhhdU4wRVhOODNSeUc0UmRUV3ZDYlNyNDVXMHNnWTc5V01XNTJHd3RlTlhUNFlremxEb1pFY3hSaUlWNTMxQVN6b0hZbWFrN0pzM0RjNlJ0d0NWbTBHUVp5WlRsblhlMjN3amVPbU03ZmRVbGRrZ0prMGxCbUdfY0tMdUp5aDA0VDJjWnJWRXBEQ0lNeDVwN1Z1NWxIQ3c4UzE4VUtj?oc=5", "source": "Business Standard", "published": "2026-10-12 07:07", "score": 0.402, "label": "Positive"}, {"symbol": "RRKABEL", "title": "R R Kabel (NSEI:RRKABEL) Stock Forecast &amp; Analyst Predictions", "link": "https://news.google.com/rss/articles/CBMiiAFBVV95cUxQNGxTOExuMUFDS0lWOXFkeEJtX1FrY24wT0hJQVFNbjlvT2hiRTltb2Fad1VCWV8wZTBvNE56VDdqOEpRbzcwejNkQVYwTHFfMm1HY1FXN0NsNUJCczVqVEd6b3lhMzBpLThjZG1GV3dnc2MyVUFSY0JXeVdrV1QxZlp2OExZX2pB?oc=5", "source": "Simply Wall Street", "published": "2026-10-12 07:00", "score": 0.0, "label": "Neutral"}, {"symbol": "MARKET", "title": "Closing Bell: Sensex sinks 548 pts, Nifty below 22,400; IT, FMCG and financial stocks drag", "link": "https://news.google.com/rss/articles/CBMivgFBVV95cUxOUUlKSHVLZzlObEZ2M3ZzLV9sQTh0T04xZXBJREVoMENFNkN5SUlQUHdDU2QzYVB6WFlQX1dFMW9IbUlEdjJtb2Izblc0N003Z2gzRDdPQ0lZZlJCalpPbVN2TjFESHcxYVE5ZENVNzhhV0xSMEZXbTZvdkJtRHhoRUVya3VKZk9NYjFGcW5KTWMyc2wyM29ILUJWOHZkN21fSGlLbHh4empqODlydC03NjczZUI1Y0JXZHpybWdn?oc=5", "source": "IndiaIPO", "published": "2026-10-12 07:00", "score": -0.296, "label": "Negative"}, {"symbol": "MARKET", "title": "Sensex falls 500 points: 4 reasons why stock market is down today", "link": "https://news.google.com/rss/articles/CBMiywFBVV95cUxNdlJYRlY5Mmx5NmdKblRKUEVqZE5OYzEtX2RvQlJLUTNUX3pfbm9HajRuNmZMc18zVXo5SHVvNHJfaWdXVV9kM0VCRm96ME5WX3JSVllDZWFhQTB3Nk16ZFM3QzJOQ2s2Sk9XLU5lcmpqSXR1d2RFamlfOFJ4XzJ1b2ZRMERHenJaY25tc1JvVHJRWmhKbHVCVUpISUFqNzNsMlQtOGU2cDRGTnY0M2xpM1FvMUctTlVOWDFfYTgtRkpmUGI5QUlUeWlaVdIB0AFBVV95cUxNSHV6MU9OMEJNSzlRSWNJTm1XUFYzaFRjancxN2pJbnM4SkNQNGtwLVhvTDk4cFBpbzNRcFFnSDJ4Q1ljOFJnUGtDS1MzN3d3T2Jld0hpZUk5aWw0X2o3aWNjZU5nU1YtSmMtLXBxa3FINFJtdGFOQ09tWXR0cFNIcUc3c0REaFNhbjZid1BleGhHZHU1MWpWYXdUb0tNQkZCUDBMUGlDbm95Q1J5U2o3WkdUdXpFYkYtel8yUW95dEJZR253eXpHcXFxaE1OMVdC?oc=5", "source": "India Today", "published": "2026-10-12 06:12", "score": -0.382, "label": "Negative"}, {"symbol": "MARKET", "title": "Why did market fall today? Sensex ends 548 pts lower, Nifty below 22,400. 5 triggers behind today's sellof", "link": "https://news.google.com/rss/articles/CBMilAJBVV95cUxNQnpXVTdHZUdZaUpLZWlyX1d1TTFRcGRITFRrYVJFY1NqS29PaUhtNmpxcVVuMmhobC1UOFpQd2R0OF9Kdm5jX1ozdnFPcFZiUFVJVEt4OWlMeEZkZm9IdmRQcndqNkJfc3RoYVB1Zm5iQzRRcEp6U2ViSWlwNXJ3SjdWaUNSSU56UzRXbTFGclB5cnR0a0tGNVN0SXZwYTEyV2c3VWp2WnFrcHRCbmptVlhUVExFdmFaT3VfaVBnMmJzSVMtaEZZbm9XNnE3cnR1OWp0RUMwM1ZwdTRLaU9ydnhQdGxrQmFFZlZJdXpOWjJyMlZGNnd0WTQwOUdOUjFlaW53ejY0OG5LMllCdk9ZY3NJczjSAZoCQVVfeXFMT0lDem83emZzSDZxdURPVzRtaUkxb1ROZWtRR0NCNTgxamp2Z3czUHRaZzBzV0Zkc0g0WlVPVURISjNqLS0tX1VaeHBSUW1XSHJLdzFyRG9NZEpMRnhBRTZxOWRDSU5TODYyMC1RTUx2MFlDeDlNY0RpQkZFZlRXelMxZ0Z6b3B2R1FDNTRPeFZGM25lYS1tRXZvdDRuVktKZFVKcjVCU0JMQWJ6QTAyVDFfeGZja2dlX19MSGcwR3FQbDZ2UTA1X0FQTTNkVmN4MHVURVVhZ1JpdzhHY09VWlZ2Ulk4MGpyRXBVSktmR21pV1d3MDR0QkRUTExpZDB6T3BRRS02Y2ZEanlERmtIRW16UV93cmdDRVhB?oc=5", "source": "The Economic Times", "published": "2026-10-12 06:00", "score": -0.128, "label": "Neutral"}, {"symbol": "ATHERENERG", "title": "Ather Energy Share Price Rise Streak: peer comparison today", "link": "https://news.google.com/rss/articles/CBMiiwFBVV95cUxNVEI4bC0tOFgzY1NVeHl5WE9VRTVTU0p2TXBTdXYySF92cWdTNTlXQTVFRkZWa1BPT1pqSUctOGRWM3JhbmF5R2d4MEc3TTVRdEZuU0ZyZWZIOFhZbDBweld2QjBWZ1BkTk9XVHBNUVRGeWVjVnRnMF9aT2ZZMXBXQXB0akdqOXBqUjNJ?oc=5", "source": "Univest", "published": "2026-10-12 05:16", "score": 0.273, "label": "Positive"}, {"symbol": "MARKET", "title": "Stock Market Today: Gift Nifty, US-Russia Diesel Deal To Oil Prices; Five Key Factors For Sensex, Nifty 50 On Oct 12", "link": "https://news.google.com/rss/articles/CBMigAJBVV95cUxOeGRTUFIzY01HVndmNThNSjZMRjJoUXl1blJEN1ZZOEUxMy1NMHRfc0J0NklLQmVscEw5eU05T2wtM2tfdDhYR25MSnBTejRoWTMwS3VDc0hpc2wtVTRiUlAxZUdCdzhJb3UwUjFOenJUSEZubW5ldFJPNzlrcGZmNWl6ejdCRmRuSldNazFqUUpEek54ZVF3dU9hZk5VRzNwNFFTZGpyeWl2MjJmZ0VXTUFqSERURDA5bzZLV3ZkZ2FQNVJMV3I5YXlDTDZhVTFsa2hBSk5ydHRlbjV0Z0N2Q3M3c3ZpejhLU3lPMjdoYmZjRzdBaDN5UnczYk1qeWFW0gGIAkFVX3lxTE5GY0VuT1dZM3I0bGhCOFhtdlBPSmdXRlhqSk43V0p2YjNHS19MX0NLZEF2UVZDc1VSMm5WNTloVmRWaGpENVhOS3ltVkc1ZGdralJDTlNtYU9aRml3ZFFrX2xPcmVBZkpNeG9DTzhXdkwxU3MwMVllcjF6aURqMnZTZDExX1YtZldLNnBWVFBrMkJSS2cwOFYwd2FhNEVyTTVWbi1ldmtaWkxlVEVKTFo3dW5sS3NuRllrS1VWaFhWS0Zia2M1WjJiakZSZUc5c1doU1lLcV9Jb1liU0hyYmloSzltalNpOFo0ZHBiaW1rbW9sU19yWkloSUl3Sy01ZWZTeUdQeGxQWQ?oc=5", "source": "NDTV Profit", "published": "2026-10-12 01:37", "score": 0.807, "label": "Positive"}, {"symbol": "MARKET", "title": "Stock market outlook today, 12 Oct: Sensex, Nifty prediction - DJIA, S&amp;P, NASDAQ, GIFT Nifty, Kospi, Taiwan cues", "link": "https://news.google.com/rss/articles/CBMiggJBVV95cUxQdElobnFRdkhBaW55dkdTbjNrNGlBZjhGcjE0em00Y1JNVmRhY1dhNjBCa05QbnpMVG5iV0hfcUxDV0ZwTFVYT1lJUF93ZjlhUGNJS2JKNTlPYndRSGdFcU43eDFERnVsYWZoRjJVNjlSa1ZHRURsUm9oaXpmeGM3bjZseDJRR0hERnd0aVFPSm0xLWNHU1VkSnRpZ3daVVlVZlE1RmZ0TXVpbFJicWhWUDB4ZUNrU1lzNThzY3duMThqZUhHd0lPU0tYZ21TaVFaV0J6U1JFSnVxcEs5NG0yTTRuZnZkNGZLZWQycElBeHBETmY0UkJ0VXBhTDROYU83X0HSAYcCQVVfeXFMTV93NTFOWk1nTnVTOGk3M0llNGhjZkdrckNJNHV3bWxGWG5OaVd0VkR5NjBwZkNZV2ZvajZSTE52TDViYjJxYTEwOXVRaUhOaUtDeGNneTQ2dEpxNHQteHdmaXQ4Zy1CYm51R19idlNmUUtBaHRrSGo3QVh0d01ESTFOYjFRX1IxelEzWHFwNUNVbDBWcFRROFhGTS1iOVN5OWY1QUU5RDRUVWJNWHZQajlPVXFnSmVXczlmQlJ4R0IzLThYVktGNDRIRTRZUVVscU5iNmptb2YyS0lacE9JRURrM3JLaUJCTWhLV0tBbG92V3pFYVpWRlNDZHBqMnRCbTdTZWlHVUU?oc=5", "source": "Livemint", "published": "2026-10-12 01:27", "score": 0.842, "label": "Positive"}, {"symbol": "MARKET", "title": "Market strategy: Where are Nifty 50, Sensex, Bank Nifty headed this week? Top things investors should watch?", "link": "https://news.google.com/rss/articles/CBMigwJBVV95cUxORXk1QktCY3doRkRqSHNCQmR2bl9jTjBaRV9FRWl5SHNpb0F1WUI3eGlycF8xN2daV2pSamRLSlBmblhDSkZSa0FzY0lVZDVCUndrRGdxaVR3WEFiVmZqV0wxRHRJS2hsXzNIa3A4SWdqMWhqc0ljYTRhYUp0VXozb2tGS3RiLU9lNS1Ga01kaVlHQ0NQc054MzlXdkNPWlhnS3BDWi1xNVgyaFNrZURkdU1kOUJMVTgySEQ2OWF6VTFWRVZRbEN5Yzh2WFRLTHg4NVROdlBMcXFpQzRxZXlQbWNGQ0tTYmVVNnN3bWFZamcxVm5zc1o4QVNZcVI3dkJSNTVF0gGIAkFVX3lxTE9Dc1BaS19FZlQtNFBKMExpNTgtVGRUbTBtNW1kbzZsME41NjlDR19JUlZGLWIzS3VEbXBhWURvV1M5ODk2aUxqWWg3MERYbG43YnBOVkx4eHVGSWd0aE5UWXJoMnVjVkd5aF9Ed0tkZ0hLRmNTNDZBUjBmSzRWeEt5M0FuLVJvUzBDMWF5V1hLMzNBQWJYVGIxajhHbDZrYmdiV3JoNTNwS0hJMTVFZFRFWTc4UmtrNE5NTW1XdFl5Ujl5V3I1cm9oQ1R5VEZtODhxNWp5WEtYSHJJeEVBaDhHcUk4STVUSHJoZ1VzZ3ViZi1wV0kzS0NSdVhCeVdFaFRtU3JWV3dfcQ?oc=5", "source": "Livemint", "published": "2026-10-11 11:10", "score": 0.762, "label": "Positive"}, {"symbol": "LAURUSLABS", "title": "Cipla (NSEI:CIPLA) - Stock Analysis", "link": "https://news.google.com/rss/articles/CBMihAFBVV95cUxQZTBxc1hRam1DYmh1NTNkUGZybDVTVXBOSFhVTzh0TFlvRjBFZGx2cVZyaTZOdWxXekdEVks3VjBKLThFNElScUhjZFMxTDBYNkRyUnY4eUpOei13Ykh4LTRXa2N2MEtQamFIOVVyQW50LVRha2x4OHUxN0hhWnZ4WXNkOXY?oc=5", "source": "Simply Wall Street", "published": "2026-10-11 08:21", "score": 0.0, "label": "Neutral"}, {"symbol": "MARKET", "title": "Indian stock markets snap 8-week losing streak - What\u2019s next for Sensex, Nifty? Triggers, strategy \u200bfor investors", "link": "https://news.google.com/rss/articles/CBMiiAJBVV95cUxPQV92OFpzWnl6bUdqMnQ4czBvWFhWTVlEamdQUjREcVJFMFFNM2cyc1NUV0ZDTnhFT2g3dzNUT2VVRWY3ZWttZWNNMHN6blQwUGQ3WDd0dEtjY2FYdV92TFpveVRPRm11WFZwc2lXMzVHcVp3UnhIVXBHaWNmQ2U3a2MwRS1CVy1OM2hUcWlZY1lfNnZUTFJ2SzRXNTVqRWFIR2tBNDREWDdwUnExZ3U5MWlmSlZoOFJSWjItbk1VVFIyMnNjdlgwNnhvN09UN0VhdDgwc1hQQ2ZRbUNiRWJlVDRRZGIyZXBLRHJNcWZab2dLN29oN1loZVpNYTZ0UEJMeHNxWDZOSHDSAY4CQVVfeXFMTVRMQmpfREZMblBMMnI0VEVTREJZNndJaE16blBaaFk0RDNNTExmbjV2c0FxMGJDVUFJMnhGS0NfdHZNcENPSm5PTlVRUnJOd25CY3p2bXNmSmZ0RmgxMGNDQ1dMVU5jSzlTNmVwbHRFWmM0ak9oM3FYaGt6dlBpV1F0d2Z6b1M3S1FnUElBV3pFX3UybDdrcUpEZHV1bUwzZnlWOFh0aFN4em5hNExjZllJbEoySmNpU1BCcjE5QXpra3RvMUM5cFgxYUhBQzRwX0UyanFBaldQdjNSZjlWRlo2NXBxei1CRWFqMk9TMWlWVjlNZXpodDV0aXc0THU1YU84MkgyNXVET3ExcUV3?oc=5", "source": "Livemint", "published": "2026-10-10 11:56", "score": 0.026, "label": "Neutral"}, {"symbol": "LAURUSLABS", "title": "Laurus Labs - 8 midcap stocks rally up to 135% in a year; 2 turn multibaggers", "link": "https://news.google.com/rss/articles/CBMi3gFBVV95cUxNYjEtY2xaeTlLaGlUN05rQm5WbDhTQ1BaQXZTbVE1ci1FZ3FObGhCVFcxY0dCX3hjcW9ZaUltTU1uRjNSZHBRWU1vMHN2Wk9jMjBPRXl5bEZscTlGMDBmdlUzNUMzeUVDSkwzaVZUSEw5WVZMOEJ0NnBXZnRTRkRPNzZCMFRSS3dwbEQ1U2g2Zy01ME5ZSFhwZU90Z3hpV0xTclp2LVpDcWU0UTBqWFZ6aVBWYWQxeTZCbk85dTNtckc4V0VNaDRSTGVjM2ZVZTNqOHN1RHRuVXpWcWs2R1E?oc=5", "source": "The Economic Times", "published": "2026-10-10 08:23", "score": 0.459, "label": "Positive"}, {"symbol": "E2E", "title": "Indian Listed New-Age Tech Company Tracker: Market Cap, Revenue &amp; More", "link": "https://news.google.com/rss/articles/CBMimgFBVV95cUxPVU94dFhyMVNPZFBOeklEbER6NHMwNzZpZDdzamhwdXpTYWZjWkh1cVN6WFhGV2UxZWlyVEZrOUlRak5NSFQ5UWstcjFjMHNzWFNuTzZaRUFVWXVhM0YzU0F6clJYMWp1VlBSOTV2SEdTYlVFbTZkYTJQMzYyNzRZWllNaWhDWFduSmhKcmxicm51d1JuMGVjR3R3?oc=5", "source": "Inc42", "published": "2026-10-10 07:00", "score": 0.0, "label": "Neutral"}, {"symbol": "MARKET", "title": "Indian shares rise, end longest weekly losing streak in 25 years", "link": "https://news.google.com/rss/articles/CBMitAFBVV95cUxQSUlMb1g5cjVaX2pyT0FWTUJ1N2xGTXV0OVN2WkFRQ2R2RS1Fdkc4cmloUC1yNzRlR2pYcW1KOVNjTW1kbmVZbWRhal9WS0dwcU9IeUVvcmRXcTlNZ3V2d0pFYUZndExqNXpNdWltSEhSUjBYRGdmcFpjWVpHT0VUQ3FIV0Q0SUxVdG9mT2lMZzY5bWVhcE92TkR2aEVmajNPVWN1SjZidFlsX1hjM0xVQzJTdHQ?oc=5", "source": "Reuters", "published": "2026-10-09 19:48", "score": -0.382, "label": "Negative"}], "errors": []}, "created": "2026-09-28T13:27:26", "last_updated": "2026-10-16T16:52:16", "research": {"method": "notes", "generated": "2026-09-28 13:27", "title": "Stock by stock", "stocks": {"TDPOWERSYS": {"symbol": "TDPOWERSYS", "name": "TD Power Systems", "view": "Bullish", "view_score": 1.5, "tone": "bull", "summary": "The stock is 10% below its high, a shallow pullback within a strong uptrend.", "why": "Guidance raised, shallow pullback. Check for a fundraise.", "points": [{"text": "The stock is 10% below its high, a shallow pullback within a strong uptrend.", "kind": "context", "source": "", "url": ""}, {"text": "Q1 FY27 revenue rose about 72% YoY.", "kind": "catalyst", "source": "5paisa", "url": "https://www.google.com/search?q=TD%20Power%20Systems%20site%3A5paisa.com"}, {"text": "It raised its FY27 revenue guidance to \u20b92,600 crore.", "kind": "catalyst", "source": "fyers", "url": "https://www.google.com/search?q=TD%20Power%20Systems%20site%3Afyers.in"}, {"text": "A board meeting on 14 Aug was set to consider raising funds, so check whether a dilutive QIP is pending.", "kind": "risk", "source": "5paisa", "url": "https://www.google.com/search?q=TD%20Power%20Systems%20site%3A5paisa.com"}, {"text": "Valuation is stretched (P/E around 70).", "kind": "risk", "source": "5paisa", "url": "https://www.google.com/search?q=TD%20Power%20Systems%20site%3A5paisa.com"}], "short_view": "Bullish"}, "AEROFLEX": {"symbol": "AEROFLEX", "name": "Aeroflex Industries", "view": "Bullish, high risk", "view_score": 1.25, "tone": "bull", "summary": "Q1 FY27 revenue grew 72.4% and PAT rose 162%.", "why": "Strong growth, expensive, volatile, thin liquidity", "points": [{"text": "Q1 FY27 revenue grew 72.4% and PAT rose 162%.", "kind": "catalyst", "source": "sahi", "url": "https://www.google.com/search?q=Aeroflex%20Industries%20site%3Asahi.com"}, {"text": "Liquid-cooling skid capacity was raised 50%, with f</t>
        </is>
      </c>
    </row>
    <row r="6">
      <c r="A6" t="inlineStr">
        <is>
          <t>urther expansion planned.", "kind": "catalyst", "source": "sahi", "url": "https://www.google.com/search?q=Aeroflex%20Industries%20site%3Asahi.com"}, {"text": "P/E is about 102, volatility is the highest of the ten (67%), and liquidity is thin (\u20b953 cr/day).", "kind": "risk", "source": "share", "url": "https://www.google.com/search?q=Aeroflex%20Industries%20share"}, {"text": "That makes it the most fragile in a falling market.", "kind": "risk", "source": "share", "url": "https://www.google.com/search?q=Aeroflex%20Industries%20share"}], "short_view": "Bullish, risky"}, "ATHERENERG": {"symbol": "ATHERENERG", "name": "Ather Energy", "view": "Bullish, mid-pullback", "view_score": 1.25, "tone": "bull", "summary": "Q1 revenue grew 89% and the loss narrowed 71%.", "why": "Strong catalysts and brokers, but still pulling back", "points": [{"text": "Q1 revenue grew 89% and the loss narrowed 71%.", "kind": "catalyst", "source": "indmoney", "url": "https://www.google.com/search?q=Ather%20Energy%20site%3Aindmoney.com"}, {"text": "It was also added to the MSCI India Domestic Small Cap Index.", "kind": "catalyst", "source": "indmoney", "url": "https://www.google.com/search?q=Ather%20Energy%20site%3Aindmoney.com"}, {"text": "Hero MotoCorp is lifting its stake to about 32.8%.", "kind": "catalyst", "source": "freepressjournal", "url": "https://www.google.com/search?q=Ather%20Energy%20site%3Afreepressjournal.in"}, {"text": "A global broker raised its target to \u20b91,926.", "kind": "catalyst", "source": "hdfcsky", "url": "https://www.google.com/search?q=Ather%20Energy%20site%3Ahdfcsky.com"}, {"text": "The stock has slid about 16% from its early-September high, so the story is intact but the price is digesting a big run.", "kind": "context", "source": "", "url": ""}, {"text": "High oil prices are a tailwind for the EV theme.", "kind": "catalyst", "source": "", "url": ""}], "short_view": "Bullish"}, "RRKABEL": {"symbol": "RRKABEL", "name": "RR Kabel", "view": "Moderately bullish", "view_score": 1.0, "tone": "mod-bull", "summary": "Q1 PAT jumped 129% and EBITDA doubled.", "why": "Strong Q1, moderate volatility", "points": [{"text": "Q1 PAT jumped 129% and EBITDA doubled.", "kind": "catalyst", "source": "5paisa", "url": "https://www.google.com/search?q=RR%20Kabel%20site%3A5paisa.com"}, {"text": "CLSA initiated at Outperform with a \u20b92,850 target.", "kind": "catalyst", "source": "fyers", "url": "https://www.google.com/search?q=RR%20Kabel%20site%3Afyers.in"}, {"text": "The stock is 16% off its high, so it is consolidating.", "kind": "context", "source": "", "url": ""}, {"text": "Volatility is moderate (44%), which is better than most here.", "kind": "catalyst", "source": "", "url": ""}], "short_view": "Moderately bullish"}, "E2E": {"symbol": "E2E", "name": "E2E Networks", "view": "Speculative, neutral to bullish", "view_score": 0.5, "tone": "spec", "summary": "Q1 revenue was \u20b9156.76 crore vs \u20b936.11 crore a year earlier, with a profit of \u20b943.88 crore, on GPU cluster expansion.", "why": "Big revenue jump, P/E near 400", "points": [{"text": "Q1 revenue was \u20b9156.76 crore vs \u20b936.11 crore a year earlier, with a profit of \u20b943.88 crore, on GPU cluster expansion.", "kind": "catalyst", "source": "angelone", "url": "https://www.google.com/search?q=E2E%20Networks%20site%3Aangelone.in"}, {"text": "P/E is about 398 and the stock fell 11.8% in the month to 18 Sep.", "kind": "risk", "source": "anandrathi", "url": "https://www.google.com/search?q=E2E%20Networks%20site%3Aanandrathi.com"}, {"text": "It has bounced since.", "kind": "context", "source": "anandrathi", "url": "https://www.google.com/search?q=E2E%20Networks%20site%3Aanandrathi.com"}, {"text": "It is an AI-theme stock with thin liquidity and gap risk in both directions.", "kind": "risk", "source": "", "url": ""}], "short_view": "Speculative"}, "ACUTAAS": {"symbol": "ACUTAAS", "name": "Acutaas Chemicals", "view": "Neutral", "view_score": 0.0, "tone": "neutral", "summary": "It received PLI approval for an electrolyte additives plan and commissioned a high-potency API pilot plant.", "why": "No catalyst, sideways trend", "points": [{"text": "It received PLI approval for an electrolyte additives plan and commissioned a high-potency API pilot plant.", "kind": "catalyst", "source": "fyers", "url": "https://www.google.com/search?q=Acutaas%20Chemicals%20site%3Afyers.in"}, {"text": "Quarterly revenue and profit were lower sequentially (\u20b9327 cr and \u20b976 cr in Jun vs \u20b9436 cr and \u20b9137 cr in Mar).", "kind": "risk", "source": "anandrathi", "url": "https://www.google.com/search?q=Acutaas%20Chemicals%20site%3Aanandrathi.com"}, {"text": "The 6-1 return is negative.", "kind": "risk", "source": "anandrathi", "url": "https://www.google.com/search?q=Acutaas%20Chemicals%20site%3Aanandrathi.com"}, {"text": "The price has moved sideways since June.", "kind": "risk", "source": "", "url": ""}, {"text": "There is no clear trigger for a 21-day move.", "kind": "risk", "source": "", "url": ""}], "short_view": "Neutral"}, "DIACABS": {"symbol": "DIACABS", "name": "Diamond Power Infra", "view": "Neutral to bearish short term", "view_score": -1.0, "tone": "mod-bear", "summary": "It hit a 52-week high of about \u20b9395 on 17 Sep, up 202% in six months, with a P/E near 128.", "why": "Extended, weak balance sheet", "points": [{"text": "It hit a 52-week high of about \u20b9395 on 17 Sep, up 202% in six months, with a P/E near 128.", "kind": "risk", "source": "anandrathi", "url": "https://www.google.com/search?q=Diamond%20Power%20Infra%20site%3Aanandrathi.com"}, {"text": "Book value per share was negative in the July data.", "kind": "risk", "source": "bajajfinserv", "url": "https://www.google.com/search?q=Diamond%20Power%20Infra%20site%3Abajajfinserv.in"}, {"text": "It is now 14% off that high.", "kind": "risk", "source": "", "url": ""}, {"text": "The T&amp;D order-book story is real, but the valuation and balance sheet make it a momentum-only trade.", "kind": "context", "source": "", "url": ""}], "short_view": "Neutral to bearish"}, "KIRLOSENG": {"symbol": "KIRLOSENG", "name": "Kirloskar Oil Engines", "view": "Neutral to bearish", "view_score": -1.0, "tone": "mod-bear", "summary": "June-quarter revenue was \u20b91,482 cr vs \u20b91,284 cr a year ago, but EBITDA slipped to \u20b9176 cr from \u20b9184 cr, so margins are compressing.", "why": "Margins and momentum fading", "points": [{"text": "June-quarter revenue was \u20b91,482 cr vs \u20b91,284 cr a year ago, but EBITDA slipped to \u20b9176 cr from \u20b9184 cr, so margins are compressing.", "kind": "risk", "source": "anandrathi", "url": "https://www.google.com/search?q=Kirloskar%20Oil%20Engines%20site%3Aanandrathi.com"}, {"text": "The 6-1 return is \u221211% and the stock is 16.5% below its high.", "kind": "risk", "source": "", "url": ""}, {"text": "Momentum is fading.", "kind": "risk", "source": "", "url": ""}], "short_view": "Neutral to bearish"}, "THANGAMAYL": {"symbol": "THANGAMAYL", "name": "Thangamayil Jewellery", "view": "Bearish", "view_score": -2.0, "tone": "bear", "summary": "It hit a high of \u20b97,429 and traded near \u20b95,085 on 22 Sep.", "why": "Downtrend, avoid", "points": [{"text": "It hit a high of \u20b97,429 and traded near \u20b95,085 on 22 Sep.", "kind": "context", "source": "anandrathi", "url": "https://www.google.com/search?q=Thangamayil%20Jewellery%20site%3Aanandrathi.com"}, {"text": "It is now about 31% below the peak.", "kind": "risk", "source": "anandrathi", "url": "https://www.google.com/search?q=Thangamayil%20Jewellery%20site%3Aanandrathi.com"}, {"text": "Q1 EBITDA (\u20b9145 cr) fell from \u20b9214 cr in the March quarter.", "kind": "risk", "source": "anandrathi", "url": "https://www.google.com/search?q=Thangamayil%20Jewellery%20site%3Aanandrathi.com"}, {"text": "It has the weakest chart in the batch: a clear downtrend, a negative 6-1 return, and a gold-price-sensitive business.", "kind": "risk", "source": "", "url": ""}], "short_view": "Bearish"}, "LAURUSLABS": {"symbol": "LAURUSLABS", "name": "Laurus Labs", "view": "Strongest, bullish", "view_score": 2.0, "tone": "strong-bull", "summary": "Its close is only 1.1% below its 12-month high, and its volatility is the lowest of the ten (28%).", "why": "Relative strength near highs, lowest volatility, defensive sector", "points": [{"text": "Its close is only 1.1% below its 12-month high, and its volatility is the lowest of the ten (28%).", "kind": "catalyst", "source": "", "url": ""}, {"text": "FY26 profit after tax was \u20b9740 crore vs \u20b9380 crore the year before.", "kind": "catalyst", "source": "torusdigital", "url": "https://www.google.com/search?q=Laurus%20Labs%20site%3Atorusdigital.com"}, {"text": "It is up about 94% in six months and holding near highs while the index falls.", "kind": "catalyst", "source": "anandrathi", "url": "https://www.google.com/search?q=Laurus%20Labs%20site%3Aanandrathi.com"}, {"text": "Pharma is also defensive in a risk-off tape.", "kind": "catalyst", "source": "anandrathi", "url": "https://www.google.com/search?q=Laurus%20Labs%20site%3Aanandrathi.com"}, {"text": "P/E is high, so it can still pull back.", "kind": "risk", "source": "anandrathi", "url": "https://www.google.com/search?q=Laurus%20Labs%20site%3Aanandrathi.com"}], "short_view": "Bullish"}}, "shortlist": ["LAURUSLABS", "TDPOWERSYS", "ATHERENERG", "RRKABEL", "AEROFLEX", "E2E", "ACUTAAS", "DIACABS", "KIRLOSENG", "THANGAMAYL"], "missing": []}, "research_notes": "Stock by stock\n\n1. TD Power Systems (TDPOWERSYS): bullish\n\nThe stock is 10% below its high, a shallow pullback within a strong uptrend.\nQ1 FY27 revenue rose about 72% YoY.\n5paisa\nIt raised its FY27 revenue guidance to \u20b92,600 crore.\nfyers\nA board meeting on 14 Aug was set to consider raising funds, so check whether a dilutive QIP is pending. Valuation is stretched (P/E around 70).\n5paisa\n\n2. Aeroflex Industries (AEROFLEX): bullish, high risk\n\nQ1 FY27 revenue grew 72.4% and PAT rose 162%. Liquid-cooling skid capacity was raised 50%, with further expansion planned.\nsahi\nP/E is about 102, volatility is the highest of the ten (67%), and liquidity is thin (\u20b953 cr/day). That makes it the most fragile in a falling market.\nshare\n\n3. Ather Energy (ATHERENERG): bullish, mid-pullback\n\nQ1 revenue grew 89% and the loss narrowed 71%. It was also added to the MSCI India Domestic Small Cap Index.\nindmoney\nHero MotoCorp is lifting its stake to about 32.8%.\nfreepressjournal\nA global broker raised its target to \u20b91,926.\nhdfcsky\nThe stock has slid about 16% from its early-September high, so the story is intact but the price is digesting a big run. High oil prices are a tailwind for the EV theme.\n\n4. RR Kabel (RRKABEL): moderately bullish\n\nQ1 PAT jumped 129% and EBITDA doubled.\n5paisa\nCLSA initiated at Outperform with a \u20b92,850 target.\nfyers\nThe stock is 16% off its high, so it is consolidating. Volatility is moderate (44%), which is better than most here.\n\n5. E2E Networks (E2E): speculative, neutral to bullish\n\nQ1 revenue was \u20b9156.76 crore vs \u20b936.11 crore a year earlier, with a profit of \u20b943.88 crore, on GPU cluster expansion.\nangelone\nP/E is about 398 and the stock fell 11.8% in the month to 18 Sep. It has bounced since.\nanandrathi\nIt is an AI-theme stock with thin liquidity and gap risk in both directions.\n\n6. Acutaas Chemicals (ACUTAAS): neutral\n\nIt received PLI approval for an electrolyte additives plan and commissioned a high-potency API pilot plant.\nfyers\nQuarterly revenue and profit were lower sequentially (\u20b9327 cr and \u20b976 cr in Jun vs \u20b9436 cr and \u20b9137 cr in Mar). The 6-1 return is negative.\nanandrathi\nThe price has moved sideways since June. There is no clear trigger for a 21-day move.\n\n7. Diamond Power Infra (DIACABS): neutral to bearish short term\n\nIt hit a 52-week high of about \u20b9395 on 17 Sep, up 202% in six months, with a P/E near 128.\nanandrathi\nBook value per share was negative in the July data.\nbajajfinserv\nIt is now 14% off that high. The T&amp;D order-book story is real, but the valuation and balance sheet make it a momentum-only trade.\n\n8. Kirloskar Oil Engines (KIRLOSENG): neutral to bearish\n\nJune-quarter revenue was \u20b91,482 cr vs \u20b91,284 cr a year ago, but EBITDA slipped to \u20b9176 cr from \u20b9184 cr, so margins are compressing.\nanandrathi\nThe 6-1 return is \u221211% and the stock is 16.5% below its high. Momentum is fading.\n\n9. Thangamayil Jewellery (THANGAMAYL): bearish\n\nIt hit a high of \u20b97,429 and traded near \u20b95,085 on 22 Sep. It is now about 31% below the peak.\nanandrathi\nQ1 EBITDA (\u20b9145 cr) fell from \u20b9214 cr in the March quarter.\nanandrathi\nIt has the weakest chart in the batch: a clear downtrend, a negative 6-1 return, and a gold-price-sensitive business.\n\n10. Laurus Labs (LAURUSLABS): strongest, bullish\n\nIts close is only 1.1% below its 12-month high, and its volatility is the lowest of the ten (28%).\nFY26 profit after tax was \u20b9740 crore vs \u20b9380 crore the year before.\ntorusdigital\nIt is up about 94% in six months and holding near highs while the index falls. Pharma is also defensive in a risk-off tape. P/E is high, so it can still pull back.\nanandrathi\nSwing-trade shortlist (21-session hold)\nRank\tStock\tView\tWhy\n1\tLAURUSLABS\tBullish\tRelative strength near highs, lowest volatility, defensive sector\n2\tTDPOWERSYS\tBullish\tGuidance raised, shallow pullback. Check for a fundraise.\n3\tATHERENERG\tBullish\tStrong catalysts and brokers, but still pulling back\n4\tRRKABEL\tModerately bullish\tStrong Q1, moderate volatility\n5\tAEROFLEX\tBullish, risky\tStrong growth, expensive, volatile, thin liquidity\n6\tE2E\tSpeculative\tBig revenue jump, P/E near 400\n7\tACUTAAS\tNeutral\tNo catalyst, sideways trend\n8\tDIACABS\tNeutral to bearish\tExtended, weak balance sheet\n9\tKIRLOSENG\tNeutral to bearish\tMargins and momentum fading\n10\tTHANGAMAYL\tBearish\tDowntrend, avoid\n", "fundamentals": {"TDPOWERSYS": {"name": "TD POWER SYSTEMS LTD.", "pe": 85.44379, "fwd_pe": 48.537815, "sector": "Industrials", "industry": "Specialty Industrial Machinery", "mcap_cr": 22649.634816, "pb": 21.047108, "rev_growth": 0.721, "earn_growth": 0.72}, "AEROFLEX": {"name": "AEROFLEX INDUSTRIES LTD", "pe": 102.0676, "fwd_pe": 51.85859, "sector": "Industrials", "industry": "Metal Fabrication", "mcap_cr": 6793.8619392, "pb": 15.18935, "rev_growth": 0.724, "earn_growth": 1.582}, "ATHERENERG": {"name": "ATHER ENERGY LIMITED", "pe": null, "fwd_pe": 516.02814, "sector": "Consumer Cyclical", "industry": "Auto Manufacturers", "mcap_cr": 57631.3819136, "pb": 21.641281, "rev_growth": 0.888, "earn_growth": null}, "THANGAMAYL": {"name": "THANGAMAYIL JEWELLERY LTD", "pe": 39.837044, "fwd_pe": 27.495428, "sector": "Consumer Cyclical", "industry": "Luxury Goods", "mcap_cr": 15576.7537664, "pb": 11.000529, "rev_growth": 0.712, "earn_growth": 0.861}, "RRKABEL": {"name": "R R KABEL LIMITED", "pe": 45.891792, "fwd_pe": 31.331299, "sector": "Industrials", "industry": "Electrical Equipment &amp; Parts", "mcap_cr": 27821.6933376, "pb": 10.807082, "rev_growth": 0.539, "earn_growth": 1.285}, "ACUTAAS": {"name": "ACUTAAS CHEMICALS LIMITED", "pe": 68.217316, "fwd_pe": 43.793648, "sector": "Basic Materials", "industry": "Specialty Chemicals", "mcap_cr": 26316.652544, "pb": 15.918781, "rev_growth": 0.591, "earn_growth": 0.671}, "DIACABS": {"name": "DIAMOND POWER INFRA LTD", "pe": 89.51187, "fwd_pe": null, "sector": "Industrials", "industry": "Specialty Industrial Machinery", "mcap_cr": 20289.560576, "pb": -29.587477, "rev_growth": 1.272, "earn_growth": 2.083}, "KIRLOSENG": {"name": "KIRLOSKAR OIL ENG LTD", "pe": 57.251335, "fwd_pe": 37.53199, "sector": "Industrials", "industry": "Specialty Industrial Machinery", "mcap_cr": 31168.6397952, "pb": 8.596884, "rev_growth": 0.134, "earn_growth": -0.199}, "E2E": {"name": "E2E NETWORKS LIMITED", "pe": 237.98479, "fwd_pe": null, "sector": "Technology", "industry": "Software - Infrastructure", "mcap_cr": 12859.6099072, "pb": 7.4469357, "rev_growth": 3.341, "earn_growth": null}, "LAURUSLABS": {"name": "LAURUS LABS LIMITED", "pe": 99.195854, "fwd_pe": 69.47338, "sector": "Healthcare", "industry": "Drug Manufacturers - Specialty &amp; Generic", "mcap_cr": 108640.567296, "pb": 20.480774, "rev_growth": 0.291, "earn_growth": 1.252}}, "telegram_sent": "2026-10-16", "corp_actions": [], "pending_alerts": []}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2026-10-16T16:52:22Z</dcterms:created>
  <dcterms:modified xmlns:dcterms="http://purl.org/dc/terms/" xmlns:xsi="http://www.w3.org/2001/XMLSchema-instance" xsi:type="dcterms:W3CDTF">2026-10-16T16:52:22Z</dcterms:modified>
</cp:coreProperties>
</file>